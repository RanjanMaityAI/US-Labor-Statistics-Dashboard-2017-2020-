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JAN\Desktop\1.) Excel Problems\6.) Excel for MIS\H.) Projects\C.) Mojo Career Project\"/>
    </mc:Choice>
  </mc:AlternateContent>
  <xr:revisionPtr revIDLastSave="0" documentId="13_ncr:1_{D4E05E4F-21BE-4901-A868-784F62EDDA1C}" xr6:coauthVersionLast="47" xr6:coauthVersionMax="47" xr10:uidLastSave="{00000000-0000-0000-0000-000000000000}"/>
  <bookViews>
    <workbookView xWindow="-108" yWindow="-108" windowWidth="23256" windowHeight="12456" activeTab="2" xr2:uid="{49592D85-D74C-4AE1-BD93-859863CD724B}"/>
  </bookViews>
  <sheets>
    <sheet name="Raw_Data" sheetId="1" r:id="rId1"/>
    <sheet name="Data_Prep" sheetId="2" r:id="rId2"/>
    <sheet name="Dashboard" sheetId="4" r:id="rId3"/>
  </sheets>
  <definedNames>
    <definedName name="_xlnm._FilterDatabase" localSheetId="1" hidden="1">Data_Prep!$D$1:$E$12</definedName>
    <definedName name="_xlchart.v5.0" hidden="1">Data_Prep!$R$2</definedName>
    <definedName name="_xlchart.v5.1" hidden="1">Data_Prep!$R$3:$R$50</definedName>
    <definedName name="_xlchart.v5.2" hidden="1">Data_Prep!$W$2</definedName>
    <definedName name="_xlchart.v5.3" hidden="1">Data_Prep!$W$3:$W$50</definedName>
    <definedName name="Date_Time">Data_Prep!$Y$2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2" l="1"/>
  <c r="B18" i="2"/>
  <c r="B3" i="2"/>
  <c r="F3" i="2" s="1"/>
  <c r="F12" i="2" l="1"/>
  <c r="F11" i="2"/>
  <c r="F10" i="2"/>
  <c r="F9" i="2"/>
  <c r="F8" i="2"/>
  <c r="F7" i="2"/>
  <c r="F6" i="2"/>
  <c r="F5" i="2"/>
  <c r="F4" i="2"/>
  <c r="W2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3" i="2"/>
  <c r="S4" i="2"/>
  <c r="U4" i="2" s="1"/>
  <c r="S5" i="2"/>
  <c r="U5" i="2" s="1"/>
  <c r="S6" i="2"/>
  <c r="U6" i="2" s="1"/>
  <c r="S7" i="2"/>
  <c r="U7" i="2" s="1"/>
  <c r="S8" i="2"/>
  <c r="U8" i="2" s="1"/>
  <c r="S9" i="2"/>
  <c r="U9" i="2" s="1"/>
  <c r="S10" i="2"/>
  <c r="U10" i="2" s="1"/>
  <c r="S11" i="2"/>
  <c r="U11" i="2" s="1"/>
  <c r="S12" i="2"/>
  <c r="U12" i="2" s="1"/>
  <c r="S13" i="2"/>
  <c r="U13" i="2" s="1"/>
  <c r="S14" i="2"/>
  <c r="U14" i="2" s="1"/>
  <c r="S15" i="2"/>
  <c r="U15" i="2" s="1"/>
  <c r="S16" i="2"/>
  <c r="U16" i="2" s="1"/>
  <c r="S17" i="2"/>
  <c r="U17" i="2" s="1"/>
  <c r="S18" i="2"/>
  <c r="U18" i="2" s="1"/>
  <c r="S19" i="2"/>
  <c r="U19" i="2" s="1"/>
  <c r="S20" i="2"/>
  <c r="U20" i="2" s="1"/>
  <c r="S21" i="2"/>
  <c r="U21" i="2" s="1"/>
  <c r="S22" i="2"/>
  <c r="U22" i="2" s="1"/>
  <c r="S23" i="2"/>
  <c r="U23" i="2" s="1"/>
  <c r="S24" i="2"/>
  <c r="U24" i="2" s="1"/>
  <c r="S25" i="2"/>
  <c r="U25" i="2" s="1"/>
  <c r="S26" i="2"/>
  <c r="U26" i="2" s="1"/>
  <c r="S27" i="2"/>
  <c r="U27" i="2" s="1"/>
  <c r="S28" i="2"/>
  <c r="U28" i="2" s="1"/>
  <c r="S29" i="2"/>
  <c r="U29" i="2" s="1"/>
  <c r="S30" i="2"/>
  <c r="U30" i="2" s="1"/>
  <c r="S31" i="2"/>
  <c r="U31" i="2" s="1"/>
  <c r="S32" i="2"/>
  <c r="U32" i="2" s="1"/>
  <c r="S33" i="2"/>
  <c r="U33" i="2" s="1"/>
  <c r="S34" i="2"/>
  <c r="U34" i="2" s="1"/>
  <c r="S35" i="2"/>
  <c r="U35" i="2" s="1"/>
  <c r="S36" i="2"/>
  <c r="U36" i="2" s="1"/>
  <c r="S37" i="2"/>
  <c r="U37" i="2" s="1"/>
  <c r="S38" i="2"/>
  <c r="U38" i="2" s="1"/>
  <c r="S39" i="2"/>
  <c r="U39" i="2" s="1"/>
  <c r="S40" i="2"/>
  <c r="U40" i="2" s="1"/>
  <c r="S41" i="2"/>
  <c r="U41" i="2" s="1"/>
  <c r="S42" i="2"/>
  <c r="U42" i="2" s="1"/>
  <c r="S43" i="2"/>
  <c r="U43" i="2" s="1"/>
  <c r="S44" i="2"/>
  <c r="U44" i="2" s="1"/>
  <c r="S45" i="2"/>
  <c r="U45" i="2" s="1"/>
  <c r="S46" i="2"/>
  <c r="U46" i="2" s="1"/>
  <c r="S47" i="2"/>
  <c r="U47" i="2" s="1"/>
  <c r="S48" i="2"/>
  <c r="U48" i="2" s="1"/>
  <c r="S49" i="2"/>
  <c r="U49" i="2" s="1"/>
  <c r="S50" i="2"/>
  <c r="U50" i="2" s="1"/>
  <c r="S3" i="2"/>
  <c r="U3" i="2" s="1"/>
  <c r="P4" i="2"/>
  <c r="P5" i="2"/>
  <c r="P6" i="2"/>
  <c r="P3" i="2"/>
  <c r="O4" i="2"/>
  <c r="O5" i="2"/>
  <c r="O6" i="2"/>
  <c r="O3" i="2"/>
  <c r="K3" i="2"/>
  <c r="I8" i="2"/>
  <c r="I5" i="2"/>
  <c r="L3" i="2" s="1"/>
  <c r="L4" i="2" s="1"/>
  <c r="I7" i="2"/>
  <c r="I9" i="2"/>
  <c r="I12" i="2"/>
  <c r="I4" i="2"/>
  <c r="I3" i="2"/>
  <c r="I10" i="2"/>
  <c r="I6" i="2"/>
  <c r="I11" i="2"/>
  <c r="E7" i="2"/>
  <c r="E9" i="2"/>
  <c r="E4" i="2"/>
  <c r="E3" i="2"/>
  <c r="E12" i="2"/>
  <c r="E6" i="2"/>
  <c r="E8" i="2"/>
  <c r="E11" i="2"/>
  <c r="E10" i="2"/>
  <c r="E5" i="2"/>
  <c r="W4" i="2" l="1"/>
  <c r="W47" i="2"/>
  <c r="W46" i="2"/>
  <c r="W45" i="2"/>
  <c r="W27" i="2"/>
  <c r="W26" i="2"/>
  <c r="W25" i="2"/>
  <c r="W48" i="2"/>
  <c r="W21" i="2"/>
  <c r="W15" i="2"/>
  <c r="W19" i="2"/>
  <c r="W36" i="2"/>
  <c r="W35" i="2"/>
  <c r="W14" i="2"/>
  <c r="W34" i="2"/>
  <c r="W13" i="2"/>
  <c r="W3" i="2"/>
  <c r="W33" i="2"/>
  <c r="W12" i="2"/>
  <c r="W44" i="2"/>
  <c r="W43" i="2"/>
  <c r="W50" i="2"/>
  <c r="W32" i="2"/>
  <c r="W11" i="2"/>
  <c r="W20" i="2"/>
  <c r="W49" i="2"/>
  <c r="W31" i="2"/>
  <c r="W10" i="2"/>
  <c r="W39" i="2"/>
  <c r="W24" i="2"/>
  <c r="W9" i="2"/>
  <c r="W38" i="2"/>
  <c r="W23" i="2"/>
  <c r="W8" i="2"/>
  <c r="W37" i="2"/>
  <c r="W22" i="2"/>
  <c r="W7" i="2"/>
  <c r="W42" i="2"/>
  <c r="W30" i="2"/>
  <c r="W18" i="2"/>
  <c r="W6" i="2"/>
  <c r="W41" i="2"/>
  <c r="W29" i="2"/>
  <c r="W17" i="2"/>
  <c r="W5" i="2"/>
  <c r="W40" i="2"/>
  <c r="W28" i="2"/>
  <c r="W16" i="2"/>
</calcChain>
</file>

<file path=xl/sharedStrings.xml><?xml version="1.0" encoding="utf-8"?>
<sst xmlns="http://schemas.openxmlformats.org/spreadsheetml/2006/main" count="3951" uniqueCount="81">
  <si>
    <t>Year</t>
  </si>
  <si>
    <t>Industry</t>
  </si>
  <si>
    <t>State</t>
  </si>
  <si>
    <t>Establishments</t>
  </si>
  <si>
    <t>Employees</t>
  </si>
  <si>
    <t>Avg Annual Wage</t>
  </si>
  <si>
    <t>Natural Resources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</si>
  <si>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</si>
  <si>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</si>
  <si>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</si>
  <si>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</si>
  <si>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</si>
  <si>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</si>
  <si>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</si>
  <si>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</si>
  <si>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</si>
  <si>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</si>
  <si>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</si>
  <si>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</si>
  <si>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</si>
  <si>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</si>
  <si>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</si>
  <si>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</si>
  <si>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</si>
  <si>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</si>
  <si>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</si>
  <si>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</si>
  <si>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</si>
  <si>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</si>
  <si>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</si>
  <si>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</si>
  <si>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</si>
  <si>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</si>
  <si>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</si>
  <si>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</si>
  <si>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</si>
  <si>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</si>
  <si>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</si>
  <si>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</si>
  <si>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</si>
  <si>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</si>
  <si>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</si>
  <si>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</si>
  <si>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</si>
  <si>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</si>
  <si>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</si>
  <si>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</si>
  <si>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</si>
  <si>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</si>
  <si>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</si>
  <si>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</si>
  <si>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</si>
  <si>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</si>
  <si>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</si>
  <si>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</si>
  <si>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Construction</t>
  </si>
  <si>
    <t>Manufacturing</t>
  </si>
  <si>
    <t>Trade &amp; Transportation</t>
  </si>
  <si>
    <t>Information</t>
  </si>
  <si>
    <t>Finance</t>
  </si>
  <si>
    <t>Business Services</t>
  </si>
  <si>
    <t>Education &amp; Health</t>
  </si>
  <si>
    <t>Leisure &amp; Hospitality</t>
  </si>
  <si>
    <t>Other Services</t>
  </si>
  <si>
    <t>Industry Filter</t>
  </si>
  <si>
    <t>Selection</t>
  </si>
  <si>
    <t>Date Filter</t>
  </si>
  <si>
    <t>Current Year</t>
  </si>
  <si>
    <t>Avg Wage by Industry</t>
  </si>
  <si>
    <t>Total Employees</t>
  </si>
  <si>
    <t>Employee by Industry</t>
  </si>
  <si>
    <t>Others</t>
  </si>
  <si>
    <t>Wage &amp; Employee Trends</t>
  </si>
  <si>
    <t>Total Employee</t>
  </si>
  <si>
    <t>Comparison by State</t>
  </si>
  <si>
    <t>Population</t>
  </si>
  <si>
    <t>Employee Per 1000 Capita</t>
  </si>
  <si>
    <t>Avg Wage</t>
  </si>
  <si>
    <t>Map Filter</t>
  </si>
  <si>
    <t>Metric</t>
  </si>
  <si>
    <t>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</si>
</sst>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&quot;$&quot;#,##0"/>
    <numFmt numFmtId="165" formatCode="[$$-409]#,##0"/>
    <numFmt numFmtId="166" formatCode="_ * #,##0_ ;_ * \-#,##0_ ;_ * &quot;-&quot;??_ ;_ @_ "/>
    <numFmt numFmtId="167" formatCode="#,##0_ ;\-#,##0\ "/>
    <numFmt numFmtId="168" formatCode="[$$-409]#,##0_ ;\-[$$-409]#,##0\ "/>
    <numFmt numFmtId="169" formatCode="#,##0;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2" xfId="0" applyBorder="1"/>
    <xf numFmtId="164" fontId="0" fillId="0" borderId="3" xfId="0" applyNumberFormat="1" applyBorder="1"/>
    <xf numFmtId="0" fontId="0" fillId="0" borderId="7" xfId="0" applyBorder="1"/>
    <xf numFmtId="0" fontId="0" fillId="0" borderId="8" xfId="0" applyBorder="1"/>
    <xf numFmtId="3" fontId="0" fillId="0" borderId="8" xfId="0" applyNumberFormat="1" applyBorder="1"/>
    <xf numFmtId="164" fontId="0" fillId="0" borderId="9" xfId="0" applyNumberFormat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0" borderId="5" xfId="0" applyBorder="1"/>
    <xf numFmtId="0" fontId="3" fillId="3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Continuous"/>
    </xf>
    <xf numFmtId="0" fontId="4" fillId="2" borderId="12" xfId="0" applyFont="1" applyFill="1" applyBorder="1" applyAlignment="1">
      <alignment horizontal="centerContinuous"/>
    </xf>
    <xf numFmtId="165" fontId="0" fillId="0" borderId="1" xfId="0" applyNumberFormat="1" applyBorder="1"/>
    <xf numFmtId="165" fontId="0" fillId="0" borderId="5" xfId="0" applyNumberFormat="1" applyBorder="1"/>
    <xf numFmtId="0" fontId="3" fillId="4" borderId="12" xfId="0" applyFont="1" applyFill="1" applyBorder="1" applyAlignment="1">
      <alignment horizontal="centerContinuous"/>
    </xf>
    <xf numFmtId="0" fontId="2" fillId="2" borderId="10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0" fontId="3" fillId="3" borderId="16" xfId="0" applyFont="1" applyFill="1" applyBorder="1" applyAlignment="1">
      <alignment horizontal="center"/>
    </xf>
    <xf numFmtId="0" fontId="0" fillId="0" borderId="17" xfId="0" applyBorder="1"/>
    <xf numFmtId="0" fontId="5" fillId="4" borderId="11" xfId="0" applyFont="1" applyFill="1" applyBorder="1" applyAlignment="1">
      <alignment horizontal="centerContinuous"/>
    </xf>
    <xf numFmtId="166" fontId="0" fillId="0" borderId="0" xfId="0" applyNumberFormat="1"/>
    <xf numFmtId="166" fontId="0" fillId="0" borderId="1" xfId="1" applyNumberFormat="1" applyFont="1" applyBorder="1"/>
    <xf numFmtId="166" fontId="0" fillId="0" borderId="1" xfId="0" applyNumberFormat="1" applyBorder="1"/>
    <xf numFmtId="0" fontId="0" fillId="4" borderId="0" xfId="0" applyFill="1" applyAlignment="1">
      <alignment horizontal="centerContinuous"/>
    </xf>
    <xf numFmtId="166" fontId="0" fillId="0" borderId="5" xfId="1" applyNumberFormat="1" applyFont="1" applyBorder="1"/>
    <xf numFmtId="3" fontId="0" fillId="0" borderId="1" xfId="0" applyNumberFormat="1" applyBorder="1" applyAlignment="1">
      <alignment horizontal="right" vertical="center" wrapText="1"/>
    </xf>
    <xf numFmtId="0" fontId="0" fillId="0" borderId="12" xfId="0" applyBorder="1"/>
    <xf numFmtId="0" fontId="0" fillId="5" borderId="0" xfId="0" applyFill="1"/>
    <xf numFmtId="0" fontId="3" fillId="6" borderId="10" xfId="0" applyFont="1" applyFill="1" applyBorder="1" applyAlignment="1">
      <alignment horizontal="center" vertical="center"/>
    </xf>
    <xf numFmtId="167" fontId="0" fillId="0" borderId="1" xfId="1" applyNumberFormat="1" applyFont="1" applyBorder="1"/>
    <xf numFmtId="168" fontId="0" fillId="0" borderId="1" xfId="0" applyNumberFormat="1" applyBorder="1"/>
    <xf numFmtId="169" fontId="0" fillId="0" borderId="1" xfId="1" applyNumberFormat="1" applyFont="1" applyBorder="1"/>
    <xf numFmtId="0" fontId="5" fillId="4" borderId="18" xfId="0" applyFont="1" applyFill="1" applyBorder="1" applyAlignment="1">
      <alignment horizontal="centerContinuous"/>
    </xf>
    <xf numFmtId="0" fontId="3" fillId="4" borderId="19" xfId="0" applyFont="1" applyFill="1" applyBorder="1" applyAlignment="1">
      <alignment horizontal="centerContinuous"/>
    </xf>
    <xf numFmtId="3" fontId="0" fillId="0" borderId="5" xfId="0" applyNumberFormat="1" applyBorder="1" applyAlignment="1">
      <alignment horizontal="right" vertical="center" wrapText="1"/>
    </xf>
    <xf numFmtId="167" fontId="0" fillId="0" borderId="5" xfId="1" applyNumberFormat="1" applyFont="1" applyBorder="1"/>
    <xf numFmtId="168" fontId="0" fillId="0" borderId="5" xfId="0" applyNumberFormat="1" applyBorder="1"/>
    <xf numFmtId="169" fontId="0" fillId="0" borderId="5" xfId="1" applyNumberFormat="1" applyFont="1" applyBorder="1"/>
    <xf numFmtId="22" fontId="0" fillId="0" borderId="5" xfId="0" applyNumberFormat="1" applyBorder="1"/>
    <xf numFmtId="0" fontId="3" fillId="4" borderId="1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0">
    <dxf>
      <numFmt numFmtId="164" formatCode="&quot;$&quot;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Employees by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Data_Prep!$I$2</c:f>
              <c:strCache>
                <c:ptCount val="1"/>
                <c:pt idx="0">
                  <c:v>Total 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C7-4E43-8A7F-42F1EB9D82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C7-4E43-8A7F-42F1EB9D82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C7-4E43-8A7F-42F1EB9D82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C7-4E43-8A7F-42F1EB9D82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7C7-4E43-8A7F-42F1EB9D82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7C7-4E43-8A7F-42F1EB9D820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7C7-4E43-8A7F-42F1EB9D820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7C7-4E43-8A7F-42F1EB9D820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7C7-4E43-8A7F-42F1EB9D8205}"/>
              </c:ext>
            </c:extLst>
          </c:dPt>
          <c:dPt>
            <c:idx val="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34-4114-884B-0940FF0182D4}"/>
              </c:ext>
            </c:extLst>
          </c:dPt>
          <c:cat>
            <c:strRef>
              <c:f>Data_Prep!$H$3:$H$12</c:f>
              <c:strCache>
                <c:ptCount val="10"/>
                <c:pt idx="0">
                  <c:v>Trade &amp; Transportation</c:v>
                </c:pt>
                <c:pt idx="1">
                  <c:v>Education &amp; Health</c:v>
                </c:pt>
                <c:pt idx="2">
                  <c:v>Business Services</c:v>
                </c:pt>
                <c:pt idx="3">
                  <c:v>Leisure &amp; Hospitality</c:v>
                </c:pt>
                <c:pt idx="4">
                  <c:v>Manufacturing</c:v>
                </c:pt>
                <c:pt idx="5">
                  <c:v>Finance</c:v>
                </c:pt>
                <c:pt idx="6">
                  <c:v>Construction</c:v>
                </c:pt>
                <c:pt idx="7">
                  <c:v>Other Services</c:v>
                </c:pt>
                <c:pt idx="8">
                  <c:v>Information</c:v>
                </c:pt>
                <c:pt idx="9">
                  <c:v>Natural Resources</c:v>
                </c:pt>
              </c:strCache>
            </c:strRef>
          </c:cat>
          <c:val>
            <c:numRef>
              <c:f>Data_Prep!$I$3:$I$12</c:f>
              <c:numCache>
                <c:formatCode>_ * #,##0_ ;_ * \-#,##0_ ;_ * "-"??_ ;_ @_ </c:formatCode>
                <c:ptCount val="10"/>
                <c:pt idx="0">
                  <c:v>26277342</c:v>
                </c:pt>
                <c:pt idx="1">
                  <c:v>22035033</c:v>
                </c:pt>
                <c:pt idx="2">
                  <c:v>20065896</c:v>
                </c:pt>
                <c:pt idx="3">
                  <c:v>12649500</c:v>
                </c:pt>
                <c:pt idx="4">
                  <c:v>12058694</c:v>
                </c:pt>
                <c:pt idx="5">
                  <c:v>8142043</c:v>
                </c:pt>
                <c:pt idx="6">
                  <c:v>7136444</c:v>
                </c:pt>
                <c:pt idx="7">
                  <c:v>3843699</c:v>
                </c:pt>
                <c:pt idx="8">
                  <c:v>2677815</c:v>
                </c:pt>
                <c:pt idx="9">
                  <c:v>1762873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4-4114-884B-0940FF018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Avg Annual Wage by Industry</a:t>
            </a:r>
          </a:p>
        </c:rich>
      </c:tx>
      <c:layout>
        <c:manualLayout>
          <c:xMode val="edge"/>
          <c:yMode val="edge"/>
          <c:x val="0.19631738800303722"/>
          <c:y val="4.7022109524445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Data_Prep!$E$2</c:f>
              <c:strCache>
                <c:ptCount val="1"/>
                <c:pt idx="0">
                  <c:v>Avg Annual Wage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Data_Prep!$D$3:$D$12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Data_Prep!$E$3:$E$12</c:f>
              <c:numCache>
                <c:formatCode>[$$-409]#,##0</c:formatCode>
                <c:ptCount val="10"/>
                <c:pt idx="0">
                  <c:v>93586.333333333328</c:v>
                </c:pt>
                <c:pt idx="1">
                  <c:v>90040.666666666672</c:v>
                </c:pt>
                <c:pt idx="2">
                  <c:v>74713.0625</c:v>
                </c:pt>
                <c:pt idx="3">
                  <c:v>68427.875</c:v>
                </c:pt>
                <c:pt idx="4">
                  <c:v>63896.895833333336</c:v>
                </c:pt>
                <c:pt idx="5">
                  <c:v>55605.9375</c:v>
                </c:pt>
                <c:pt idx="6">
                  <c:v>53607.208333333336</c:v>
                </c:pt>
                <c:pt idx="7">
                  <c:v>49366.8125</c:v>
                </c:pt>
                <c:pt idx="8">
                  <c:v>40790.1875</c:v>
                </c:pt>
                <c:pt idx="9">
                  <c:v>23286.416666666668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1-48B7-8320-2E3212D9C089}"/>
            </c:ext>
          </c:extLst>
        </c:ser>
        <c:ser>
          <c:idx val="1"/>
          <c:order val="1"/>
          <c:tx>
            <c:strRef>
              <c:f>Data_Prep!$F$2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Data_Prep!$D$3:$D$12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Data_Prep!$F$3:$F$12</c:f>
              <c:numCache>
                <c:formatCode>[$$-409]#,##0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53607.208333333336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0-4F45-8D55-AA2965A63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92736463"/>
        <c:axId val="572166351"/>
      </c:barChart>
      <c:catAx>
        <c:axId val="8927364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66351"/>
        <c:crosses val="autoZero"/>
        <c:auto val="1"/>
        <c:lblAlgn val="ctr"/>
        <c:lblOffset val="100"/>
        <c:noMultiLvlLbl val="0"/>
      </c:catAx>
      <c:valAx>
        <c:axId val="572166351"/>
        <c:scaling>
          <c:orientation val="minMax"/>
        </c:scaling>
        <c:delete val="0"/>
        <c:axPos val="t"/>
        <c:numFmt formatCode="[$$-409]#,##0,\k" sourceLinked="0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73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Employee by Industry</a:t>
            </a:r>
          </a:p>
        </c:rich>
      </c:tx>
      <c:layout>
        <c:manualLayout>
          <c:xMode val="edge"/>
          <c:yMode val="edge"/>
          <c:x val="0.1735522674469317"/>
          <c:y val="1.4245014245014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710098737657778E-2"/>
          <c:y val="0.216240157480315"/>
          <c:w val="0.39710817397825271"/>
          <c:h val="0.60429504735821071"/>
        </c:manualLayout>
      </c:layout>
      <c:doughnutChart>
        <c:varyColors val="1"/>
        <c:ser>
          <c:idx val="0"/>
          <c:order val="0"/>
          <c:tx>
            <c:strRef>
              <c:f>Data_Prep!$L$2</c:f>
              <c:strCache>
                <c:ptCount val="1"/>
                <c:pt idx="0">
                  <c:v>Total Employees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7A-40A2-8741-65F6B84DA6D7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7A-40A2-8741-65F6B84DA6D7}"/>
              </c:ext>
            </c:extLst>
          </c:dPt>
          <c:dLbls>
            <c:dLbl>
              <c:idx val="1"/>
              <c:layout>
                <c:manualLayout>
                  <c:x val="3.2469015391202991E-2"/>
                  <c:y val="2.254062504482021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7A-40A2-8741-65F6B84DA6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Data_Prep!$K$3:$K$4</c:f>
              <c:strCache>
                <c:ptCount val="2"/>
                <c:pt idx="0">
                  <c:v>Education &amp; Health</c:v>
                </c:pt>
                <c:pt idx="1">
                  <c:v>Others</c:v>
                </c:pt>
              </c:strCache>
            </c:strRef>
          </c:cat>
          <c:val>
            <c:numRef>
              <c:f>Data_Prep!$L$3:$L$4</c:f>
              <c:numCache>
                <c:formatCode>_ * #,##0_ ;_ * \-#,##0_ ;_ * "-"??_ ;_ @_ </c:formatCode>
                <c:ptCount val="2"/>
                <c:pt idx="0">
                  <c:v>22035033</c:v>
                </c:pt>
                <c:pt idx="1">
                  <c:v>94614306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7A-40A2-8741-65F6B84DA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6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753490972238742"/>
          <c:y val="0.35489882674922046"/>
          <c:w val="0.49639286025802659"/>
          <c:h val="0.241770980550508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Wage &amp; Employee Trends</a:t>
            </a:r>
          </a:p>
        </c:rich>
      </c:tx>
      <c:layout>
        <c:manualLayout>
          <c:xMode val="edge"/>
          <c:yMode val="edge"/>
          <c:x val="0.17556438752118012"/>
          <c:y val="2.36159996129516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01328947805572"/>
          <c:y val="0.21640964234309421"/>
          <c:w val="0.82111560939217731"/>
          <c:h val="0.74140519676717864"/>
        </c:manualLayout>
      </c:layout>
      <c:lineChart>
        <c:grouping val="standard"/>
        <c:varyColors val="0"/>
        <c:ser>
          <c:idx val="1"/>
          <c:order val="0"/>
          <c:tx>
            <c:strRef>
              <c:f>Data_Prep!$O$2</c:f>
              <c:strCache>
                <c:ptCount val="1"/>
                <c:pt idx="0">
                  <c:v>Avg Annual Wage</c:v>
                </c:pt>
              </c:strCache>
            </c:strRef>
          </c:tx>
          <c:spPr>
            <a:ln w="412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dLbls>
            <c:numFmt formatCode="\$\ 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Data_Prep!$N$3:$N$6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Data_Prep!$O$3:$O$6</c:f>
              <c:numCache>
                <c:formatCode>[$$-409]#,##0</c:formatCode>
                <c:ptCount val="4"/>
                <c:pt idx="0">
                  <c:v>47654.729166666664</c:v>
                </c:pt>
                <c:pt idx="1">
                  <c:v>48817.958333333336</c:v>
                </c:pt>
                <c:pt idx="2">
                  <c:v>50279.708333333336</c:v>
                </c:pt>
                <c:pt idx="3">
                  <c:v>53607.208333333336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7-41B3-8BE3-6EDCC74FD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314639"/>
        <c:axId val="572153871"/>
      </c:lineChart>
      <c:catAx>
        <c:axId val="980314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2153871"/>
        <c:crosses val="autoZero"/>
        <c:auto val="1"/>
        <c:lblAlgn val="ctr"/>
        <c:lblOffset val="100"/>
        <c:noMultiLvlLbl val="0"/>
      </c:catAx>
      <c:valAx>
        <c:axId val="572153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ysClr val="windowText" lastClr="000000"/>
                    </a:solidFill>
                  </a:rPr>
                  <a:t>Avg Annual Wage</a:t>
                </a:r>
              </a:p>
            </c:rich>
          </c:tx>
          <c:layout>
            <c:manualLayout>
              <c:xMode val="edge"/>
              <c:yMode val="edge"/>
              <c:x val="6.4651974947405641E-2"/>
              <c:y val="0.16875048634523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 w="12700">
            <a:solidFill>
              <a:srgbClr val="C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31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5270648764779"/>
          <c:y val="4.9871523006461742E-2"/>
          <c:w val="0.82155677216104239"/>
          <c:h val="0.7931062834329739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Data_Prep!$P$2</c:f>
              <c:strCache>
                <c:ptCount val="1"/>
                <c:pt idx="0">
                  <c:v>Total Employee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\ 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Data_Prep!$N$3:$N$6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Data_Prep!$P$3:$P$6</c:f>
              <c:numCache>
                <c:formatCode>_ * #,##0_ ;_ * \-#,##0_ ;_ * "-"??_ ;_ @_ </c:formatCode>
                <c:ptCount val="4"/>
                <c:pt idx="0">
                  <c:v>21899196</c:v>
                </c:pt>
                <c:pt idx="1">
                  <c:v>22380791</c:v>
                </c:pt>
                <c:pt idx="2">
                  <c:v>22867558</c:v>
                </c:pt>
                <c:pt idx="3">
                  <c:v>22035033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3-4795-A762-C16AB90B34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80314639"/>
        <c:axId val="572153871"/>
      </c:barChart>
      <c:catAx>
        <c:axId val="98031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53871"/>
        <c:crosses val="autoZero"/>
        <c:auto val="1"/>
        <c:lblAlgn val="ctr"/>
        <c:lblOffset val="100"/>
        <c:noMultiLvlLbl val="0"/>
      </c:catAx>
      <c:valAx>
        <c:axId val="572153871"/>
        <c:scaling>
          <c:orientation val="minMax"/>
          <c:max val="30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ysClr val="windowText" lastClr="000000"/>
                    </a:solidFill>
                  </a:rPr>
                  <a:t>Total Employee</a:t>
                </a:r>
              </a:p>
            </c:rich>
          </c:tx>
          <c:layout>
            <c:manualLayout>
              <c:xMode val="edge"/>
              <c:yMode val="edge"/>
              <c:x val="3.5544498546993888E-2"/>
              <c:y val="0.163264002377061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 w="12700">
            <a:solidFill>
              <a:srgbClr val="C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31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Comparison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tx1"/>
              </a:solidFill>
              <a:latin typeface="Aptos Narrow" panose="02110004020202020204"/>
            </a:rPr>
            <a:t>Comparison by State</a:t>
          </a:r>
        </a:p>
      </cx:txPr>
    </cx:title>
    <cx:plotArea>
      <cx:plotAreaRegion>
        <cx:series layoutId="regionMap" uniqueId="{00000005-9450-4377-B4D7-4FB8C370BCCE}">
          <cx:tx>
            <cx:txData>
              <cx:f>_xlchart.v5.2</cx:f>
              <cx:v>Employee Per 1000 Capita</cx:v>
            </cx:txData>
          </cx:tx>
          <cx:dataId val="0"/>
          <cx:layoutPr>
            <cx:regionLabelLayout val="none"/>
            <cx:geography viewedRegionType="dataOnly" cultureLanguage="en-US" cultureRegion="IN" attribution="Powered by Bing">
              <cx:geoCache provider="{E9337A44-BEBE-4D9F-B70C-5C5E7DAFC167}">
                <cx:binary>1H1rb9y4su1fCfL5yiNSJEVt7DnAUFI//I6d2ON8ETq2I1EvUiL1/PW3HNuJo3F2fLF9LuDOADNx
m90lLlbVqlUk59/X47+uy9td+26sytr863r8831mrf7XH3+Y6+y22pm9Sl63yqivdu9aVX+or1/l
9e0fN+1ukHX6B3YR+eM627X2dnz/P/+GT0tv1aG63lmp6g/dbTud3ZqutOY/vPfsW+92N5WsI2ls
K68t+vP9X+Xuy67avX93W1tpp4+Tvv3z/U+/9P7dH8uP+sfXvivBMtvdwFgP7/mMEYyx//5dqer0
4ecOZ3ucuJ6HXRzcvx6/9HhXwcAXWPLNjt3NTXtrDDzJt38/GfiT2fDzw/fvrlVX27vZSmHi/nz/
qZb29ubdud3ZW/P+nTQqvP+FUN3Z/un828P+8fN8/8+/Fz+Ax1/85Akky7n63Vv/QCS6LXfDrr19
nJ1XgCTYc13uM+zR7zP/FBmf7hHGGfEQv3+fPn73PTIvseh5aH6MXGATxW8Sm4+3dQ1r7/Y1waHg
FuARLufutxf+h9t4xMMM+fj+ffQzOC8y6Xl0ngxdwPPx+E3CE+5K+VW1tXzNeObvYUoYC1Dwff6f
Og9Cwd4dOD4i6Lmw9jKbngfo6dgFQuFfbxKhv1o5q/o14SF7OPAw5ojcz/4i6yCE9iAd0YBR9g2/
hfu8wKDnsfk+cAHMX5/fJDCrUrXy5hWBwXyPBpQi9uAVQbCIa3iPcN8jmHv3fuX9HNdeYNDzwHwf
uABm9TbpwPHt8G6zq7TJ5GtyAuLtMU4BHI9+n/6nYc1He9QHyhC4D2EP0tI9RbznBC8263mQFsMX
UB1v3qQP/dUWu9rsgFi+Gpkme0DJuOuhB+bGf3aiAJzICxCl9IE8LJjbSyx6HqAfIxfY/HX2JrG5
W3BHt6O8Vq+KDsHIg8x/n1pcCGFPfQi5bA+53ANut8g6L7PmeWSejl1gc3z0JrEJFSSf3c1rIsP3
wG0odckP0vwzMnSPEp97bJF1XmLK87D8GLkAJTx5o6BAqXNt5XVnX89jyF1WoYh6j1kH/OIpLj6I
Bx4HMocXgSxUL7LmV9A8GbxE5+ObRGd9q9r0VcscvMcIzDwJ0LNlDvf2CCGeT9yHTLNwnBcY9Dw4
3wcugFn/9SaB2d7sslcMZITseTxwffxYXC4IAEJkj9HA87m78JjfGvI8HA/DFmBsozcJxie7y14v
eHnBnoe9O1L8QJkXSs23UtPnoHwy9vit92T5d3Y8D8X9qAUSn95mvNqWpayVfEVqTNw9BF4BKfyh
8F/Wl8EeIpx5lP8QPZ8WMC+x6HlcfoxcYLN9mxXmxW1bqfo1szzZc32K4c+CEEN6ZwyzgAEn/vZa
xKwXWPI8JN8HLhC5eKPeUt/I3auqZMEe6JcB4Y914gIY6M0A6fIDUNLus/8CmO3vDXoemO8DF8Bs
36bAvFXDK0pkBIOfEEZ9Qp7VYAJv7y7TMOQ+vL9IK7+z5heQfHuGJR5vk20dq9Zm76Jdoexr4uID
12UeVO0PYWqRWoAhQ8PsTnV+1DZ/Tvcvtep5fH4evcDp+G0SsYPX1sU4iMfEx4HvP1utBBxos4tA
OHtI/tAVeJr8f2/P89g8jlugcnD+JunxAUxJd11Mj3PzCp1mf49iH3NGH3r8i3KFU8gzvu976EH0
X+SZl1j0C2S+P8sSm6s3ic2RvOs0v25YY3selPcgGD+U8Ohn8SUgeyiAbgzEtccVcV++vMiW52F5
MnSBy9HbZACHqpPmlcmZuxdwyCnse6tsgQuCJgCCupK796yZ/AzPi0x6Hp4nQxfwHL5NQnC0k/Xt
4/T89/GMUHCZu/bxkzzyVK9kwR6GDicBGvcsNL8153lYHoYtIDmK32Qku5CgVL72lgyKMA88BhXL
3WuRZXy+xyDGUdDN7t+Haudp9n+JRc8D82PkApuLt+ou7VTu6pvH+fnvPcaDzgtQAPCXn4OYz/Z8
F8FWjeDBUxaYHO1+b8nzmPwYucDk6G1y5aOdMbvrrDO31prXAwaKTdil5PnQz793iqXTwD4Zl8L+
TL7gyi+251fw/PQ4S4zeqN/I60ymu/oV4YFOv0/8wOcPNeUCHmDOvucGENAe3l9oAUcvsOgXAH0f
ucRm+ybzzZE05u4freXrwXO3qxnDHtrvYvIivHHYBEgZhn7zg4D2D3heZNSvEHoyeAnS2yw970BS
XfuaCEHJz3zQN8lDA3PRnbnbKgOFp48eRZtF6fkSi34Nz/2zLLF5m53/I2gGvKr6TPw9yCsUBdA9
/vaC3P+URSMXvIcApWPeorR5gSm/wOTxGZaQfHyTMe349ku7M8Xu9QLa3U4M2LN81868x2TpLsEe
1KQ+hjMD9+8vAtpLLHoemh8jF9gcv8365vi2373mxtm7NjNlBGrO54kaQgxyDQWe9nBiAD2uised
mb+z51e43I9bonLxRj1meLd/25rb6XF2/vva5q7lDJv5Auo9n2J82IsBDAEOb90z7GARze527v3e
pl+h82PsEqH9N4nQuer+N3o3BHbEgiIDm5fvQVieB4DeDfZc0EHZAp2X2vM8Pj+PXiB0Hr1JhO7W
65Vqi1f0ILwHCgAmd6cAn2MCcBINSLQL+9IfVIJ/ZJ3fW/Q8Pj+eZYHN8dXbxOZb5zPctQo21rwi
L/BgY6wH+8m+Z5+F//iwrYZD8mHsgTcsEXqxXb/AaTF+iVb4JtE6yeRrbgqE9jPs+Qc+/TxD4FCs
uoChRx66o8C3n+qfv7PmeWTuRy3wONm8TTyKErZpvuqxZ/Ab7sG2gQe67AIre1rjBNAZhaMArvuY
l0BA+AmTF1j0C1y+j1xic/AmsbncwVGnOrXqNdU12NGBkEd9/gtWgN09CqT7u3qw4NQvs+l5fJ6O
XSB0+debROikvU1fFR0PWAGHE+geeyDOP/sO+oYOlKNwZGPhNb+15HlMHp9ggcfJ2ZvE4xROpZup
7Hev2mWDaocHcO75YbOAu4xovr/HPc7vtuB8byg8jWgvtep5hH4evcDp9G36zVkGt0y825rX7biB
ksMwxwF9uLzhH91QUHoQSAV3h6C/vRZs4KVWPY/Tz6MXOJ1t36Q/3ddy/wvcGuKcCw1QjB70g4UO
yu88Dg7YwEGCe6QW3Prldj2P1XL8Aq3zt8mtP96Or3rkFsHeTo8TQOG+RF0SOZDnoHyFsPdji9vT
sPdbc57H5mHYApKPf79JB7q8Nfbdj70S99Pz3+tvsLcALhYCEgf7CL69FrUp+A8DRRskuh/+9RSa
F5v1PESL4QuoLt+mTnopzbWqjXxNsg0yKGycph57IAZQ6jwthaBX6oMDUTi29l0E+gmml5j0C4h+
DF3C8zZT0eWk4L6u9JH1/vc+BNtAwHUY9HUeenGLvg/0fKASQtB+cB/Qe/zu++7CCwz6BTSPT7IE
5upNhLjr/3iR2NMI99Nv/r9enhaASgBlKhy0/e4aT10ngJu87o68fd9FtdCwF/eb/dqs5zFaDP/p
Sf4/XZ7264vVvl86F+3sLv52W92Tu9X+87vfHheu0FsMffd0gn5al4+LfnsDN9p50E54AuTdhzyM
vPeJn1L+kxG3O2P/fO98O8YTYLinI2B3e98JgDZAhoS37m6IYLDf2gfShwMO56/fv6vvFFD4VrZH
7vzUx9ALhH0lASQ7c9cy+fM9hivDPErhBMTdtW5wPJh9vyPwVJUT1ObfZ+Ph7+/qrjpVsrbmz/ew
ARx8Xt//4p21FMFxe7iHJ7g7ZexCDx5DwNbXuzMIPHe//39c6zh9o5S7HRrcXvYO8YUpp2s+4vJ4
Rk4TZw4yYqxUceYP/MgY3f/N+rw518o5b9zW7HcTy0TD/fmIqM7ZTonHknWv8uy0qxtn1/m+EgFT
brMhPPEzQSlOzWnt08n7QIgscCWcukT+dkYtx8cBmV31yZQN7nLhFLPy1rqwWh9x3bp+Hrr9MI+j
KILeVkQkSZGT1Tynrt8LPbRt86nktaWj8OuqRPtZMDIsGpwENvYzl5hVVhKs9y1JZYlFXhdQA4sR
T1MQyyqf0b6vJnxBptQ0hZgVUjS0JBn5mmN/ottOKuomopikn39MJsfpeoH8om+iTFG1y+uE36Qs
T/1oxmY0Tdxmyu1ZyI0v3fNxbnMdWTDBrItR4QM4xTKbsGNBdpDkaO7DwfrUrHo3z/t4VvnEI67y
TZUqfTXCBYeVKGvPbnJn5PHgcno19ZQI7qXZBraun6dlqQGsLj9qcK02OR4uciW9dW6HXKAqSDfF
kGazaKo0u5SjHNJ46uXW5+ORIu1BNnTdpUmrOuxKc+pVY5aKug+06FN2bcdkEG03XM05NSFugrAY
vW06Fhdjb2sxBSjf55x8gdsY29hLiu585p0R9exU6w6m1PFqJaivh7XxM3/Fcb0GqnfWz/KClfgr
9DrswWzUIIIiPZ6zxg+rzl6pyuxXvao3hZU68qUXjXOFhZk0O9DaRau2mU+ztFKiwMWFdh0Zda2j
4qLqb5ms2VHF5uR0CBQTxh0dEXRdIoyXRMXUFWvSEyTGuT/Buceivu/HMEVJGZKhzw6TrmyPuB1w
7FPibn0l5aoeZyo6J83C2TT8i+xwv656Kr/wrBn3x3aaYt1Q5yzVExF1nt4mXqJOqGPPqZXjeV1N
5drVlRS11HJTF4yJTrpMeGqijqhpt7Kcki3EhWzVtjhYpRUlIc2cYN2z4VbRotrazKoogdghirST
dZiM8ovyiAp7WldxmrapCNzKREp5lTC1nUI6O0xQty9j5BgpOB4/Ilq7oi2LC6dMtvNcD6IyuhHU
Opd0SlzhFWO+nzU0CB1N5Fevo+3nbvbDHFmRFwMphOkbRkQ3ucVh1RfdAWMWPL5reRN5ZHa+Kstq
T/ScIyoU3GGQRm3ez1M4VaOzwYXbnU2oH/zzkhT6lLm4qkWTtPJYc8xWnpI8TvzENyEqu/yjYZUN
rYvmdC1zhffrLm2rcPIsfBssrGIWyWCvu7LxQjfp+9N8KFDY97As0qAvkeDjON00GoJqnPpk2u+s
rDfYDtMQrC0srTF0JuaOYQPWFkKZwX5FTTNIkQ6JXrGx67KvU24C8LUhaGZB3EYPx5hTc2UorBYs
MpLNK9RX7kFWB9V6kFyHWePgtYsVPFkxbP0pZ2s/UxAlxgGHyk2dmHp9Jzw9p8LVjRcnwVyumzSR
AvP57xE6pRe+1ONxmTs7cKlLPEtX1GWh4qqx+9ZpyHHu4iJqS5wf1I68SQxvI4m1vKjavFSCaSqP
cDv1SFTd7EUzqtBpUyWfmhIXXMCh4OBQk1Lto8CuoLzqD/tO6jM4R+ScF8T4O1xRGaVF0IRzFbS5
6NIM3HgYMY4TVY+rqZzcI5ZMKraJNVFqrT0uTaZi+Jx6pRx3Wrd3XluQhH2o5t5bJQ0dY6cps7Vf
9qdlRmQsJ7MZkJthkdj5LpfMXEwJqz8M3nRVd4puSF8F1y02H/yRZIMwhddvPG7/ZlNeCem6Toy9
fktKxKOiQ54nLNL2a6IIiXPHOgdTR7MV7zsU1e4cxFqNUkwpT1cJQRAP+HQsB16czI7bH00yyEU9
dX4k6xGL0eTgWj7uYktwus4CMgp3wDwM8rwTGrXryUlbiMH2KOggas3eNIkAdsOHrh3rrS0IFWxo
qUjRcNbxGYuCqyJWpCoEPFuwacZx7UxNsG3dPgkVGl3hs6C6nrTqY9fxbNghx4m0KZoor1SZiIBj
8zGQeRB5vJiihpRBZGyzDZwgFa2jv46N/6mSvornYOhWrtEyHKZgDh1CVJzVY7bqumrcd4rmpi/m
o9Im3QEay1LMA23CEvv1CQZmcohHALZ2p3w1SOtuZ+ijbBzqB6LRdSH6upYhT4tSOByeuSvyUuCq
gHjXsM/z7E6i5j6Ks8J+xqooDqhOEoGmuhSJN0xCTzk6hDVg1kaSLByK4mvHymA16vlzquFTizmA
WJZPNDlKFEqw6HMI/UWQfqk0GkK3tO1pUuAkzHpkjgfCe0juWAvmplcK0a86aG6JleWqpEAY+pFc
Vm2XhVVhmouSw0fNLWmF7kb7te0IDnOTFxGBICp8M2Snipb5hwArvXU5ng/7wsI0+MXnrkrcCIKp
gqgt+0s+KUgY1juXktVhn46dyEcOcZ3J8guuLQ4rPKltRyq2ynt/CuvAqVcmn6tDjPAQ22kmYe9N
X0yWTKLHzBdDADYMWVHEbtDwC+Pi+bTwjIIJnQPKROZ3Yw0TpsH83hb5Fbh9YY/sUPOPjU9hrOdO
522XbFk5DqFTBumHzpTDKbVJfuXn7JwyNsCtVukxwcpsvI6nXjhmuY6pSWCiM5mRTwEthnCkrBWT
5TGZE4bDxvgpIN0PUzQ31SQk6wMUpgrf0HqsaTQBzgJrpE56NNuNO4/+xh8p/zwUxr3q3PE614k9
mV3PyeO+z/pNrq13QivWx2jOxxoiq7a9oNkUBrgPMpFQCivCrc4aHtCzYXKNG0LUdIBiYI1DSkz5
1bQg6t05agqYQnWlxOS3bK01ouAyNbNq05pg7sIOQ5qfUu9cy6kLfesegnie/21Y4H6p02a/HLJk
jnKVpWGTejclM/S8ZhJfozR3qnCGk+GFcGQ3bvWg2kbIIsu7aKTTeO2WvIy06sz5PLTNNoHgedRn
TrkOanY6s/ogUb71ox7SwbhBzpzDcma9f5OkfhVm2PgngaXykuqWHKFO0qithjKm0tOhVnouo7bx
q1hZT521HmllOMFUHI8F5plwE0WFb3WXRnPLbRX1o5lOai7LdYrafJX4g10h2B4da7BrbVvmrHOa
J9W68Ut5CdGsuIQU1/1dDqN7XuQ22bi5L7cuHYDxJg3bb+reyYV0TFKIiQ3lRYplPh30zlSJYM7a
/cDB4BCZOxSxlmWwj5u2D7NqRIUYSa0j1qduPLum/WDn0V66fO5uqB76DTcqOFB5bk9ImrWflEfb
AvxP5TbyGhYVFc20AHY1XwStrVQO5YMZPqYIImwIdVIXRHOgPSZIqac+ljn4w0HASVXFPCnZpyHh
M/s7LRw5Rz0fIbPyjgTgiO1oxdSyMY1JQdgx84rsqvcH5gBZ6c7LuZ5QZLLaOSrrUV4lFa1XbcIr
ElXzWG67rnajnOcpF4QUDhemGqpLNxmTDz386masILy2VXA+VMCNTd10X+qqVpGT+fmK2Tk9aGug
pGXdN1bYqq8+omzIhAe7ctcDr4rDXJlmNVU2i1TalKF25tII2mq6GlA9fCgJbduIzkkl8l4WcZ+j
7rCq504QnNebzh/TU6y9ZDrjft6qkzHNRhoF6eg2rAjv7gsHslDpLJgMF12HsTY3QDcl71JR+M1A
zpVNWWEgjE2K+63Z5EFWBWLIp34+KEfihMzkKC5nXbeRZzKIoyMvR6BOzNvYjNFLzGXVRfOQan/T
FuCLX+BumCRynTxJD2Xfy0bAEm7zGPN0iBjueh0Wjj9A9LGtOuytozedCdDZ2FioBVDjrGfKsqi3
k7PfDK3etrAmo8568lDnVIYJ7vyvVavItVsXZBatbG2+Hiv90RRBIq/gPq0urEgwHFnwR8HNPNOI
Gc5vFdfphnUVUHBkMydsZOtfzPngxpJBdI4DUxYrg828c4FYHwyTpqKE+lj52l0r+Nj9GTf2A5xK
0X9nI6nOhgHR/VnLIcQV0RHNkKcFyiovTgtjhXITYAdNYdZj0aOwbXN1TEhTRR7Y+MkAi4ztOAbh
XKM8TiHXATlvpnjErY270t86uu4jBYX7mU1lsGoLF+8oGcmmKlotkgIiU6k0F75U2VqmXh+1ivJD
T1YM4DXZ8KUMnH5dYnLijVlw49btSQ+WiNa6ONQYT5sGlQ1QqS49LKCkHQUKyBDDumlWOhhp3EwF
1DewKF2BcpnFQ1JlcVBCGk9Gp/hsgNMLFfjVxpGJFzkDZJJ6YDUXHP7HBqHjOlNIcs9bqYRUog58
58R683Smh2zTjUV5NBZdHdK09lpg4E4Zl1OW3WrNyFGSSAmBtkk3iXLAdw0E/k7n4VRmZTi3ZRW3
he0h6QzTh8y6wXE/pkWc15JtCiZpjEsXAqZRal+66JTzqhfGmFGFnU53xq/zqFaTLYDYNfy4cJo2
HCu3iFGZEJGXgXeVBsgX3mDqKqxkVl052lw1nl+IrOdrQkfkCqX7G3eExMqlO2+nqi1h/rpOip7a
Tox1WoZT4YH64KcsYnO5A7k8i3tAS+B6/FtzKCJSHk1zc1Pn5d8m7+/WW+equLN1ocToeTHjLhal
DJL9XBq6K8yYiCp1WQicGbmhU495GbcYcl5KxuZQsbyG1WL8NXILP8QtkYdlmhanoD+4btSRseNx
r93+2Fjg27nb46i5k39GbvQ2aJoynod+3qQ5d2+HGkq03Ob9piK2iwanwR9y64MioNtrm412369k
Llxe+Puga0VZNukt16yBBOwU+9iv+g9zkaWrVDZfoF4DKjbVcorInFfbutN9Eaa9mS57mxgBes+R
51XJBVCpj9JpmtBvrX+QMW8Im3EG4qiybTLMjRFZ57RR3XefA9QcDWjyRJbji9qBkJf3hKw0a3k4
wA7Hy2xElfCato7gAtc+xF1CP86qoILOBT6op+xQOvWV1b7ZTCY7bxn6Cpvygf9NwI7qVNfnmcJX
XobKrdfX5MbQso3ctPUi7VQXI9w++lXryplXac2ZFaB6APkedZeJmVVnfLJuKlSao8hqnnzu3a7o
xdj3LQgU03DWIDQrUfIkAdnJDsOKGjJJIP8VghpnpOui84Iz0P2oFdqjisHjJX4neJtZBzyhiplb
tPu4Bio5y3SEUieJACrtHxU51Sc9I0CsUeEogedCIsHwXNZxz0tk4s7N9DGcfOdb+A94q6j5V5zi
M5IrCB5cZvuBdov9iUJyRd5wnRS6a9aFU6TxyDoifD+vIlqO+7P0C3B1dNFCSgpLZLXo8J0WqOs0
nILOFz5i/Z1PAMuTiK4xBSacGgwhgY1tP2xy1W38vvmc8nl/hAUfllK72yJ1jpLAANcpaRPnjb+v
UW9Xg1f4sV+wcl9TkP+awDVhDVQ/BGaKw4Q0h23afwhyc+NWElZ8MtE4GOsPDdF1BMKMv61JgYXv
2GwNtQsIiHPlnAyYXEpEzIFNHB0NLZNhWnr1OnN1GktVoc2YQ3HW0s5sa5u6oFxYJdyC3ughCT50
jgsyXDLIMFPT5yJFoJzZyVv5RStFbr0vCe3R+cBpEbFxGtow79RwS43fn0Psw4Ix2oa+23T7bQNi
lIvyECUOOSpb7oDOIiWOW7coNgGrj4gtTZjMHukiLIegi/0UVb7I3azYbyA/omBWq0JOemeQUleU
E6+KCmeerwucJWOIpsLZKVa1J75bOpscEl4r4BDRuOFF3h76BZRIfsDzLBplut86JI29apq+AM8C
10p1tZM54idq8JKj2WbdtSPZ17RFkxZB5pj9BmToD/NIkpBKf6hDLd3hEx9pd4pxRubjduRKi8Gv
1BpU0CoTgfV0NM8BWyElkR+xQo6RxrJuQzlPeiU1zqBeSJxjJFvahxSSwUYm/ccppZ+AIdDzJknV
Km0muwE/mGLWGgTFFb8YOIMIn9X4PHVLHZrMO+HIJLtqrJ0wrxIewnlqLKMSinTnYMBAag7LGqTV
xvbZAXAIO65S1qqwzSXr9kkN8Ucw6+p8nSbDeCcSlZkYQAsDTlMxJGooboDeDUrT0GeqvWg1aQ6a
hvNeZMoPXNG5oPFNOk/CCeLCFVNj4B0Pkrofe/gAFvGmmy+7wpYC3DgB0QgE6kyk9WSOvE53hz6s
niZ09WDXQ1PLw1lr3UaQsAJh2y4FxjQNViBsKwtp/o4JQZS5qgrmfyZtxsG1u9xuNM+UaJyxAdIK
+yRqkTplHxLujee00xbEJ7fQTEAZxgEJJ7gosUlvaJbmaVSnSTpGoKlNZ1PRj0XogaPFczNOEgg9
FN4jhhQNFLTSUe/prwPQ6xhaBB8mB2j9bJi7rwtmI6q7YZ3KpPkwpj2+zHNg4BElELDnlqJT0ygk
Rdn0/MzQFvIpxDJ1Ws5Of+kQ2e17WQO6TDUH/KidHHtZaMc9dqthWmMNB7CheDXeB0O5fxY4CZQv
LUqCA8fJ8JeplMW+Nbw/hxYqiKEjhlOsQtUQVkVFeY2BM2ZZJKnJwSkHAhmrG0AVFF4bpPkxKPwW
8knQeuVBjvBEV5YNFJCu8jixbZpHY2FO59SQXLBJ49gDGeqjO/vpfk4gVNZlNn0tdYWuEmSAqM3M
8giUjvY4CwKZijSXzWXHqFoNDmTdVBFIZrCkIih2ZOymJl9rZ+CuAGn0oE1Gf9sPro21YcWhRrCN
EJg9cg/VrIZPNq/tCFFWVlHmDCRkLUkgnFjngy4afUyngW+qDKWx6We9HoxLQk8XsEqcdrBHvKy8
v0G9dSCJDfqjC/zusFXNsOossH+QM31QaZzsbMryPuRB2oNor/Iw1aY66mxw7fQIxRCckg3LqI2c
aUZHQQ+u4eU4i2XjbVWG+Gk9snE7TLTfZ44/D4IlZUQsVB0dMMYQ9OZ232RBd+S0fnHIWfCl5iOK
+2RyVzmfdulUZSEmBVQGPAdZESUVaGXtdOFIL1n5LcpijWcvdmChr7Nem7BvJ7wt4GYmUGeLesIg
tM1R5o0ognv6fGGpAi7rzu2VLMkUQqkwb6Z2ZDMkMtOdcl+BDoyCsoxqivvybKSZjKYMkk1OC1WA
ntUXh47fRAOF9s3d5f7ANNT/Ze/Ltuu2lSh/qNkNgASHl34geSbNlmTL1guWbNkAB5AEOIDg1/c+
jm9iK7edvv1810pWYh0fcQILVXuoUnvapFue9dsNbzb8nIh3Y7j6Wzd1wIGX5kM2so+hRLDmQber
onArgZS8ZJ2N80yC8HBOyXIMWlJ2SdDvGW2io4v0IZL1/ZYOKBUizotsJlsu5XYbqirM29o8DaOp
72I5H0XAjkispsOyRctzsIIGYWHwMYTWZk82ZMirCarDsGCjXtP5RWe1eedm827uWetz0qfY2um5
EFRtcIv+n74QhKmT6Qi7ipbgNQqS+bpnnc0t4n9egQYD0JNFHyfH51zq9WoZhvVkW/P085CuXwjP
L/3gbSXVj7lof/7xfz/2Gv98n9r11w/PY9X++hMaKNjv89h++7fQrfrM+Y5v/9KZtv7zd/01H+xM
Ff85LOwN+fzHBLf/CzP92w//32hrGsHe+zva+pcO0Wci+Mc3ftDWFJNzSITZUxEYYzSniiCE+xdt
TTEUCbQ4WGPU6wnI8R+kdXSeNHaeGMIwXARTk1Lw2T9Ia8hUoQnKYgJHMQbDJCT8T0hrNPv7lbMm
599w7pmFjmWYvIRuf79y1g0VZuaJiG+4ioKTFN1qLrvEe4Z3mXqeSIRu3YTdxUqyuH3YqoFnnylL
vqp+4w+ItSEvaB8+oivX+tQkQXXJwwR4UMtSoOtDF6dnVGvMgNegKp3ug5ZJkyvpnHlPOiPA1C1V
G+rLJqvGw7K0dX2TMJWZ3Jk23VfY2E5a+LBI6tkU2lNsjrqNSgp71V5VFORJnc3vmiGbLPIzJ67a
cBiuxplNBx8v5oJl1r1utH2O9JS+Rhmw09b1CajDani2uiFFBMj0FIfjS2hriutNla/zhFl1uXm1
HsnQR3s8qOCmqwOxlkkCbBxCBCsKmzG5YP8aZqoXVBYttlDki/VtoBR7Wvx6Fc3Iu2i1IjGqFLn3
Y9ffT7PpAL2Qp5ZX2fuVIz6t3QpqnmVPK+Du3ULw1oeLfhfVAZj+2bIbq7U9zWkoClJXFVjC3p2A
4FTXWdC+ZJPBuz90gJyHuLk0uskObR8sn8cmERAR8HDfdLT9qtvK7rY6pV9D9IUyINJtf8xY9RWo
ld1lrlo/QgLtkKlUtQQvkQK61W36zNjc7HiCrAtp5ZOu9JMJcOjODFtOlFs+iSnguxCkNECEKin4
kICBRF66jHkLSpfmYZXphwQBK84FSqHTeUW+N8sY71MqKtQsc9scwQuZCoB8MuHsl6TsgmUJD2QJ
Y18OAN9nFFBU3kcNbe68H7db4RQp1IZyRIUsGEFerRxHCfsdZKfRIapb63MdhNWDi8f2iuvBXykf
h9csY4AOlXB3SPTsvgNo8WVKo7bLKTlzRA14n2wckftIF9GDTmp3ZTdRHVfejVcTcFAAB7GTr4q1
QdEOAz8qOnUy9/OQXNIhQ+ZXTQm5cZ0neWxBRea2Y6QrDED+XKbj/AHb0uxyE3q2b8LG+GIlSVUy
qZb9ohgHfqcBE/eaZZcLENAauWoEIAcCE7vP3HpVGZxUYuLhYtz8+F5aiDTyBeXHt37e+l2attkx
qZr4yvLgNd44eGilashAhARHbgOAg+smNXKRcNgnNcmeqsWDiLLJ5SC66k6nqdq3kpPPS0zbPato
/KUxYrvYVr2oIl5UfHA24Ej6Jvcx66PwLmhEUpIkFUhe+kyiZHT+sndBNBVpKvoLVApuKLUI1M7P
4GGgBQCtZrIOCcjaldMastPIGnvfEs4PaevmD1zx/l1VdcrntWiCPMlkdRkMoc+5zlKNjAiXFCN9
Izlrs7HQiTPIbRcPCmQBYjkJvwMdub1fVgPeyhm6VzCYlUBr8UigRrlWaWfv4tiUVKT2sWqC+D4L
56Ptwu3WzQTUzppc8BmvNTArtp4qod0xdXF/BwYt2FFHRxQpQ+ofmrEdrvW4sEfGTP0MTAyEetyI
fHbWnVJfKXHq0JvoYa0NK7J+LEKwMdc6CXak6907GRl75WsAcAie5GYEMF70vFNFp6sQQcFkpQwd
qENDX6nj8Q3qnu7E6MJOepzjvKKjLtZuYOBVhDxYJlQpquExSAYvcs/C6WHLlP+qyTAUW5D4Ixjf
6F3iDUQUSOGWEoJtVdCKNwewYkNZCQRyEGbTZaXm9X3XkmgPtlIWcbrE1wQFXt73CESZVK4UTZZ+
Cnuijn5wLRCaNtvZCABzWY88/oRNcDvCrRx8pbUJ8tWpsPBxNH+rRQDEllf9/WhiWgxALKbekBe5
abkDdNqWrF+WQ7qMgS0GYdQntsnpyur2HsjjDFUSqMLQ2uGStXK627pzUr+m2x2hVXYLNL0x+TSL
bRehyjzoqK+QkK1pOTbpUs6Jir5K3y07l6zQPKilaBAzwao2ThU25sGVCiIDFJK7p2HNqiKiw3Yf
oygtQR/Fn+ZU4d0IYxTXPG1PtGrW6w7YGQKWdLnjVfTctAsQ8sRUN1R0HfCQnr44LaNynbb3YkZI
Z86zI1/iQeckEBzsJ0VxTrb0pLP2fiP0hOyB5KiGaLxriMcD7hjPIOFZ3rmhkU/ByjXgDj2CUOrU
Xd2OvssDI90HImNzkYUAdmSqAGNjOWZHxM2gGMHYjUkQ3m/bfDdj/GxuWtJezrhhBcfae6w90xei
r3K8EtWhy2h3FW9SnbI0uG98hqXmbJ/mYShkEXUyPVbArPYyndrdGM66IKm4qpuhOfTxOJ8EqVNQ
rgQp9qCjE14oEOe6rw5ygjaNre0ZHhX6SnKL8O2Ee0GyPxyChcSX2zImX2jStp/tOAQ3fLTI6jWH
KCp6T3w03oCTMFfOhcnJTsF2SOdk3hmeLO9HreYLHuuXequnkwJIvDdN1R+W2TfHeWuTOF8DOV5U
TMy7qJLR/Si7/m4zAJEAZ/Mlr+t3VA7sU+A6d5VhVwb0QMXyRKsqOLbbwq/0UNUXrOL7PqyBGjBy
28TRhxWlIFBb3e6qLhR5Ipf2MUvlcJihs7kd0okW6ziEe2LE17SRCIFSqUM6QiHm1Ngex77drlQU
ucuBN/LjkkFslIxLX4K/NCX8s9s3btpHpbuuYE2dPDQCpzDRZipwfj6P6/B6QVTdDYo+izEKct1H
6rYe+qvWBf4a9eCVFzR635qmuzB1GO2iwC6HyqpsX62NeLazXw/RWtnnNehiiH/mbIeqbDklrp73
4HOfAQtDQEE03Uu35E0k9a6d1Uswc19aH0J7gWLxIst8njSyvVyny6SHMyGPer3cQCkjC5WSvlAk
ad/XQdw9IKlqLjuTYqvnVCR55Zq0vu37iR6yRA43rYz2Og6HQ7oSe+3CCGjjyoODqiO9h+ZFXiV1
h7DD6vkoRV1xRPw6vjMcFZGComWPksuWvq554SL3PFLE2j6xHGW5o9vt4KCJbLilFz2qqj1P3foy
pyJt89Gg6BXg8HjetBKITuxNVPJ+W790jRqeY78UBGnui5aZKHEi3/Sszb7WXdYXvgvsyY8kLXTd
BEe52SYuEtNo6AijprseVgaAB8zpzi3aKChL5CtADlZG3eawpcV2ytGkc71vmvoWeW8xVaTdOxZv
eyIG7KBOUDBkjSywCQ+lSlNyFGFAvkH0yvMJjsd8noBt9PEkd7TSNkfqYXcg4t7xZGtCqPn8eikE
1ACmY/WJ4FE/93SUR7YKsUvAIoy59GNzYcd5LCQAyNK4Fvi0garso1HEZns6JzyvNvIuAYLMgGoB
xaFuol/WIWlvoTJFQFhYW0B6xfaiA0ZOH8Ahz7UoxQKk7Es1a2Dpue7aTD8mKxQb0YXgadVcTmua
9Y/OQ/qZ9NPrGgQQBXXIlPMaZMIWyhyK1wWkWM1LnlVNAqBAdmUAgcYEuaVfvw7xoF5dhjNEjsA/
4jv9cwA52t6zZTgJL1abU1DaJRnT6mJeUnNtBvxtMLD9pxBvXth4u8cRg+smy0w5S88OVcIHaOKG
tXu1gtDrvlrTU8zohjcYxdxNMsePmwLjbiyPX8GpjwKKim24FDxzOw5Bzr3VJsxrwMQXgR70O+IA
icXQLwILgn70GLVTeo4GvkTWxwA9IIVhbtSAHqrmGNs22iUtZ5ekG6MLS4BhAOMMd2mrAPLFXodA
4HE8wIz9+7VaoqeRNoDz0fMPWPZIA4h5SdsUBHfu3oUpL6p28p8cF7egpnBbSZutD6vLZLnUABGL
ad7ItR8k5D3TOJYA51aTA/6L51zIIb1NsQvXEAeZ+VSPZ9plHDp9seq6fpQgKz9NSD1RM43Lje82
+aD5NkJIhpsNxrM+BNmE6oszrW4CsTgLtHBddvEMmgLAoHkQQpOpBLFXH2ZIdwAu2TMNl4HWNNR8
sMrSj3RIzceulx+ETshVxAbIDreOBMeQDcMMdpSAOFnIZZLp4WFR69iVQgxdcj2vKnrXKfOSgPcE
nr2B5c8DRbYidQTbfrXJyOGGiPi2aX37VAOffp/WTkDLnFFwMDNlB5RC0/vGzu51CWgI8jeSl6OW
A2hQ2e1rW+MlXG0HOj2euM9ReiDXMZVhpVDcfd6Q9SHjD/iY2371dyZJG1V2WVvdW5khEzMb2Oil
ntluTAO6Y8mWnVwTVSe1bfUVV5Af6zBLblqOyiFZQfDHJPjcpv32XslIQDtHY1xcCDXcjvDGPzUI
FYDZgG0WW51st4Hvt7KdB3GYzqBbd86Twg3rym4RAG9D5IVgAAEHZL5FVWX9sasFLWqUZT3qz3Mi
S7m94iGS66oj/BzB5C7zxkGrPla1Nh/7CZqMW9rUYwgmOkYxZih2gXzpR5UWs4pH4nJAIttr4Dvi
7mgW1IA2e0gToZvxT1O3Duvj5oIa+2swoeCd7mYyhgnbzTPGS4MgCe3qLnFLbJruofhQcRGCpZmb
/H/oaBlVNAXrzSbXgwB++Ni2eoUl7X/9C2D6d04AoDM/+wAw2g2uHwxMQpsEAnSHw3/6sw9gMKur
25C6GxmMvAwyUCuULXgi+hSkaSnkM9PhYanZRdjwfRDZPVQNUASI62HedsBMd7jUQ7bVZWOqw+9P
DqDS388NzYEwbBPKR/QQ+vXcNF0AJQrmbkBp3CQDckVxrBY0mf/dHfh3B4H3CZMh0SGKJG9vAK+n
FUXv4m4qRvLzv3HQ7ruk338/zA/vyn8hyVd41spqnGz1ZfrZSQOByG+NNH/O1P7Dl/Mdk/z+lX9B
kmgUSSLCMcYAIyTOLfJ+giTRQBdrA7jguTU4ieFx+ZeTJgEoiW+lKcbknT/BOfwAJUOKkW6IFfh1
KeVosv+fYJLsu0/mJx8NwchRnNfZx0Mg0kEfsjdr1CQAZJrYXdEKuI+JwQFOGuAMBjH35BKKkJSh
3DHJtM0HWF5aTZ4muL3orukGPT5CJzRt2NDRRobtWlvbwdVFsgCuSh+qGNRjDIgHKhY6F4ODom4f
hQ4KlK7LPNwgzgWouDljejnZuUU9P+bbNHfTcN21vgZyt1TpCDpj6K64qNeLPtALOYG89Nc+EuKx
Ds1wAaHEx2Dsl4MDkiULsmZlxuvhqtZjddD1OlOI7xr2qOJq6wqU1w5yBe0aCeHBku1caIwrW7sh
rsZtvN5vzcJfyMCgGYQ7abmuiBJ2x9SEVNlCHw7SIwT/esCW2R7WxbYpUqG+OsVamuQmy6alLkZP
qoMJgv6sZfcTtIsNFPNBG7RQF0bNcRDW7evNJiBhgg6/uItqcNl6ETB1cAENh/P03sWqWw79BFGh
GscFXNrg2VqM0m/QkmsLgsYsHycb+Q9i6xNs+NIg/V77dG1yYTkuNBJkZh8FeJMrx2l7GFlsdxFt
sNvLwVCkJvbK9T2FSSVK3A5eK2RRVQMBZSzG5ENWA1iF4SAbYWCIzLRXoyVtvmCpA2SGi+IdhHk7
NgWdPoRTK4q45+uGjXNCRTHWdVDwRS9JnkK60Zdkhqh8iBd9ND0AE/Ckc7pnzrmdm6BW15ItEnni
RHCjJZC+gkL9+y0RFXnZOJV71AvVtkf1ZYHiRP5FoykB22dW88Pcr8MD7QAkg4ttP/akPsOfC/TW
QyCnY7soSUpmk1utvS1REYuzxSkxxaBa5BSErnSBCaWFehFa6J1KbHa7cjMcYO6AGMlEEugHyMkc
7pTmIW5DPkDtO7evpA76E9Jfdpp0ossYAP8z3ga7wEdDs89CL6B9/TgtDcpvwx5FW80nZ3WyZ+2C
rTrrxPiQRssX4nhQLh7UHcAxELx4A6oTpHohDCNyXbJCxim90nEbXTSKp59SuPQO2GNjkfNxo7Tk
C5P5yADClqMwjzxq7Y1Jyfa5nbQoZyP9B5gk9FFsAq9gEBD4BSDQBNw1BOOt79fuxvC6dsCE6vpM
4SEN5YBuSqpE/z6WkHy6IOtOHVjdp8lgM8/TSbT3TQRB87g1wwHWtsPUp1iHiYhQV0YNeceVmQsP
vDHb913EHCKLoOJyGFK4Mvg03Fotsj1Y9PZrRxt/MtnYQ9Ntzsmtz/JOTF9qUkVl6J0rUKNER8jZ
MpRf7AVauScImDjAT5mtZbawxDalCTmeo8sHo4Y5vnMjADoctuHx7G3+313xu03137q2/9ri0GH3
PHHnzzzlb/7SP6cb/u07P/bFBD0rkjDMMLOMYrwi+pP+uS8mmNsbRglJwN/FSGJ/2hcx3AQ/wFgZ
9AGGlxQ9//7cF+ESR3sL7GQghX/0XXqTR/7OYXpOzX7aFs9Wf8SOBGeIg5zNrL9uiyld5q3qU35M
UwhftVIogCUKyJ/uyY+c6mcf65vkFbM+KahKTAMFuYzISs6f/2RiFfNiWNhLccQW2dF8wW4Ny5fo
n7tpWe90nISndjONLfttGmBK//N5/Jtjn5/Xz5f4/eA8RgINyTlFT+U3l6jitl3DJs2OMsr6BsKC
0ZXLSnFcTpp7KEH6F4nSLYMMHEYoEB/V1zWYug5ypDjEfkk3UDB1dZigvytCE5iLuenV7ZjWZzFS
K2BA9XbYjeDur+cxEfcIXa78/7iIBJQuMiFy7sb95g4SGyE+ThvcSNvKdmvUb3sdAPOEUsu/NyFZ
CkGbBGIJDdSIknX45LIZ+3UvPc6vyta7uGPrXQ85NRSbW3XIMvjhlrRpT2u2NCiZHX3U1TztUUZP
YHR09x9WCd+fAxTIyORgM4WC/Q0rPEbhPPvEZUd4JlxpCfgrJBX+kPT1t9/frXMu99Oi/uNIKcz6
56GaHDnfr8sNkr3x7EDKjgvyl6NHOXyY4tRc2Ck07wgHQfX74715ib4fDyVJGsH3eXaOnVfgT8ub
0bHrNFw8x0VW9h0iCrK7WWYYSfu7hfymADofJUKJhRYE6O117hHx61Eyi3ABmDU9WuaqA2zH34Yw
q47NmD7+/kBnZ/vb+8cZ+rQkePFgiX8bFGpJWQYoMD0ycNynLRnZTmVYMx4sTAkI6KyXRlENomZq
7uFwTq+GNoY1q6biXs3ddqk5N++sj4MqjxdADwOtCJSkNIRAuR3ERd92/lBhbb5fZNL5ItwIwGRZ
O6TYkcRB1iFiO8zdqo7I48YnF2/V8fcX+YcK4ZdVAuf498aDLIH4KONnFcNPT00wAWB5s+vR1SHs
lxKkUyLFeIKmvNn3zQh1Z9h/W1sblLxpLZwWSX1sNXDqBebFPbTU9mZoKqBBUxeWJu7IEwWQccMz
Hz0nTusn+Ox2ljr2QDNtQA26FmYCqKQeGWmyvdpQqUGvuAJI6RjkeZU/NHJP60U+I5wBjJs4v5Uz
40dIz/tL7C7qqAcBYZqMq2OA0gJUXqV3Cr0DDmPYp49W8PpUBxD4dtQosC9SfFHYeAo9NvIUDXBS
Dy0Fm7lsSXSlU9MeFhHz3bAwaMyiYS7iOYZdDqBZf2xs33yYRkiDDSyBUOAGtzwb/KsHTw6fgJpg
lpjCAxcRJHZ1rFiB1CguIQWLkAyF5HGYR/2USNV8G6jq0RKAZB62Mas6kbuehADj1PoxSbumTDSz
R/RIa0+1r9cr8LfxLWCltJzSqsvyUFfuFtp68xl6e9QsZtwFa1YXSjRfA9h7rtGgICjRMkDugsRe
aA36ro2p2TUsO61L0N30YhBghDpoLKWFjDtIOqg1ahAtAiBoWw8FRvMFOfztI4z44SeuYpdHqyIn
2Wh9FYnBvw/aZgKypcl2Q+cAhJ4HqY5Kom2hSXXhgfVZepq3KHyxIh7vatwn+EvJnBUoPsPHJtp3
asCKWICXzSYMX3pjofhVLChDuHN0fpZgvYdidIa8bXV4NGDoYX2QR+fnvVLhOyb0vENsW05TC7eh
D1aAuVaxV6hMdAngenjnbXtdCQ7E3y1Nuch2hpS6sbnS01xYAg0ngw6DyAh2iWyVDzDBXwNCfVar
J0c1TeRe0M3vgII/wWYBf3HXQVY91kVQx9mHiYt0D2IUxtB1dhcdb7K8XzYUdATY7nxmYacF/RcS
yAsRomZXUN3V8JL062WQyuwAH0RX+CAV8GUoj5NZxV6xJipUE6KGtAQCjhybEZQa29TsK5nGXVm7
Cm0DZMwOdhyDS771/dUU9KSwsPa91JA/vsNkwARcoOcpA7tcD7cbTDwIUyM1l97T6ARXbXukYUWO
SY/XJQYsSZo8MxDYzzvmAKepRIHmn5SAaqLuvtglkh+BRM6vcTL6j+Fi3QX0C8upWYCbLnKIriwJ
UDdNDcoHlGCnGfIAwJ2w1syth4sxh0lvpKeuypINUgAT650mUoMd3Nb30UK6PcAEdSKNHHZgrqKi
9mh+AKFAdaCx6a4qWFQg6IUgmPf4Y93NDfjzeAX5CoV/GfezPwQxcAMzkmYv6sV/Wybr+hviZVsK
mEWKbYFWxPawoA9Mp2UlsXPQTaQ5I/Owg3WD7XDF9iKJJ7Zz1jclU8RfbhMZn+BNjm4ZXtQbX0Hh
XjZiQiMRAtcz6Hbryqwl0FfWtf2iYGfbx32VfFCQ2F51wIEeA4L8Ai4ndds0DtnJgpQPvD5gO5nV
ODtgMCafKdCUlcTNPVg487Guw6ZsyObKKkBeGPDBH9qGhicXmWY/gEL60E9jezKQ+L5uQNKPbR0h
9lhcpBmQfsVtLy42dCg5eh8ON6HaxEUyWuxc4HFpgYn0Ddyj0DRldsGVN5W6BdXoSj6HbGemje0i
HsnbLRlgbIFHDd9hWTs+Sej8i9mGOJNmzggkZRMuKYjBLUxhsskCJl+IlTLFbykCA4xhQGSGiW3w
acZtkSWzuECuwqE1iDP0XGjtxYJxBTkNISlGDrx8qBaLuN4zc1GDW2tz5DYMViBtDqIL+CUcd8G9
xwFUGYAlzTeRAMvhXvFnJzjMIiJW0z1JBvwfuk7cW8JMaRNFP6IJyeXY0PoAo0Z/GGsGoS7yxfCS
r+QwGQQFaufwZgkNTAJoknHSDYsLSOYUuGehdn03P8LSwAo3TVUOyzHfoVPKnRVdBnpWyeVgh8Wr
A25/0nyxUWrUlR21WbCaYX+BxX72cFBaAmqHWQG6WwNRiFY/ondJyiJ1g2YLq97QIwzJ0n9h3D8K
1i8/t7z6GcZl5w5Gf2aVfytX33SR+qto/f69HyVrHP9PgK4hEBwAnBmSTuTXf6hL4apAw1IGz1UG
pegfGtIfSC7qXKzJJAQYg35Jf5WrFEMHQ3YuMilqWfQxSv4THDcEivxTano+ImUQhdKQoZJAGvwm
tW8ReTrqGv4VGr8J4gE2RAOwRjIs1faBwwPRvEBygBY9nfGjj8qJQeW9FkEvyGfZ2QglW89W+N7w
rnrENHj9zdFluh2vW2j5wAJj6+XDZ45uAiv0pXHc1mEhIf2jX5O19/M9iNCkfUlTdEv4Emp4oG+Q
jZkhzDWtIPIuooFbfasogd2/lC3s0rBaOo4kgkIVhVOWsIn5S7A1Xf0tgPoC3/npkd79kcL+XG3/
Kr+Fxx2VboQ+A+hRhceHwWe/JrYJRR2nYpV+Fa7vanNEH6Y2OrbgqWxy3EY5wfcKzW1bfWuJgEpl
//vD018LbhwfcAK6CEYhqn0I77M35dBWhylgrrh6rSlUiFUxwTQeAgDMWGDqPYg0aacSVjgZgQ6N
wCZ3dy4K/cgKGm2xCy+wz3Qj2rz0JrT0Bt11DT77/Un+WiICdEGjUFRU2XkeCcCU5M05rqoKmLIh
VIwQqBBWInrJxOzbNJqgMensFMfPDTpJTX/EJUjM0cLsn5/N+bgQzsOcBGAJaMjb4w6wayd9EKIJ
lceaiwGFDO34UUWCQenp6mqubjuBNGzKFRyMLM5/f9nnbmF/1Tzny07QPTUCfxwhE8I79OvSkHyp
ArKq8DVI2gTNeLgjMX/BixRMpx6GwPamCmhPr8/i0RniQ0KgUUFP+BY35T89EyhFYmiKgMucG+++
qWaRbAGr98S+RrHDK7f3NN5os+fWzWO0q1IRxVAL4RZADYDWbfFzT/xis7MLFyaqf3gqv5bWuC0c
lTv23/Q8KJDxtwX8FFek9jBSf0GDn47bQ28G6MN3gdBj5g8+tSuWyO+v/6z3//VRAMlBu7fzixoi
nL4VyUtQsSinpuCzgptdB8d1Ap8OI9PaKwDDs6sjuC0rPXp0TFkzFuJGcDA084Me4hpdSgJqu4dM
Kw2TrOG9Zfd6qbrx8+9P81coADYFTIM/IwCcJojh4VvwbEZ/BuTk2/p5tZPFIoATluD5kNWFcOOv
Fp0+HiAORUYBDsn15/9Ug5z/4fn87WZRGicRgENYCgCZIrT9um5Tw8bJQzjzuYMO4Qy7IXohkUF2
O3l+GQqOuD/K2TYvuuYdIipcXZYC1QzqYGlyA2v/98jvFb7VVVu7XEYrJCz/hATRty8Y2kNj1CGa
wAC5xayctzjdCtZvyLot/DwKFgd6B1HL0M53ZkN7NLSEMd7g5AIYrPFZD5Fs78u02Xzw4IZBnMbM
trUs9Lk5z6VWppvEWV8SC5CLnATtfYwecZuG2DRbERJZUHvaXaBj0plvayrhkFP//vlTwNO/LFMW
U7SahzcEIxpimEPeRAyszM4s3TI8J7zn0LgNSCixFIWY4aQr6Aa1J1Rs/o/oCf0WPpu/h5MB2md8
tLopRFeC2YX//A5Fb6M4Q7YBPDRDl0QMKfjbsmhg2NNC9cPzYPEWmV0IFie6ZlSF/jIcZ4/bkYml
3T5olLc+ySFEdRDDIeC7+F6aTQRHq6N6+2CDeYxv0io+Jwgrulm1KFVnfn48/RgCIEWtn/DlfrB1
s33YgHa5Bsqd9rxpVbj7eEB9lyn8MIQLavuQ6hUycWTxtcd/xo1IeAUHPobjPoYMGt9qVon6rjTf
Dw8RZ+DBGPUrGqNBp0UJzhwO93NuMA1cNy/rGINr3meLpctDFAInv7K2ETaH1sSCuQ6k0CsQbmyu
n7q0E9GHBaQgFlmSSuQZEGj0SFF+vzbeRk3cfZAXCThvwLkgNt4sDXQv6f4Pe+e1XDeStNsnwgl4
c7stN71IkS3xBiFKGnigqlAF9/T/Are6W2JPtGLuz0THMERR3DBlsjK/XB+cF1G/QC3rOYNMLgeQ
ntRO2dF2b+TIQvHvn/h+NXLXEoXrsG8jJ0j+8YmUZIFjNN742VvMOhhHqE0sf9B5gKIc6MwJwpe0
9KB9bEbX6D67oYU9Ypz++2Ws4ewvk8KLwtBFguIGru3SXfvuzheocNJKwua58dtGQzPrTGB972Qu
WY3yqm+dvUoBEt4PfZyx4gg6DrI9MmZ36JBtRyPySU3P0lWdxuHjREI1njf96ITDg44tu9jKYJm6
KwYRMIzS9lHcU+AOnXWy5zbjsBtyootTWlZ6nfkDcow7l/1ezMgKlTcNv1H4vF/XYrynyVuvd83d
UvR+t11XYZq3o+yjpwGyDkEseBuXIHZY1nHrE2T5dKuM65l+qpCGy02m3yJbKxTrkPZMObrpYzqF
65B2ZbE06oL+cG9dIuXSA4qUNS2eBQyZuWLWpWOzxtTOHDfMzsiRTKPfvMR3Kxv1M8QgHE1CygSA
W94XpaTXNnS9tu5TrHOPuaXpkecCNOX+deq+zWPXtmeuLc2ndYqzVq5LihJkiL9YuUMY75CB4lsd
sJjqS52UER3u41tuQ85jF96mcuKnitxbb3HOmrA/ANFR3kGgyfD67cx+we3+5tbenQC4tYSCm+sw
VTBmId77dbvUU4Wy3XTzk5cN60qllWRoLTWlvq+a1LILD5SGiOU5cmmIquhn6hxeyBQ2dTbvFxra
dXZIPMuMT0SpiseBitlj9HnDwmrSFlbCEPPHWqyrm2HZvCjQRbKsaSISPrDQqc2fOGM5PB0aE3gU
Wke5pbcBvEimRE67FH86P591KVwdVv862N7/8xT0bo7GhAtEV5FLp7iT2P8IdZ0RGtgcSov+/Aj9
w+Ec3rp5PIEv4WRJ0v13y8K77Wj9SMozqPHZlvD0eH/wsktwOaGYoo+9QXT+Rc+4yKOOWTTPxy+F
3wX7dLS6qUd/44GdQa2RtoQsLHo8pVFNtb6PIB6lIME0uLwHTiHu8KDAULMDNBYTn3wKG9WP15bJ
ETX3ZoKoy1xhFq2vIyN1zKO3Slp36Aiay2R4sLum40qCqmJvQjeynlP//Wn7ybt4lptfNwEWCeRV
REHvTzaEg72V2dP8EZpMSJumNhVstHS00/IWfomv5r3MVUi/SIJ6i74/pZCpXtq18SbEMkQ71pXK
GuAZKHcjbyvHbsq+2kVtX4yp8UGNRW1Xf6MBb1EPzcrB+DJSnhrv/IF657KjHJsEYiuJH3tzGMcg
Hm6VBJyBMqmhn+AarYqT7NpWQcQrJ21UuummWC7lBvGR8kHLQntiMgyLGtGaTlZQ+uUhcR3jo4PR
s79KrhwzmqNIxtxJid/STIN7jYjMttFSj8vCsZahKE5TNcOAkL0ow8NAm4G3CxprWj7S4uUWz8av
Ab54vnadLbnphFR+mOkeOVfhjrB1gjqjcdHTO9nZ43KVJq1tH2kKy90D6s84t/ei6hr/idZ7yGlP
SWdP08cJ6Ym+sXrdWg/sGBH8NhWG6mmJBtpPNgLtU95/SKalro5pQXbjsNDiBoE1qbq1RStSSw8y
12nKuKUHkTTvtGOozPJ7gtIfNW9Vj71TXui0lUG84xwQ1OExbawqvKXublXVkW4jt6/z77S/eZqn
PNEbrPwblPEDQxp8dC/yD15o69Det60vRHQykL/ympTxVMlsT+lLjwMCrjQD5gt7ajTBQ9q6njyF
pQ9z6cBYAQW3EcNis63XSOtHeh8tP5RIx1K1lPNpzHo6SSG8Nuw224osNgvsIAoTfOos+Az9icEx
WilwBsIW59YIoi4oHLMXT+EdcE1Uznf6/E0LmBV/h6Ofz8ctXe/L18XIxB0uy1ChWr9waB2Iou0M
QsBExwktVFMjCEJWjLQ7sApuJ/PA9npfphSEbbItgzwJsrt5FKOI7ulUK8ca3oxnueJUmTmJhzv6
bOji3cgkWXMSkdJBXj1Tm0yt5cr3654nBZCUJfuGVVvmwZXlpSqqkTbKwqnvkTaVcbofwdj22R40
i8e1s2StlzQPcAgoWmX5XMidLSDHxLtW21bQfoIi1PJ5zao7ejJZDMpJcfTmybqxKdhBtk6Yr7+E
619rwFIma0zv00ywHgxyp/XATuXj+sS8Wld8QYCtLbDK0brk+4PO4mibjLpjACwt8cZRI2rj58T5
VnMdLDw+WcJqj9hL+pRPq3NIFo+tU6yvxxE+jax/ODWAKIqSflKSS7LgSvEqLGDhtN5JyYFGHlRR
EGltx9iZUb8VcR4YizfoG2mewWuAv+V5WfnSHXNqds50E5fReskFb1osjyEji0/w+Cv5mlrTOsBC
he56uAxmi+/RUrI+mmEAxVSwxcZy5BoGMv/c44/7UZQM5CsJt5zvBZPowscq8FPYs/6YkADaCFL0
PIsfoydd+oRfGZXWenMp5FG+SMOoUdsfMW4SLMH6J68PqhvPLpT1+ONRW+cf//Mhn3+OTIFb3USu
aLgAp7Xy4bUqQlGoIx1kMzdN/WviQzLXy+CfcwDPumQTnF9UtwyaocbJ26js1DoJXd9QqfJhDu+S
xkC9fBzcpuZHXEGOTdE461Hnoc47r0EvaGz65Ld1lNnyNTk/wU4wg1jXzveUuwVnNPiZbTg6FzN9
j/wz+/xqz8MjTKua5xMCjuFLQGcKv3EK55xxCjpz/Zjcz0O+OdPfGeVPi1X4RiOVzb318Z4H0mJm
VIF7bnL9LcCIev4dOgukdpte5+ulnx+otYy00ABe9To/2lt20FblaXGDaBLHbE0i2fuxgAA1XCdl
tmY+ekS1r8UQufLVCbOW4UPrSrPevKJ6G9715LLXX+gO6xd/yGK+1K29TodmCdbrbw1deuOTqbM6
A2CexfzeXHpO5iHtmCNHX3nnsVKUfaKj449HnpSD4nKmwqv4JewAHR9eiqJinx8cuYT2E5FbST+q
kKiZiq3dZykfHpR5x5FJI8PQp5qEASkbXlNuAKjD/nF3hv2V78FfD8v4UBEsTvOlB2Jx6i6039lN
s60Tnxb8TdpnpA2dxDH8fK5lzxeCxqC+beA/1LdzM5K3C2xgixbQaNQrt0B6U5ICoyr5dCfPuuE5
bEESNvt0XtaxPyYs5eVh8qTLCgPZp4Z7Vzdssc2elkG4YqcgYauaPtvhBBT+kNUdTNuLH+nkUtc5
QFWT15x3v9LGid3xhShzHsfRe5szsotrHlifjlW6PHt53I0aAdWYj+GFPt/6lGS0Aa01+aXijqps
7IN9SMssqxwa5PXxOZNYRw35qnWIn/OncV/B9d04xl3vV8P+4gsNjyvFThZkH61NUS/klXEhqxA1
kLKYw+bGE47iJ8IZ/ZY8DIHpGVfnJMvioPqk8b2VKnXhaMiF37GcU28px3KyhhLtKSlKxF8cfZH8
Vl271TWJieAKdtQ6n7Q/FiThsyrWLJV4P8zsef3MSlMeOOutD88U3poqcE1ckYuH54Ro7ErNNXf5
eSQ8S63LMe0V8PfEK9ckZWfY7m6iCisJ/cEnjTWn+yktrTk/hKMI6p7uJAs94CYiCRS++BlsCAmY
d4SjuFksf+GuQhQlPNAmSNfhplxFLXh3fpKl7shEU6svvOFyXIImjT5UC3L2R9wENFmFRSAQeWG9
ZXxZo1h4AiXaqXUYCVTy8sDxcs1S1QXxKpF10sBBegmTOZfOqz/VYX1Ldz4d7IeVr6yt/4yFU07p
nh3NqwMMNsh/W1twe5F6JiM5Vvqjnckyy7Yprhj59EBnt+PJb8lQoGz83KdQL+yjqgwY9K3lLn31
vPjG9Tsq3CEHDnDnTkdMGUVBYhyIjElTJu524JsWvhhQLYg/wXC+3cn5XUpBe3GwDQJvXm/rbbmp
62Fd/5I5W1cTov918hY9ypxm375l75Fnr98LHGhlrInZvP5gijsAP8HJfa1tFHUqmMoZ0WJ6u+jZ
EXvUK9E6K1FB8jc/hiwxJSsRsqn1r84p+HU5tTJUF7PyItqPlB3fmzzKRojz6NR50fOSJu4JwNk6
yzNrWdOBPXUivviEZfokYQxbj75N/eGWvOV65VVBpfHlxwcFKmFLA2fEyz6f2NqipLKME4gw/ofq
vGBV50QjbgBrMtqq5ZqE7BWULPi/WYPofpPL0FiPgJoF96xHqngDHdlIQNU29yc+Ixrq9bLM24Sz
uop9BJi1WSe5cNcy464dp3VMRumCrAsRPEhRxFZlzWxEx73WJMgDr4tehUSd3+vT/lhe5a5XR/Fv
El/vDvTkclgfGMF04Ec01L1PK+eaGgL5ahesZRdy1VGWTcyGEQb6raTZi4uoBxIv+QZu73rtvznd
/ZrvWj8eyBD+yatcmM9/l35XZuqssY9IVZ2XxpIcMFfBOYCZ9O8f9S6BzmyyI1qCSMoEHv8frsf6
n1R5UP5lnBJK/jlGbHxYuq0EjO3fRQk1K1bkMF9fqilK3jC+KD6v7Mfi+O/X8msKIbAB7vDf6qhO
OZxx7v56LenguaRvy+wxoaoWvhS0ZrBE932M0BYa6e+f8z8/EEsVEgdhnLgkF5N3ecUqV7ZD51H6
IKeWjQIYcaJP0Vwx1H7M7H+/QWdN2/1dD1zvcBWgv/VlIfj03ycyJ/QzWavr8OHHijHmy5q0n0Nv
XrnuPrC9A0T4RX0wozeXu8bAS33xPdDOj1a/+OxHv7miX0c6V8RRKkYj7EVJQBfZ+7LYnECri2ZP
PtTnSTUS1zHHJ1OlrOtFPBS8gtynI8fdJR6bA6GFla8XUgoPBiMwG072h6DxOvA0E0vLvGWpl/w4
8yN1bovZ4zy5Hc/1LHFeZv/9Jt6/Rl6cb3v0wgWkZB00z7+OG/Zdqd3JGm7zvlpXpuUtEBJ90Bpg
igDO/zdlMAUQDGRtXuT6vzAM3yVno4lohD5fc/tj26PPmLYSu2NlRVLXF9n/lFoLbFL+iLi5P/p7
7FXX/+v9ebABHAhb5e15WyJIXt9GVNXMi7aX64bx7w90/YU/DVMGBOUnnxmIHoVuwff5zHFepkIt
ATgnsAcViM6mibyXUDFh/reljl/NB4AKdkPU3Bwy399bk7rNjNQwuziHIgNkQNaayZUNX/79rn5I
MX66MXKFfBQuLu5bYR6f7V+fpG1Tl4mKvD+qxbXzfu8G06pGMLbvmu4//dJSQ992PZLoPtk06cJp
Ecxhpp3mit2aTkr4DJUg83Pt+uQe7PsmpSmou6A7mprwLdZDlTMB/nIpOX3upWw4BqnS9Vu5b2qz
uHprd3bYN7tYBaTarmEpdl54n5zreVXIYcS7o4vKkdNNBUYqQTJjhrCA04mybfRoRwgjIJW1VQpe
xY8AJbL4Z/mmOocVROgxm0X4toydjxrVaLN0j3njsnRzNFzDgHFwoVNddPSE1reta/gBQqzQRLde
D5CA8PEc2wiKo8x2G1joAkem1w0NGm2vkrbYhXAhAGz9mfKQbJsoFs+BzFsERWVt5PkuMl438Ugi
eztxtqhCrBeQq1qPDb5KRApYLqRFtq2npuc8RT6/Lusnj7AX6Gs468QXpzK0rTUZ0A+KPOt8Pocl
49x7eI1VpiHtSgYmosqwKXMdd+nWMl022s1GeqiH3PtEJoJOxEwyuelim5Nh6T5Sb1grWsSAthve
onakiPARqnLoZ0DifOQEh1xJB85w4xB0/mfm6NnH4GhQ0b04YN90fEvaLBUf2iQpK0B2bW/RyChY
OCa9xd6OWvoehDrvdjdO7gLNzIZ83Q1bQjMniLezP6fjdZX0ugcqUKO95TSdxIq6KLS5/ujj6zK+
hnZTzaCgEEa37aaBE6Y+tWReLCjX55Lbj7VIUg/PwusYuxsOHG1eh64hin6Ls0h8r3Hi3NJpC1r9
7RRav0WDbVRXHNlUgiIGezNlhw30+z7rIi7DreBAj5U1JB9ZxLv4UWDZUh+aIsgCKIDZ+BjMRVDu
5gKUQuEP3kVhe8upUdNwQSaje4gUVilTEuS3UaFrCCX+oD6CuE4u/CxAc8vsy19p8a0/ZXYBXiHB
cwzFu6ePHHZJKbltcBUL+6WrmI7tKMLrcFzdz/w85+3aljqU+CDtsXYzd0tZa3tPVK738Wx7uOb0
YfOVjr1H1/HFlfKt7KoZer0PelLQaF+yi6HDNSNPxhjuSS6p64viW9HLdFfn6DtnH0V2kCbyEq+i
5jCnLVXgVtAFSRw6t2it2+gw8itPMeexVzV15ujOefpNJlWNq51T08+UlIAOS7t7FD65+U1Niqbf
WLRoPY3TEn+prTZYhcjNx5EejL1Np+qlbyc5tF3L8q590nQHRWvA976M0g8kDyE95dpLvjmUejjP
OMJ5GNwyLw4CUM2edhz90A8+CQeWgl0/T2CAe9TGANfGeJtGSZrHn4rBTeYTCgTztXfpJdl3RmiO
OUUDqG3wgvh7rAM6T63UQuKfIEfY+Y4uP0yDB12KWv1V0GtHQpPNuy922YvrKfLtqz6ErcvaGaw1
1GwYcYEz042NJ+CJ7Ld1WVRe7u5iVr9vzjh67WZZYifn2Cysz6OQ43e6m+GtFs7yBXpfB3Q2FcgH
l6Vn5Oa1wF3J6ZSBoTRW02VoMom83hHF7exELMQcqbbD6NUeAmBY1pdqAg7oCuNeBWtjKZne52Cc
v9omTW99h+kz9EbvSC3amJtBxYtQ+Xbe3o90eytyX32exURMZlPezno8ndBAVNuoyBDVWsbzv1CZ
xvjIrdtjR6IAnXejP0xOW33oc/T820rr7Enms/ykJogbGzmZidaxlbGCc0BNxTUm58bEm/Jl60/x
eJ+4PVjoFvLdl7IBzkiRp3luO+xBhBicD0D64pNwAfcbZaNyLlr/Sx8DgirJ92P5SMKVD001OEZL
ciLFsQLsJQSw2qmSL8oiqNmB4SZeCcpe3odjWB1Y6MNwmxRLdKGdLr9Hp4O2Y8zVE15tdN+ayTmW
Ygi/KC99GjknP2F2tMRHKXyQfrLJvs88kGOuI2P2hIHzo1ZJkG6UL6nYVhnYk3wYTpgFId8nDnU2
WdQnT0mrk1fwed7HUqXd67AMy3fDAN8NUefe+AgLjjY7xU7iePJIfGltAnCU15bqq5fF7tqjV0PJ
2rakk2/z2fbZyyZWJOCadJbooAovIgozW9G35bEKjHpC2+Vx/YN76ditdyhDr/9MXk7eJ22uLpy5
Th5BdC5XoKMhmUUsuRyDm+K29W19qYw/3rd9qj7CJPG/etXA4uDKGQrW3DB5yGndOZ42V5OKxlMx
Tl5H3iZuj2mISw7HYxSWpD2S02Ihy07TXH0AFpM/xaROPssl1h/Z8HHxgN58sziWRsMUFoc6SYNr
KtygaDQguV28zLgI2mjRDktmdfcVKfj7bOqE3KIMsQ9qLOVnoY2PMD1YlmuV+OYKoVJFdqDpPmbe
kjSs2c20x6IjvnCo+W0Hsfh38ZB5ZOaV9c1KXTRo1zOwvyJZ7QmJdXeRIaUdX1eBN0R6b3eqquHD
JiK9Hi2R3ZNlqW8tf26fMSH7wr+hYVwXznPfEMGUJipvaR9CfhnQmXaZdMJ9oaGHbpU6H6ERDZF5
KtxhkEdYnJ6/TXInuvLTTsUH2gXa5LLJY7GjjouLzUC9excny0ryXzSa+MZLaTeyqPdfzZaMeNah
PWp1LWGX1AdnoiHs1PqywdrFtz5ENJmLLXYKWPLliVAPQJGwl6HkOwOyL6qu2FmqDRAhpqljIeLv
++VhBi9p8uMaeti7RE5d3VU8tW7MqsuKM7mq4eMTuWyDxqTDDdmSEi6kcbKPY7R0dI3ZdXiNXC91
dqNDiHilOYjr56Dg9IdBjaWEhgNLk1CLrOhi0CGwSney2/Lj4mGwMWzmSdqJuXRZ7OxT7FMROMp6
XgHTQx+Yx8TKqhIFTlYDUlK0pQOEsny4T4WHamaDm0D9oZsx2TqOHDSxjI2ka1+PCf5iW1eRx7+J
apbTHQK5ZdeR2bosXV1sQ4xcL7U1T315V89WmCz4VzatPTU78jRNtaq0hBs0d1r7Zax3c0jzBXYg
pu+YDzHlTZz6ABCChYDKeA1jDXZC05Lm3S56Repjl0DhJzJlddEWftDtMwqFN1VBmnRXTsV04WU+
DoY4XeQRKbFSOZhdKEE50gTRvHFHqt800uhbK0gmPJFK3Lw2kV95pOLI2T07wlLfBpgdO08BuDh2
XepgOUQXmcEpLZxyq9tSm0eKNm6iPHyYLb8DQiYNnM96y0pK0xMvz8IZ9iuLkATrm4saPgOwqinB
UzVyohWaPnVBcONYQ2ieKOaCcS9l7H/JhgHXvzx7yoDLZYkIyg3HhOZxRNuxT+NUHW02D9xxTKgo
f0X4SM2YKCmvoOMxV8lWwOYVmwiZptg0TdA8qrYOd0qFOM7BK2B9hYvwVWfpcog6zAplNkEfqthX
ts7Uj3K3sNn49wl2Do8RAiKcMAdyPYwHBswGPdz4zelE9UHIto/3fRRl133Xdo9G9kDmDBQNDPPa
JovoTp6SE2Zjcue2sj6AkMUHrrKdfaLz7qpKA+vGrSb/yhUULbsMCF2VcCzauW46fGkhOR7ponbr
DZihutnZyUBDoXDC7hb94KhPQo30YfWjjeFoldG+FvaD2CQA8ekeQBBpTn3Ize1nktyPC6ao31Lq
3vJYUl/bKSbluFnmiu5QA8RkKMKq3hUl8QWXkD6w6xQHEyXh1rQify6LzHkh8zYdEO0kx85OmkMk
ovLeKm21xVsi/2S3zVONTQhVOsAykYtHYDe62JgEtMx99uxUXRrXSydIKFMZA1wzUO6Ey01nNhnu
YgLy77veXcmx5HIYneJrlXvRS5Vmzie6q8brgcrtLhCyO3mkjJ9JvtMwxpo2iY1X2hL/0NQjbmVx
XAeh/9Wv1sPw3Dbrrj25/Ws3xFaxr8OCQijJ5C48tUFbdFtaryZNrWnpSBaCeHS24N1sSIdWUQY3
0Ovc1zzPcXMCEeK0sHAjeF0Vv3dL+osxgS9RcGpC40aYMiPkVMRaVXbZiE7/ITi15TgaeZ79wsYL
2y2xYgzrLF2FOy1K66KQgfu06gYODmR/sylmS9wFwVS+QuMTbA+cPA+dSVFDdWngXVO6U1cCswNa
dTNCmuupN+K1cvVUbHvSjMOmGGqgznpmrjApOacZQRbz20DVathQkRv2bTl4lySpMyRTcPQJ5pGN
fsdLYEgPTZTrK3/m/LaxCEf0rk4ljGtLNmh+7WUInmluqz9HAr5/1Xv9rrYtad+aMXIeqa7FCaqg
1foq1GNeH0eCqktWv3bcTxIKM6FcQuiJigP2rZePjrU16arEmxs7EHu6tOgwQJHCINr6OXA8vxoO
2RBSSmnwX6oI0tR+PcbS2TbLAnxk4LXp8qntTVvduZ0z9jtOFQAr6e4Mu0VslWOymhZE+i1b/y6E
OhtvKkcW3pca2agFV9qKpzI9UDCrJvumyruwS7actiefFsklBzC8jdhwIXvm1K9AYhrU3P6MRdSc
NtXVHKeuZ297wwFM3NcD2SEPF8nMJOagjJDFJwyy/C7bjUwVyih043h4GAyThEp5yIjV2pPJjdX8
p5f9NAQ4nVZF0+4DSa3tEQsEai9HgVAKWxA1+5Zd3pdGAEV69i3kUiBkoSWPVG8mxe1/b6wksnmO
fdnOu0Rg2PcpoMqUP56TtZZYCw66TtbUqOukk7hKElp1KLmyjpO/YB4u0TeYefYUHtFVL8w36fRJ
8dngq2bltMOR6LI42ablGLJFsBzrZ5OTUIivNQHldGuXCWxaLMN6I6vjQnWLt8WWV3blqxebdlid
nbSZ2yvPcHvLpuhQWfRbRC84dD16OhBFuA8RqhbepW2MnLs3WxFiHM4OGeZxK63GRabX7SpUSDcu
Yi5Cd5GwYs5JQRAV+8dCR/gKCbKwA5nUAsiVMvXo77N28ot6L0YUNwm5g7aLrxdCP5yiaVpMqYIN
aQIx0fFlAmVyXjwfoLRqnkVs6icLdY3e0ENt49lomDt71CYN3nerVyDqdxjC+y7sExwGFTqVabOs
nn40DBm6lVHZX0LrGe4D1LEX5IGL6zcTP3oZzU3pzHOzX/kZJz3QvekJq36k+XmMTpIQDre4VmAH
TnN41R7VarEHHVSArEdCXX0Tiw0gK1V+k25C9lGze7PC6wtrnAgQML8jAuWEmJYiCI4q9PH3TJt4
erWWdJox3sgAhD/EVVEFu7FoaSwGeaY2fTlwNMB9feA0gkdATss1AqkLkwfV8C3DQJ6MCxG129JW
jxUbfVpDah0ag1z/ybgr4Dy1/Q46/mz3F07fRZ/pG/UxsIpSN8P5aAEfzAk1mvvbJg5tTKfswOhP
SB+QTWyUQGW3RdMh4TcZx0VXRHLrNuPk3Wx8SRx+M1Fwm7Cq/dO2C6Yx9E2E1zRXoK0TDdINdzb9
Lm4DrBX+NuZaaAe2NnAe5YUUtSy3eMr4rwuCBcbGn6ZboBcw7nbEdD/zsnd+ksbJ/s1dy0K8RPKw
FNm1xTLcv3C4HPMPUdmoNerygEIQwYSXyo8wdmeJ9OajN/jlw5uzFTLJ7Fv25moVj8uEXA0fAKxd
lmLa/O1oNSqw3LeCNjaqw387Wk1VkDyczaySEh6EQ9ICuDTamD9Gz6eP8M3CCoRZiTxRBWf/Ku22
9qdQ9c4midAh5qpeUOj3y7yh5Wi+pacSpyrX9ANNXW8mVUkxJMPpzZ8KqfiCHPQfplRwL2H4UyGi
zgoOssC5e/AGll6LfgeAE//VYipznSHewTcREe5/tfg4TpFGdaxb7hI1wJ9OUg0B+N3PJlLE1HhA
rRhv5CjgITE1HeCQkhYaxnt8xV0ajkMBuqAaENjtvL99o7IAOR2ykZ8to9y0n+gWDubPEavFAKK5
VWL3kyGUtgJcrM9mUI3b3Xh16l7BPK8iZEL/xfJpwsLxHq0e3mpF7H6hK8a01Bki+Bc0gr/zesJ5
Tad7kxdxzfr7zuvJSnMx3ZK5AlCMkAOD5Dc/pyJB8bABGaPgRGDmsY/GYOZQkLh0NcjUDmjcd8r8
I6BbNW7ZN4nqiM+xHlLyDX8e3mH0RBrac7v09s19SaKyyDaDqUH9Nt0npYEb5AVGHRGKSoRSeC75
Sa0+Z9aI1SBUBGv7ZrOkDO09PXmXlzYz1gmT+AFr4aKK7jT+B5c6kPR6rH5K5AWiCyu142cyxkWE
01gWvorVL2ny7f5hUH9ZJZUDuFmiNbtBOtOS4on6Pr7ovbwNd0tiETg18IGOP3kiKZJbO4Vbm7+V
XgDE/C8rpKYcnU/4YE+fklQ7G9Ebm9bJoNo3OLP8B1mxvaODXj/FhPtHx0+d1w4F+ifAgnOw+cu4
iJ6b+OZXzyIEyvpeGBv4d6w720EitNzjngS8UDl4JZ09iUzceztMb67IolnXo3TVHyXJjl08cVCR
XQEGd8qd7tmKa/+xzD2/2fpk9U9CtA6lMJSWled9nQ3Zf7UH4OJL9coGVTXDjho4XUyfONF2jXhQ
fo8p050uc8kqDzRp1SYpSf8zIoEJiwNJrYGCY3fnQ/lAfkIP+yqe8jp70iAdTN6Uywkh96yf0mIa
g69B63cVjolxo33cDpWtrV08BP6oWLwq1CzUtNBHlIlThPYO4Z2zEDbG9lxsQXsrezqBTieLuQnd
KTj4fjvGL2HbahYViRn7VLOOBTl4XOI8dAo7aw4zvA7g+XUDcmTCeFRVM73QTBpk7PAJoZeI7rst
rTnqdxQ0EertezHOVU7Fssgq1EIiw+rM3TIGJWUQTOQWW34YvFhzhCm8KVTquYvHdCh3FGJjzn20
DBVTeVtij2y6XT+GQI32tvBML18N/lrODOUnw917O3Y+IdlmAUsoh4uUNsky2ZKxXu/EDzM7qY95
Ng0RlmpWtrhwwNO44u/QwkchMBHdc2C+KuceF2mAHUmMg85vynO/NohQ/KOBOqFXliInMj2ED78W
51qbM0c5ieSrXdJF8qPq7YZVQPlJeUAcL4YxHkAM2o2vXOwyVU0j0qamjtJvtddO0VP5Vuj69+v6
tbrMZUXU6WlXhSVH8ZBa0a+XVQQzrUlZEX2rOrH2NjVn4QcGPTUD0eool/2mUPlrTX79RNq4eRpr
7zAl3xUx8LMmg6RhrG36Jb43508czqoaL2gVpfkevwuDCG6wJzAReVFSrDy/iv9Pc/gNftDlWE4x
/6+2l3/wHO7yovsV//D2D36AHGIbWgOwZDpSIrp3g5/Yg/GK5KW792fGw59GYbiBRWhZ6a+D0rYi
C/9iD3rx/4P1bTs04bpk2xAB/C8wB+fXkQwtAihE7AbIT0D80kf3blzRC0Puqw2C0zDZIt255VI9
UFFJL1GGDFskKP0fCA6Xg1hpqM44pZcQ38VndujpKWhj8dkPy/4P22shtLD67n96kv+lgejXZsO3
q3MRcAZcoMuEe8Mc/KRESjjgpw4n+1M5+N2XIPene2nnK95mgmsmC46+cHiGbS+6yv/NjENywpz6
SRlAS5oXrNDkIAQsF7LS/zrnUjLPHCgLeUqz9FMjMSSn86RI8ApQHabUIoiuXTtu4ZDPYXQ1+Unx
hGiteJmWdvkWsd4i/F1m7xJVcb+vQlMfda2w3FIcjj+QZhGYQ5kowJm50deOwK/Jt4WPzREIonJq
6N6AFwHHwp1tsY0cbNBtGgLmzQhicWeIUuZNbHJLbjwdYoJUhu7nDJIXin9ae5Y+7q4izlZ71dXm
AZpDe+goXA7Q1b24wvIV/OCWql+59Qrf/sNSytrHVfTRYD0IQgMWZEaiUbS36CJpdsiBWYEx8oYL
lAIpNlZkfsm2m3mzROP/sXcmu5FjWZp+l94zwHlYdANFmtFmk2SaXL4hJLmc0+U836evjzEkIqI6
O6uA2hTQm8gMhNwlM9HuPecfR8yGxN9gQKDWqECt/K3M3IJxg3L6szVRBmG3S//KPeWsdV6CYUjV
EtZ6fgH23qWGIQRPsXeY7FOmUp0EMBWN3c0blOxB7SjO2RCJScMbSgnQaEdtN24C3Ioytk3DkT1n
oSbJsW9z5NLlHDWNLXxpJv2TNlTJtuydaaDgxhO0zOllf5tThO4BuBvdDSkHb1hoOcgJAbAYpnzL
rjV602NpnMp5RRLpZdBJdaVIk6Aj+h83QFvmngxcXfGFabf+ZFnfnGxxt4lll/d52c5hFzMasTQn
0jdbzA5+jHMpVMlqgradrPtF6MoOtif+0ST6GOZqGpLmPG74pHrUTTjFTerL+KuvNTtS7pZtXKt3
3hOnr/eS/DOq5Ot+v6QtMZTg3eyTTqYvdtCMJiIDzMbdzu0z7RQBAB09olpeaA4d9qxxU+0L5pQv
c1LHO5ImsH6lpVN84fylOF2XRI82VopmwtNiituWUVqGb0PYZxs+e49JrGTGdcgx89SUdxX29Ki1
BVV4wIslGobIiJoYd1dEyqhb9zn97EmUun7fZjtdraYfeT6iJBjzhL6xtd1uVC9d47XpO4WBot57
5Wjqd13XEiM1SFJJVSMbv9HDSprjYpEUKhUotSDyhpmKPq1R+s8yGsizaunLo8Csr8x0i7UM0ruK
3OUy4s9fgk5lD9sOoyLTx4UqDkqykA0PgYKyBhNa2RbxBkInrr+bHpsp5UjApzSNc78G8ZSre9nE
CVcB2VptsioNGtWo3ln5jYOGTHudrNXqsGBBvRHjsB6GCa8/J1/wLpMIaNASNasu2eO7tetrQw5g
PbaR1CYqjTqyrpLR7F77FLDUb9ORn36OHUl49Sz3KdJpFM5W9YZCxyOk3BqpLE0mPsjbTh1mxR/U
efhQs3ZQLxlFz+rViyZjAJeqq/e2Ex4zqSIkflKOco9XnqBRoG+izwCNea39eJ1TXb6IzlDAjBHR
y7zbzWs+o9xwE2jLuzVALtdHxH8q/0MIMgIcXyxaTFVvpclp/FbGs0hZj/ExvQ9LT/nYAhJ6qlpp
X5tO4yceKwzJ4TT0aeYTEQTz6+ribimTkaLdKmXHxd02EyQX63fgKnywmDjFXWsJVi6WK+QG7gJr
PFcOKYAqZavFuWAVg+jiJ+DZLWoTk4wGNMJaQXKfNKxo2KBMcr4rYznBTKdt7gUilqW2qVyb0LIh
IVsEqbIzvVUasG1i04G1ce2s8iNqEA6xTthrPnXVR6f1z8Y82YcRWY+103pvehhwkYqNkpsRVWbo
ekzI+xRfBhhaFJgWyKs2qPklMcYIxJnqi3MipvZJz4fZhl8aWErG0iZ/2tAI+5rybaZXiqQJ3qJj
UmTVKUrG5Dw4su2oFKGJbG7c2tq6c6udDEX0B4ycoGc8QApcMa+Ll+wt7LWNqCj2KBx9BR47119j
XCCbeqI+dyU6Uk6/EfZsLTePA0Q7ZjiTWuZ3hdG9/nqH///B8V8Njnhw9T+NO/9hcLyANH7R+oHy
808hYL/9qT+mR++XdQpxEJ6vUQt/igED6P6FxcNDp2yTskuAKN/rj+nR+8VgPLQck6nJwxrF4IIO
sU/+9/8yybtG67h60/GvAF1Z/6XpkdrVv85IKmIrFzvtKqE0NBUB819nJCPJPbbpUj3RxlOt8evM
U8oGtQv1Iz3mlW1uGtBkizHWNC0pBmSrXffG1zwLRoGC8xHmduku88L+Sa86B9Qr/ljTfKElmijC
qdM+YlePnwtGpSCNbet1NM3+QmcNpYATYFWYVpm1NispzoW+MgCT0Z49Kubg2vbrzXtyMs7QYrYe
RNsbHxS4RctJ7RqKplBe9ecx88zy2cijwTl3EgleMAh7GsBgC2P4kUmS3EsdPC2ipQKGqQ7p5Zw2
HJDAcK1qBDilh7cps6Zk9nGf0CVlpJb0m7Zw6jDnd/sYR6JgStTLKt/WImJMRP3jxwnW8aBNs9E+
MIR2PxwKwh/pTqQt0+mTnT5nP0TjUXTppLBfasOpOTJz7DI9fVqI9bq3UcZke77EuBCMGxUbVKjp
HqyRztwWcf+215T3OQdCpoGomA4txYAEI3rGFvusB4LmQpZKjHzWVppKd9NUYV0gx+et1g+OhjPY
a6oTkdfRi8S9+Fg7VoTeb9HdQxv1xloBidPoJDoTXt9po+zbOLXJViE5LgDrdHgP6hH35Fweba8S
JzBT3suhIK9Xt7todbgt0wlULXZJT6kTYg1teWvK2EzVXRTjzkfdt0YnYBKkGIKky0mWG4c7gPsr
Ws1TSDL2gIj6txpZRMHQq8gnTzjC9Pt4ctI9jJIrXtIWYuYZ46sDezTQDDArtEDQGdbt9AHhdHdI
YouBB9utlWrvcSdbCiAcsZZ5UHdZdGagI2y6SiuC6VMjcsm9Ujuko7y5SWRvPdQUFExW9JGkFnil
WXFfYYns8Z71HL6CkQXixtKnrZDRiHvHrf1ScZ7Iudtg0TwQm3SxFngfOTHHpRXXl0QpQWGnCeB0
dPIyLO28e1aU5GFmZ/Rbvk0YS3o8i3F5Q1EL3++kURiNy6Mqsu7QtEmylfj4zk2hqAe0iXnYR41+
JG2vB+zUui0W7cwvaAI8moOgXNOtqGAVizyoZOXyCxL6s7fo5MO7YJDYLlYNrRLQLj/SruD0/dEy
jOzQpdNHW7Xi2KbUYjVINzaS+RSSbtlVigdrWw+hCVWZ50qzSaHucU0pnuLXwLmUziVflmy+4eXK
UPVVNfwOHeye2eZuoJouEafDEq/7XknR1MLEkMnHPqUUeKUI/JH+ksCEurnnp89OGTRfCzjY1wfN
MIYvhBlkOyUGbw4fNpiQkQQDYhrKWPb7qmkO5QSBYFAr4aZnqUU7jwEqIJ/zKbV7dACdd8RZdYMf
PJSyWBWKyzbOePdjdh13NJ+Rc+/cZb5kujIzlQ1ziGK13464iFmIzBfbQB9NCU23wU38JUy19fUS
YjEThIgRLnRx0REHXk+caNNbHIKpezGJzYLBn2efCEjNp5/AfADMLLcFHWOBg4SJZ6vuVq6eql69
K7pAYTPZu634lA4kAkIe72hzXB4HxHn+HBnZNfH6bE/PdLLhU6E9YE54GDMSnJGCUnpcXmfXzN7F
eprlQ+TUvpsR8lvXunlLEQIeq7pnuWO5DWvAuDenQRFBbiJt4PPPBPX3HvHeQBU2CdtkWS2BpUTe
cYDJ3nYc6w+9wc4RS9s70Gh5i+z2YRp7NeSYcE8V1TxO0BFz8Mq5AkU2OtCUtdEDYeoDyps+73cw
7FaoVs1wZVRJbsY8excC4W6yVXoyz4u3LtZpr/OGOwBacicbQq+y2qEjrruR2sTpAqAaDWoWEm9L
5J5Sme+JmV7RnXI7NMQNr8KPNOufRJnboV7I6HHKp0tNEHkwo3B9dpTs2YqhX4UyvnfS+2bH+kEf
LJvneKjDgoIDP9GnsJvaQ2VnO6JVgNGzxrzqbFG7yW0/kZBZhPbIbq/2+lMdOfm6BVXupkjIQrOa
Sb0mmnEbvPosuuTFzlEF60KirFsllV29tRVv3U7QkZn0SK9naa249+DxOzrY5tvMr67w6zHGam9L
9zdxiWDBJvbV4aOmIA/SnfHiLON2bPIj+Wl9aLEFnVjtXL8hnwHlrleh6FiEi+J+kIek6vcIOY70
s+SgF8QixZ5Cac+ohFxmpOxGHoU7k4mC8DdZisLvy+8rxb0uUjUfKCDCLuu0zUUMqULUzlhta+IX
PurZNlFxD+c5bbgTJvGsmeO+jKoLGnwu1swjWLTtH0e40yZ1is9xLveeu3wjIWCle1n05hzJnWk5
6Wlc1i2MvlIziVyd8A5LXrEdkfBkRU29QeegnSyk6eGi0DDdDbHxFqFsvhmqllOo2/bEEbtsfGh9
jPI+VsY1+bKlYK7nXqvTqdwvBK9tNE2rQ1ozh7Mel1GQ6jrb6oBIODKUZ/CR9Xqe4k1FvrDiWtdJ
dfQXUtHLOzVGT7IxF0E8ur/IbLhROe8evC6XR6TTzybY24eCoQutZ0HEdGg5k9ER4LBKakyzWsY9
96y+HXvvs1DGey1xiPQ0JxTdFsGdpaIgklIeiiUZ7vI5fe1aow3ZMKojgtFXtzPFExLDo65o/Vbj
5SHZEs13jldzv3a90qKrtVsSP9qDAX6MaH5MdtRTpb7r1nlQsN0EaTe+od/qtqXqKhdIyfyl9npy
KMbO/WkPVrwBDtBxaBrivXKd5dGZFNvPB/fNyImEKdzCeXEciZQystVAd5LsqYxLXD0TfgbPEYVv
GGSxzURLTCG/sAzy2sjDxk05kD1+vLjtoACzH3Wbfyx4V28eQMGr0Y1bZJDJVahw+8vIle1ktUaB
eNqaSSDhl/xabcWpk7LaZwPlprIr44umiz2h4WgiLafeDoNX3dxCR7uD/HZ4gM9299Kxm1eFuo+q
X+ansaOjVvNSOiM9QquRbvY/mtz95HQWIU5ob4PlDckqiItdGt6u9tplQ8RJih3a5oJIPRRRujGS
x6TTF69UmX4tDSMll8BqzpmG0UP03XIuTDozJkCZDVHonyIutGBgrdbu63rUHjkgO2S6gyHgPH+V
INHQ3IUmNV9cXp1SvqGlNk6xvVghjSvpizq1BmJTV7gzOa+L8VgkhrYmONofyMQTHy937PkRqeuK
JhgYBt5znYhrHy6J8bgYj86AHiaFYywN/S5iUUGogleaNO0E7XHB5BEkbjrG4H6RVkzJqR0mJ4TO
i9GgMohqFwatoCjHl9aTAFvTjyqybXTijtwURLxsB6LvD1GJql/Olgeepu74rR1J/ul9aHpo66rK
/Nkcvo89jfO6XAs/6wi1HEnjfhs13H95tU/MsvaXqO59XElib/S66ZNDMB5pm9zib79mSWY8p6B1
O1Bdlzww3AoZCEKQO97jIpNQjE17a4Fhdqr2gTqVgSmLKpzZ0bMWU+kp1kJPxTQ2eF/rTWe1hORn
0RHtZbl1GrEHUygCHC6E55NYFFRKWQdYXzYu3iWOk9RCjGCPPrCw76In+T55/dlmwA9Vl7e48Orn
Ganl1lE9IMgUd5mdLptMcwvU7oyGolfwl8ROzZ0oqkNVmTdvKsydHRufohyeq3qx7hRbPvQFe4oO
+R/OU2miFIFERPLmG6QiXxQcOGErFf0FHAJMQRTF89xTMA88wFWHTMrPNMoZDCoossRS0AVmRP3n
hXwmDQ6tXsdMl1ZR+iNvtY02O/JBpjzlGPp99PaFb1P3/exo4twkgwl27JGb2ZQ/GX6Jc8dep2WS
amgF+9Bsjndz0iWhFEPxjIU43QhzoMnbpOvZNBl29Iai40XJBMY3DpdlygvU31Zztd3oQyXvcOPl
CLkSXB8PzeIooYfTJFiEw9Sj1d6dWmfXcl6GK7hjUFQNmctdmxNXoi5XPfOOCtltgbQrI3DGEc+M
50xnXLE/qjXyRlPedFe+xzVKMa0bzqy56IuzPJyEPECEjlupKDuR/FTcBkGV3alnrcvqPR1K9wjw
gI4TjsekwZUBZhbWNevtqLfGzuhHeipwPBhZdnI15CVuph7V3H22nMTwjVS+z87wGQ3xB7kaPD+V
8TD0F6eKnul56H3Wqfi7gvEtGExx6FMpg9hwztJzv7l1BQzqVTssKcBhMRLLKAL3UUpVO5tm/ZBN
TGdKl6lr6S8FyLkbq9c8qsC4pXI/2M2IfrCY5VqsTtu4zk3QYE6rk3ChnerQrh7spU2+jJy+PyMC
UUsMvQMAp9N49BOrAKLPimoLYl9cubLQjc0VZvygq1qHYoO2fJhAq/ejMtOpntn5LkuVuAWobNUE
HyXUko46NpgniOkWPezzNIB6jWMyHpiq84PnJOXO9EqS8hcZn+B27bAthyegRnQilXfnuUN2Tzqe
9tNKu+Ekk9Q+1mRg7XWx5MehipbQmsz2ySyXCsul/s4On13yEudXFKt3UsZjMHZVjA+TBLSBOICL
hvVv29B1vTNIK9tkI9vS6JhK2HuOizIEX4VRlruxNMwNmQAsVU2cEQrRxxuwDcUvDfUuNgc3QK9g
UO4oojtb67GiiOXDLQZcpbrz7sSCd4yh9lIOoty32XKw2hGV2DRetQKFZdUl6Nlz7ztkY7ppMMBv
siKBzqktHGfMlZsp56/vvAkbEEuWPTPusfWHJtpQkAE9qOY5CxOcBwfmxoOztoIQXTqGHFcIMz2x
8Ku3yq3I012WINPFJ30bYDp2rMIgLsacvcFze0zSJpgmVzW3EIxOfUV+cYJfcn2U5uZGjxwLVxQi
mZH1oyJ25IQCbm2dEOm+y00KeFavU9536qnPm/7YVcbPRg6XBTWOv+4WukyvGqf7FvVucQ+qfcLq
b1OWgplSE2KiWEXRVsS4p0nXVU6Tmd2nOlYqItkuse2giKBEkvm6CWa6VvxunsNSU3fxBN4hiPIK
aitZQjgM/ip30P007b9kVT/YVU8R9pL57RJtZIznK8KTkOlGGVD1VfpTn/DyBHANuZFqMnMqE1C+
TyrRUmVRWwwty3Hik4rul/w9deg5Iy2t3TAAfoxO9pFC97lmcz/31XxIMR9tWCFPHNEvdTTSWDrM
W1YtnmQSs6DzuwlkO1WvUhv0nTtPwCiSS9fsjUOLv2/JlIObDVs52nnQNFoJw5DI8rUxFWCTaZpo
vBTaE2fnTUdVzisae4jIic3LnYK4ZR3sFRW3HVpgEIGNFqXTMYEn9i2z/Cj7ynvI8AjxHlk73Mz0
Ts+GfIYyvXek19MQpSG36dQQIYgDy9VmNhlQNEvawll8FpzsCancl6s1107qJyI63gmhCWvx3mvF
bujdn+2IOlN102VbapIm08LbNFkZaFmdYRAef2I+zAOh5N8TAga2jQlh09VKkOtIuYR0wUpkRo15
Semrn2jkpHNqfUeJe98mHNDIllt7Dmps+3fFgMVLYaYnyTvGkTKNLOUjEjG+iJu8HnP4LrVuELXN
q4mmd/ypsU91oZ1a1Qps+FgGMWw8IShOfOTKsmB3NKfhhqZS4KxUst2ZnS48SFOzPaSiie5dTrUe
OlZrrYLRuKHZb2Yi758Iyyu6sHA7ZQlbJZ/aAPwfqM1mR0AFBzGVhpnpaQ3WGd4jK6rBHAZlUaEC
XPOjy2cn78+R5nUgFr/x3v/deP3uq7q+F1/dr30gnwwXnHNJ/1s9yD/+lRrE37/vin7/5V8gXdN+
eRi+2uX21Q2CP/pbgv/6lf/Z//g7cP4vkHjCV9dk2X8u4TgIge4v7f4MxP/+h/4A4h1w81XpQ/mf
hrZ+Vfz81seheNovKJpt8lkgkFewHQ3TH0A8VR3IF1SXgAaEOzxn/wDiDQo+bMdxyVG2fy9k/uMN
+F0X8f+qkIQJ+CsOjypIdwxvze5AcmswqfwVh0/tlFROrUuOc6M5YE51ZeHmXHiCGwe0bJkp0V3l
xY913oDS9Hhxo0AdXWvexF1fNfsWa00UuJWwj1I6ZrQVY7VGV6kqhBwqPnOnZc6iPOTE/b02JA1Z
2N0MnDkL6i/84Xo3nsVEn5lPHSNH6gBHbfqs2TZBbbaDbBk54UFqsjdpq628rSSqot2OEH5JYEyU
BnVdBFpsukrzQRWw80m/2Uj5mEdqnERg4uOz6knrdVGLbFB0m/rZ0zmPO6+wLxORNkChw62DVg+d
TqMKixIflS3B1tLHOsuWB5rE+ishhcWtyJSZmZ1EnSTI3NUgWlpqzEqV1Tdh1eNuFYxvNXx6+3iy
vaOO+uWkJe4OkpTZOKnSKrRKOt3w5ea8mZOea5sZrCE0e0d/FdxTfko846Omz7+iw99jDro7q1oI
P5WGcT8wbB9G5Bi4LvT7xEbraZU2cXdLavszVO294SjEb5XTzVIBfCwh4KTr2Uk+7Uivd6bDzNo6
ZX7SigJnkz03yE2puoDOTONLh4f9OiUlVnfGvOHMBtRwZF6jui1+Qjd44ZibS9hZqcst4HQ3JEif
VhRV3AAavcoKQ5/d8Y/Ekq+eyV1LPUIZ1MLCu0Rgv4Na9zFrOwMkzptPBhkK9ykExUOdY9rXjeTd
qmwokng+idVagtE2QzQZwWzbtfIwVnPxKFomhDIX3VU38iTo1/Uj8vIH4g4w74FlsWWk3XM+y8jn
XJ1pwCIjo54tRgCLn1QhZn2jjlH8JF1HYTsjVGEIsrLy+GtRWSB5rOFIk0Y9LurwQ/D1FPnhenTG
UiSbZY68m4OI7oENfkRzE4HXUaAkryZbK+UGo7LLSfTbSWUob1i9dc71oT/Tk2ae0G74dWsACPDY
XyouxbexRQm/Vfo+OZpZorFx5QJhDqL4TUP71m7IojhUmuFkk+NHgrh9GceuAaG0KfYjEC8L3GxW
9kZJhhRMAUj1jKjYHyICmm3ZvyikKyT4Trkr1TDCCjt6M6tk+W2ZmHcTo71TevGiLS0JtsK8aY0q
tsizPrvacQ5FVr2QmVaC13bfCzSSYZ7q/RIUKRZ4IqTh1vlNLT+wmlKUo/W1Lwf11RxWimjxon09
jcplcoHkoqGON5lqvnEYdnd6Xcyh0rVVIPLYOixYOV6g/6ZgztCzFlGrEmhAh2OmHJ0osXyabt6A
d5vt4BSs4U6jH7LuSC/DuS96wIieWIQSb3XEZmKuKFprFptizkgmmeo0zKdsRvqddTc3MsRD7Vrx
YSQLDEgtNw6kOs0PxSzkruxzfVPXdbuTrIcXsx2PpKVBfy1mBKOoddPDZGLr0RZlrxAXf51MLSn5
gJEtO6nU8bFoM4horZ7dE8RhFLSWW9eidT+qhvxo25YebfC4b0wdtRXoR3RPcG16RzzZO5G65gGF
ODV2MEl2PVLAlTAFfO9aXrJaJPUGikA/xaIsQhWn7KZWYwHwaIqtIMvgfuHY9ZOZ805ULbFbEPbf
5QDwPEacz+PAM5gu8/LdW1DEIBtXm0ekDo+lasMo4jS9q4rEpODME0N9H9N/fTCwNnU7sHxwfWGN
KgaSrDpgsooqhD+92FSEd9z6zPlZVypjoY5OaUpcQam2S5ytr9g0HNa4PhlrzbTABBqQtZ8NeDls
BV8fJXMgycRgUF3GR7ysCV8fXhKKGTQTlU35q0UuGbhblOYzVzKilhPUJwRnJpNu3+UtqS8+7YTu
Hrgwk+fZbO2HmQv70QDdcfycOdY7tP1ofesIDj0mCN9ALqRhffQ8/WmgkSyKnkGJHNOfyJ+5NWIl
NiJNbY8VCr1js2Db6b2sBF9t+gO8RHxHqqV4pJuE9Rvg1dklecSD68kpeatds9uOulnsNWaed7p0
VXY0t8VyEi+9SZhwS8+6Y9aODWE3RIexBhOdjBVDMGapPNQc7T8xTSEdIyJ+ujDId/cLAUbqxrGX
ufWlVpIUkFmDMfvmLIdXFZvge9Oq6Rt3csyiUQyXzpDFXUTc4E91Jh93w95o3IiKH1+VXMhroToH
R7PFV1EY9g+L5O3UTxN8V4jORrGNPTM9WAjPC07boGN+WDYLzgzG3Ih30c+yxH0ZmC3PlNmJH1hd
wbKKQQemIZx2eoga037hHvG2mLPjcFgWHeetQy1foOXEhh7adJ4/8zT1TA6jOHrx8nK8nwnN4Klc
EuU+zeyu9nWjaN+yJcqvhqhj7Bikqjs0+tE252Gg+2H2TX7D6PUoOjFR5CHL6JBrOXbynGbRDS7T
5g5FGhRNN3Wo/PQujYrtQiXJpcYM+0Zwx/RF3Ejz3UWwGpZK5uFQjT1QzblZlGNLl+s9bYhwasSd
KJ9AP/TPtyXmUENx8Xo5S93uHYVsSi+eYYqITxwOtQZltcnSDLWl5xTZKzg0bZ0gMf0tM1c3kzIb
wFB9LQ585tJsN+gqcs7FnJs1ntcjSqFV3yKvj8xtmRKgt9FGxdoNwkxvGPDUHY4ph5iKocQ0Cve2
43iGg7G0sQiMXHfOy9Q3R43QQXSmpgqyjclL6Dxwqy0/wJkGIgESxmKik1uTlB7Ko65+0IauB5q0
vDM8FRIGJ6rY04DEkRSAqPmFKNu3vM1Yb9KYnY+dpqu+5Ytel9ve9FAl1Fkjv2wGqEukTvXG0EGK
48R7Bncp3vFxV6EBXSU2HPGwTQsElhJMXs6JaM2LShk20QGeNJ3vo9WKfZ3USxzosSWpOzAW48NB
IHDqI814wSeOjcotjNlEJzBSs1npZGK6M/+XpFGSKDIjWXDtRRQZznqivWPZ0oO6tLDOm1H/YHk9
DryMypO3AfVXtI3VaeBZUjsCkEpH+0GzaIOtvrBj5Qg9HH1Lvb58XugC6EKD3tvT0A3Lbsxg1TcI
rJqgcIz8kMX5vSqH9FtTOtd4GTcVQkWkEkgGUNsGJdFTD2bvYQp2CISKiaBON7RI6ZTlMhu6EOW7
xmaw8IFvzA96R2kQM6s6filNnICrNxtKTEMJswRah84BUWp87Siq3E66jA46dqMdqX79RtaGCAdV
Hc4ay689tMVXAiXaBulgO182UjaiJrsy2cCdts+x5UQftllF4UivLxyc6ckuAEkfLok+5+jYDLxr
UWSRHJC2MSpDjLvQKao3ln67/qNWEsHRYkyXKmqSVxHN4inF9LlTU4uSHi0azm1NZgcPOPh53hZe
EKvMiAX7sCsLhcK/toGHTj3o11KP828dvRBo66IJoWeSWpjCoJTtbRNJecoVrT5OtqmdeYXirJtp
+hnJtCdDqu/pWG5wRntGeWgEyf16Ll/rZZ6QF+la+x4bjXNvNI3ypRG//VvR1X/3/ntJP9uqq372
f1+A2WL/sf/+n/9JW7KqIoD/50vyv4n3j/fiL2I17dc/8seKjJ3BY9OlaYZswr9o1Vz3F9PRdAO3
wh+ehT9WZMP6RcUZ4XiuStao/evi+rtWzVB/0XV8bcRN2aQvYHD7r2jV/p5fyN+yBm1quqqvUX9/
t+xkGgNQZ5jK3lMUJKtptsj94Jnd05/ek/+LY+Hvfor120CxrRABCjv97+WYUiNTa5SjsieZU3sC
j4TLHlT3rmCELn5Dav5pkeFqfvqzP4HvRe2WwQiBI4SEutW/8Cd3BL8L4sjBWPeLBvCt2u14wUJF
ypVU5/vaLtJ/lQFp/Ae7iGeBMtiapQKPwEyoq1/rT99yzjsLfKFF3Le0Ebh3U/Vnkrdico3IErJw
VU7ei0psqB6qA35ZSDoqBnc2YRnlrrHiIbDG0ZxWDoN2Xo6wvVetVo7Fa9WPkoTJcwOmtWui2NtN
ktbgwl70gHjykhFeKx5ETiuYgLF/BkAvj3Rx1SEVgek1Wvr0asY0z22MuEx2S4PXMo07Gk9gtx50
Aq+/SLKTL0luti9OHV9U9CnbyRFlMJCStJecjxfT1G03gCgcHvRuKH5KQ1Z30piyZ11FfVfSZx1a
TQJCicg3GKpy2qsVyyhqLfDZUa38ls6hLdYGRu3e6E6O1ldXvNoAKfge31URK3vEheSwtAqCJKgq
1GKzF9n47vTqs3PpKLVlMZPpJZPBV5vJxX3pmqHa6e1bmivelG/mhJ0dt/cyEYv+trpnlu6clHUW
OqXDlThFPOfA07Q0+qpRlB9D69RvGXUSryuEfvOw9iUB96T3I3PpR/HJUXeYDfSlyol4TFExjS5j
nIpe6CMH5bcCIsXEnSrI7AiIQazOzjANp4Vohhd3kWjforTdkObCs5fJuPNNskXuUkO7JTP8PR3q
yy2BJN92jORvdAGhIJvVPnRHW7EgiOziR1sUyQ73yOfSZvUmJov5FEPl4N2XVlJsO94cOuvFpRGF
fMUapTwYdAieVYq0UY3PWk4szagqmzzN0BUqFQHXXMIHmAoTi2DZbY0lzc9qFg8/4s7uP3JtycRW
Ikoq2dpT78hb0FFfYn82vQgmhBfXUqjkTjjih4rqG2u2iZein/08j5+h2ikVimqxU2oX1JkwHBzD
Uwmbb6qYakBxnLo/ZSywxGX0Mfm3qpu9E7Ub8cXOdyMajE1S2QuRYnZziyahn+2ku7fmacI14Tom
jzafHtCOkSJQE02GNn7NBRSnheTpQnuU/OjpwgUEqq2PmgC6OzAZ8nVl398aC50esr0bWerpdrDk
N2WAANdlom/1RXZXxZFMGx7OjbL0hiDWvDFcCvOhnIpXx4gqfZ8SwjOuIsoxWT5LOwXQitg9q409
kM4p/MVdeRVJgsImj4ucpVgflhzqtbHl2Z3EMh+Ep1KwGiT4dlQ/UnCQvuTdxKrgzzjxp5g3omo2
wzJ22RMSPjfu6YrPZnecnpylT7ae1v07e2e2HLeRdetXOS8AR2IGLk/NVSSLZHESdYOgRAnzkJgS
iac/H2R3H5nulqP//7Yv7Ih2i0KxAGTu3Hutb/nxhnxtRgBGBEd35UrhrcI+YNamRqCnnybDIY8G
OLMFoiZQndikhaGDXZchRaPAKXvCCXI1x5cxd5fkmgahwtmT7QA/H8anuotB3AQ2p1vZJVdhZIxQ
8cglcF+tBvAZAN8qovZSLcak52xQhruTQCv9d5+zKyOHHkXkKdekbbYPeYmVBMc1qp5Xw23yh3As
030rKpbhuvTdwyjo0PgREkU8MhbTVTV49smdqNdWah4V522EfHu3t8HXWJG8NqfJPVjIN30S3TRi
gHIOzUcrqZkudnL5z37kRQ9aD+qrZ1WLgYlz5Q7YlX2sC1Chq4EpJ7TYwjk2nahOuKDDbV8OM+Ms
GYHUgNZTX0nHWeS7o2/umGLXm6JNAbSg7llXnVh0IxqRhBFF4WcQaSWCPKN6mDsypVZuZQzNBtFT
iSrVab45WGav+SAp6lnI+1cNVop5Q7gG0hI0vPURvGF4i8bWeytKGAconEaS3Tq/vDdU7oNGJLgD
cQwH0IQvoy+/g50rnm3RT3dFnnkkTM1l/RCXSdqsOsoIk8UDYx3vbbH5sY//twr8m1kJR0Nw8P++
Cly/kUkNLSj9UyH4+0/9UQiapvObiQGB0YeFcRObwT9nJThMf3MEUwrKQyYfeB1+npUIvAQeUxKC
yq3F1/oP04LNGMXmL8RpECC/QPX6nxSCH+JUmdVQwFhkPni+Tc1pOUsJ91MNQ+MINOIwTGd8MIQZ
K4AUq9pGV4gSSI33bEn6lE1jlW+FyPtX/GTjU+50nOy7sJK/u2P+bQ1nLoOZn4q4H+Bw8rmRnrMV
LeXxnz8NL2iTh8kwni1Zmec4pwGyGvwagfE0MoBdjcoZXv2xoUhqy6CXa5m1GHVQGPsO5ZZfvYd9
L275OxLEs0VhPsFjD8y99tzoGx1Oc/obT771oZL+8YkJmmPYxUpHjfvB8uGkfsK91f2ZILA4ZiY8
F0+jA7xh1/uMf0kERsy9SX3WIzR0CJJ1Lux9CQ7DhMxW9+/J1NF5SBEubCBC1kCJyoSt1m/dnFlP
nSV3+QDgEc5Qt4FNGj4zirgi+gxfQtoZ3g0H37Hc//QU/4u6/a+3AUu/8LkRHs8GqYV/vg1MtmKo
lUwjyPsNn+uYftnKyS0ejaYapjs1tYzOIrP49OvLfjguCB+rLnR6XDo8i/xr+Vg/PYsw52Kn6eLq
XAWzeaZzNJxxqxGVFSXPv74Sr8+fnrPlSuHiQkeiQzTgMqX8+UoN3YcZU0B9hprsvJHs1xb7qA80
ogmMF0KSObS2hQ7qdWa7qvy7h+bDfJJflAfFcjnPccpjdfhwed+3U+gFFOq+zN23Mhvct5wGd7F3
57LbenS6kY9x6/eqkAombl7733ocGkeCl5zryUOlw5QwQ/Gb+bD47LaxqKACrb81BhpBYcwl8V6Q
cNuDa3vzH0Pxf/+a/vVGBRAYLBP6PY1y31kyM366UQKJKy75yLgxEVm/pfBrYpo4eV85K1sTwntS
SZrjVEK8Pc2SDB7YGunaMkf/e0+1Va91EvuQULLxW8qg7n10m8Q//foWE83w8SbblL6270E1AzrA
We3Pn9Jrkcu2SW/fZA5xHWGw6cNk3i+xhOGup37DeSLF/Vhqd1hB/fPXrVntOVk0+8JpCEQuZHlh
yldOtBlV/KKQch11B9+kcWXzBK422CCIQd1SZxnd5t6GUBRlXXVWjdHBM5pBaVJNIjibKYbW1piU
B9fri4uVxXcxmNppVQy+PONEeeypbNBSjhZfZKot1gZnmOeVUEF2XSRu8BoJIIqJF5jXDBLHkANL
AkyGtTU9GkHLcEzpYN6YCsHJnE1fmw4k8IAymBSdsvcpK+RwdCLLepSJqQhc9A269jN9/i8hOZSQ
BCtpfB5KcNZN01lHYpuwjciweEd0ykS7scv8IQ2jyV+NIFxObdQOa833AFTHCm/Bdk5b0DFyZ5qT
OW4LjNtwcxWZfevRSiJcQ3a7GVAhJhG8ZsTjSOnZaiy1JnvMA7HjF5+mUiRXVhs2Dy5guP0QZoa1
67xyfgu8ut0CWcCvOyLS2xmwbd4seuTfSSJo3PVs9QIdbGyN8W7qs5qXQ6mtjsch2LV1lCBzsstD
xR8lq8VpKdxHQNbYCLLMAE+mqB1rd8Kb3hfR2qakK/etl2+RqWlxr2zUAmnXAq3PeJL6nd0rBFWT
7U/XHhyvIiKLRPYl/V8QDFX7nsBKsObXThmTXyarsGUpr79ausx6GxN8PwyNOGPkAO0PI07Oe1IM
+ggcfEohl1lF/SAIMT9mGtcOctEQ7RQHeCacEAoDwhGjBS7ACZqpvJerWKzbojejW4a7KAsOufbV
MtEtFkFt19s8USqqGfOtB/bCHePsLLodeXW8eI19lhO1SS8Un0iRtgiOccyHSM2AhFLlhjA8kBEL
hLN1FxG0hrVGRWg+kahjZqEqYPIfl/M6mF1WzIp58LAuk9Yo6MXquLsDSkdEUR2nwXdjGP1UbERt
9TDwgyE444uJo1Nl+73vZutq6uSsD51gdUu2TZz4pEx14yx3YdtV6U4XXqkPouvKZu1aukjX/uTq
Yt+SMWmsua3Wi9GUs7mBysjEhH+EcQulFL3H0FfVS1aWYXm08cUX25xRwmUeOFvsMoh25lXCUJBD
v59YSb+P2rGpHtiM7ROAISvfDQ2fYFv3OIq3gTnNcIEy3aibMsC3vjV4VVrma+Zwam0scps4suNh
4xNIQnPZ76hPqjmz52/0PNC9B3yAcoM/L5FHGrbOAXJOjngiz6W9YcqP1G6Iciz0qm1C4jhV5sCk
wOkFDyybjSu6Lozamwidhp+E6PVNTWbkMUlNFW/z0EFnu/w52hicgXl8aA8jIE1hL/ZTanxuUXqi
wkx5j6yzOdM2YOwwMuZ/1IychrPXhEhBK/BSN+7AGHgfgxDiB0JYlvaObFSzegVIWiUnSV4kZAfl
zshB+rh/dKASvblThKk/MHl4yYlDNbrtvDnlwxOwQCyHTS71GvLFNmWY+lpwwLdWWZyND53rqS9N
m9gASlUc4UBxBXovZtv2Dm076bBov8zzDA3due9613w0UeshXfMIoF33KAQnppRllh5aSLoQrX3Q
gbep4YfPlZDLw5llEhkkZqLubtJOj6NOKu4NvlM+WI360LxiBwufYVzxdJesknA1zHCqj30XRtai
vMzzixUwXTpOTqaGm37ql+Iz0dOdmxvetK1VyaXrep7plVhlP8Nn95dffvnoivWJz4WI7uy4qGPv
B0mQ3CrBuDOvw3zk1WmKOE/vK6JT0fIPVAUx/x9rqtVXya00HUZ1CNcT2AoJp/DhpjTwvoEQGSS0
XmKs7K3GwbQsGrxMa34jFhBYpUud3FflM/TScGEWwJ8gfTTnudCx96YqUJyrCY3txe4n0V3FlLnZ
FXPwPHsI2C32HYLpswxj+eoIi8l64iSpdaqDOByw5ANU2+jWlzCGyUlitM7Xuoagrb/mRe7eTUMn
6oMUDMdelFfG3QFqcfmddMVlDcEkh4gUm5y9TQmF6HZ0asMXQ0TlrlRNTF/PYZnTrUouKeEjV6Bh
M3fjWq1F7FsBM2cFrDp8bjNjjLeFVfGazEZkh0enqk35rWRB1ifAQ7wbAOd5RjIXzukO8um4ZZNR
8spsB8tDbINkm53WRhGAQSv7zBAofDQ0ZfoJdWdrvpMuwaC9NE1/BF5v8VdNpblkEijCeY7waoAR
G3DTSDEexx73ol88ZKhaVoHfHZwStthhVkvWCFjobt43RV7XN5U3OddGDzdzm8iqHK9irRrclG5X
Jo9UIt27IEYGQZmP5WhxDCh4F2oMJLuAlg8FnO30k1nPdoBqhwpMPzU4kUP+Mjj828QHV3cyokZ9
SWJhjESfdl5+TAk3up86I5r37SC7dJsy4APNavWZfYeqc0be4TULLxsaCYoRE9LQWlPddFuF7Az9
SVChtmhnH6pF0HXF1pzsqd2MBQ2K/RxInn5s1rG/0RF24nXUQKd+gWBoPmZJy7PGThc+86yX3V2F
dZgF1mpC/Mtl4hEePuA0GFQALyQf/ScXoLbaKCKGHBIPimC8yAidJ5s7T/S2SW3uJgcHPV2ndp/T
i22bxL6zJojyR6K2wb4ymTfim7w1GrUp8VnTvKtKLARFQaucYV8e7zoEsphBJyGQ7Ti895rhDKqb
KPFvflSl/+2k/E0nhUKBQ86/76T8X+Lnq+7tz6LTHz/zj4Fa+BtDHU9QzTveD43oP/soofMbEYAh
0fOO/6PDwnH1D80pwtJFcwqsh9MeNQ2Eh3/2UezfBLM5F50qA6qAtNf/pI/iBh/YD6bJ3ybIWPNh
mLl80g9nZplKi1PDgN6pCHC5uKSttRXmljlKphMvKq8/PjfsZ0rpd0J9/Gs3d/DYBaapLnU9AF9B
zf1GaQWZGgLGmd6H/ehxtIjRoHgVylTHP6M26FC6j+lj2bmk5+CmOZaxZ36um4hc2szPTrRVtr2G
b0gvOTtMnA44nGSc2fF6NvNXIraNdYrNzGIUkVsPxLHlJzCc1VXk28V+WKyWEFJvahf6FLUn5Eac
FScT+f2xSkuKwNLwGEIbsX8iVpe4maiYbusmKFjTAqhEXTxmyAMn634yhpBEo1zcmDoVN0gejHE1
1rbcWXii9mZtxZ+WMuXMynVnTpCRI8t8nAUFiOkRV19JiOiMfRr7O8fK5SQD0ikwx8paox/rSQUz
EXpk1Bh4gHGatUU67N1CNO9KcRG7ZfIvU2qYaqjzJ+lk7F1Tgb4EpV52CDnKbZSj4O372qSEsIaX
GvkaYNNE3fd1On8NtQLe1Q72fUyU0YFoiPbs2UB5AJAQYAxHdwfpf7gCoC2/wMeYNjDN/V0zolrw
zZxfI57QNOVVcQC4sxzkneHdCG00B65e22FzZVUxxzID419aQIAgtAXBSnRT5k3Juc44wqDNNyBA
GfOMrdxLObrfY1DA4Jr79Kr3HLUnjRuhRJmUd+aMvmIXGll+SuBQGlsbd+1V4+jsOdbp4lT3ym2W
eg00fsYdzajkYxg56c0sPHHDxAAGGbOR9AVZUneNKK14cGqn2UNHtUIcALU4uJBKcKsUtn0/az+9
iWNn3mnfZ7dg+ONf2KxMAM69DDgy2eOSQyXuwpZnpY57L1pns1N8HcgHPON7LA4EL9lXi3BoXzYe
3PHAR2lCcPu5ihv3HobrfJgor85sXvaVpdwlDLaOb3un7h4z4D7rqeyKY2kgUqqiJSOhcgN6h431
WoWmdyNjh+3OhKOVZQV2vJLMgJ1yEve2aNSVlSiHx1G2B0P0EHrj/i0ZAqHRh+fm1sKy8SZt9c2V
U3mMdUOSii7dYy0jZ+dzcNpov7KebSf/qpXdxDA7HOvVD6rHerTn564D+TCLStzXiedVYGAJLXZJ
YeFASIV5TkasMGtswfKNrTq78+McJbpj2+FXME/Jvhr5oXhOiye6GOV6tA1EvPgyrrKYm6hsOz3C
0OM44RTlg293/Rc7YAC86nPzsa8rFC4KUoGS+4qATGx9SJZJ2s3ye9s0i4sbFQcPVdXJi+bqCG8W
Nmoz5MRmhDY9XhAPPrXpDm2g3Pgdc76omrILYxPn2wzNHlUWuIo5ITAra9z8k09i25NfoWZurLKG
Otb4JCgnCE+lBykfmyVnRk9eoWxC2xuGO7fPyn3UkW0DybYgq+UeQef4yYgUnHfPNu8zQdx4hSOx
W8PHG8+VGNuvNt7jxW61UWLy9wQAUPIX5mBQ6NjBJ/qtkkaFmAsU//ReSSDW8e3c1fnemHqOOVq7
9HjGyVu4rgCy4kjDP5k7YNL1MASbMByf4lmjhyjyEKdtGxPnYXRpsSIHR1zFjWxudBWJrWkanzIL
qSYsPJo8aYHtnxWAWWcL/7Aw0hcGhgJWG+TmWmRyMUrWXwrSr6+iOgnvXfjnx65zJxgtJJbfp72R
b3y/WrtV073BsZn2mXCDO0Hzo183ZFucx6AW6yAq5wJTduFtSXsKn0N2jTNgv+SFoXh6Xc7j5xA9
14EdcV7rrBvP+LRTHiWVXXeZRxC3NsLrcnDaO8y88iYTSj4bUVoQM1I2W5oEMa5u3HUzrd6t20n7
JedEc/CYEmzbKKh3mLysb7MfDzcKldebY8tlcyFf6lNSFulTT4sP6EWahzuYBfEe6zqMfB1TGZtR
cmeaTLIAWNIVj+X0IAa++gpV/Ubrvtl2kxVcBTTyss1U1Mmt7WeKB81Eh2o4Llo8Mcx7HdvDviLE
45iHc/NUDATqmU22zXU03+W0NbbNODLp173AQjUYdCTdeNp5ssY4OMbWCYxf/llJ8kSQ2war0WS7
TXnFrzqsBAcat1O9ymUbvuael27KSolPRYTEg5UpOUa9tdGW597NOAG/No4vTk0fGDsiYLpbM62K
o+vAYEIU0N0XWgVPsQqAngkpHhJsr1zOj+A+EBWEbtBvz62WXyrA7F+R2LH8D20PKqWYnJjukjI3
lPUEpsEecSthgeWvUJkSEF0rt+R8Xy2whTJPxT3im5a9P8vix8GlEFllA+lHa5z3/b2MMWPXCa80
Vgo/zxlTtyQJMI+Q38O2yY9jkdDcn5RxjWlwS5JTeTfS2Dn07vBKnASKjLpDwkZJPnzJe++VUKY3
EQ3f/WJ+DerpgleNgeisGq4ny2MLKB6mZ/poybg50db1H8cmt57zTFVf6X9ML2D+XoOx4tz+hqcb
T9up4dQrhlMjcYP3+wL/xuzdUGoBuVvRfxEuZ8O6d8iJSJPrCdfRZlDTENzJXmrvU+dF3wdCdIND
AXApfGVCa6GD4YS3jmqxHzRVz74ELX2TNtKoXxsWUGqvcMSwHQFVyHVcngKDqr9TmbWhyMNIQnsW
YEzqv4IpAQ7hR3F2F01JceUnOBgfCQtIon0xc1iq1lOniIpYxb2bvQPi7IwnV0aTi/BljEhyMQjN
Oko/tTeVIfS+DetqN3rdCwN9tWrx322E5k72sfMCb0IdvLTx17rshzN/ctoBcKKcLJITDIfrIbRo
2AEXw29HVNkzgSHGgVrkqZqTYptAyjyxgxgPiZHGpA0W5jquTH0e0R2coSS52AsQ3ySpenPyUJ/a
0DNWnWMMexNn+KoalnLLnq0BfI/dXqXpMY9AP3kaWGHUH0icdNZ4TNN9h0QNr5NzX86MpTJpxMfZ
ifsjoYEwAEorPfWCXD3sqXQCzOYaKQnxV7EvPw+2V6wDOnf7VI74+uitbOkIR9s2Leqtipxmgl6W
s5FxbFy73ObDIBoLxZBV7rGXiu/OEFFGN3lD6tSKQZv57gWVF7zAfqz87uvgLEOVJxTbVBxr+gtp
+Qd++r+HuL85xFlQ9355ijt/U//nlWi7n62Df/zQH8c43/wtcMnDw5j5wzm4HMj+sA764W++JyxO
d4xTOUJ5TJX+YR1EF0nUq8uo3Gdc5vkcvv7QRTrif8Pw+zDYIv/CQxbJfH0ZjAd/Ca6GAilHIeL6
iMI5T0l+it1bu1XNeS5UsPnpgPsvhqwfBYvLtZjeC76L0OEkuoyvfhqijR1jOhmY1dFnrT/PkFnP
2WCHz5pv4FrKOdz++nofxmHL78ZQ3bLQnDOSocb88/XaBUTXBILrwfdlKCAaWjHAAM1zPzn2kVGv
x0FqCsxHWBvW468v/mGivFzcFcgyOWh7jFs/Bmajz+mmumur49zCiimLkqzDgnSQa23OwJqiOaQ7
Kf7uV/4XXzEST5SuHjsLQLvlzP7TV9x3fdaqwGdXKs3pLi+S/h08Pr2uMG2nu1jo//iCixpUcDme
XkGzf/lAP12QaQMW+64ND4kRAZz+cUpIeqB5gW2gcxu9119/rR8FEw7ZEsL2YJZj6HJY/D90HXAV
iTmOlhzhepLU715E13ueJQoCQFRMHQmzMUkAqZwjyjDzwvmxemYQ5iuQfMgrVlQu/qXXFmt+O7oD
sLEm6RBbhdMnbQV/8xS4/l+eA9810b2YPIKClozz4fNWZRjEGXvbgXFt7DwaJcy6qy4uhNzFNYdG
YBGmOpGxqoslIZM2P++gvhjAEA4EknveKe0C+1jqhuY4HhZvlXgFzxLVW31F5KoJupcssdMoLBqV
P0YGJYghhFq5y2xosDrkYkabMjjQ1hzsGncyz0BzOV0NvkCkRZrjxYQgfhcx7QSbjUbD/RKMNuw8
r52nkcGEpDvOpGe681glvE0awIE4ZGI0XiDZhdFFtlbLIxdlEt+a3yGmgD4Cdcv8ttQ/tHPMFELZ
DZ6E0bmfKq2uK5Ewz/JcBshjiOyWAo6FgKku7ykOkOnOUIi+QurSYD0B8XodMqt5nVthH70xp70/
jWPzintk5MzQ4UkNJVgmUigyIozw278FrZguCAyYtpRj1LzaST9dDGmYj27PyYchEJMbtLPVsdLh
9OrVPY1q7AiUNZCWpwtHBn7TJkesXBYdF6QrHT1zrKFqGgLlvhUD32Mwj3xvLVLvIeSm0QkOn5Wc
3TeP4cgF/XG45UDt2jsNrCJYhxPji1U3RtPl92c1yaju14mdMltJ86l7h/mL0sdx+WUtPTbdvlMj
oxyDpObkFPpRWh5zSVxdj58WfSymHSt5SUYVPgcN6+mmzwf69KXGQ7ei4nTe6i5oXuFa8/LLMrwO
cYjSiCbubuXQ0gaslANUcIiLhXOAlZthSz3dDQPDvs3oWXylvN3NK+QQ2mC/z2bGYREghYlpE+2W
0apXEK4uqXJCErrjuj38+P6hkLtrewgcIt/A1YeBkXRrWeGb+fFnyIRChKhFxroxJweD3/Uetvm4
UZCld/ToeYCT5fXw+lw1B2Kfo+jK7DjoQGdRA9yPKQgvKHrMFkY6x4GBegnK6bmX2M5cfEW5NT3Q
RBTwOKN6isYdk1G9oNr4ASa/pjgqs/chT8cwKZNTx/TT2GMVztRGxoaOLg1WowKzt4uXp0qYV19b
c6hf6b2q95Fc2XGtsm5O75Smhn3p+PoT5kbViKAiqRgNCRA8RjDimhN5ujLc0eV77h4bO0q2U0pz
L6pCDZK7WEuck0f6d0BtAtjqLobINarKQ4TJ86qP6+nRKweoSU1ERJRlaKZpzE8J/TA/dcKSmybR
3opOgQn/KekvillITDU5up97il6H56tTNuS+dLoafWM8OEEd4y0WVk3+Zj2fAxT874xFzDOmAf+E
YtU7N6IKUaLNjr420QVzwyeD8LGZcNx91cz9e5gmjCk6Y4jTDQ93eMKTNVUbYhi7cIUYCeB81RHr
ZxrOE0gTOrCtfKtMcn8zTOHOQSqbJdtEb0zWI30eDPs5ENzE5H+sWJenC9scz7IVVUl68IyIXXpx
BKBHaV5d6NvPC++Ovmu8JA1gK5guMy2n50WZe24cs3nVcDIYy+fqbWJy95y5HgtmbeWPGTmDL5D8
ebEgvNvHiIiBfeojmw2acGlXhRFxhCBFHz1yp+YUfk7Hr0GrwC4D98TgX4Qvc9eYn8vWMKAakL4S
HHE6YhVYm0030Yg1OeV5lm1/AbrielvyF0//Pxu5JaHhiFjo0U8S+T/JR25C5T9wms/9TTqqo2sP
UP1sJYGJJuY/g5LJOridBmsadrNjPX9MTHa0hbvWKBz3j8TkyjecL8RK8+cbdqz2yU1CC7VMoPCL
SgRF9W4GEks/Js4HjkVdblzTAxn46kqM43Pvxp+0H9SH1KmCW1hWAkBwn9IXBtrHbDbqXnH5Uos0
vRtc20zo1zmpFo+KKIqWnlLnsFg4RUyXIOj0kflbAAlAsy2QM0tTHqPqO3Db8NqNXJa33Jt5aBYl
56VjgLugl5ZHacD+sYmT2jzbVshaKj2LNT0L+XtGIoz3Xp+E153i1kA/ClkHywFfyAqqsFqljcN/
SHJ6b6vJJnDAK5q03MQWmrWiHduDRnlIa9KNQQcvVqBrErYNGBI1V87YTHBv+gHmG5vLe8xai72P
6fZQt1zYjmbnbdaYS9Y/lkDw70wsfYKaefSVKJK7XlVBtRoa5VyrYRCM7l0Gi21vdO8VkATMEHbL
zk9Eg/sGkmlCbOIuIz43LRjgyZrBMnQjn4pBc67Z//6xzAoj5l4mGZUEMny2L79ltZdF2x5Gjbax
H6l9kc+HEC8KZscWbaIKCQmOgOnGhHNqrwVH+FdFlzm5tdyRT52WDb8rKnwuSY9G+xcEZ0XHbuHR
qYbGwPEbMoYKxOj763hyvNOQE6HO6dTVDxGn+VcvMVlYdWtk16ppOdj+64xsh5YQM3KchA9FbdB9
IvHke9/KcJ8MCoUQn5kq54fqwZoUj0VQtOzkMuzNR5uuDODZdkK105JuAShtSpdvlJwyeIuuZlsf
wAiwYbYsVQ/RckezzOY2DeWi3ei4jQYY/WiFP1OQ9O0ysCJlN3Aj8WwamqA1vidKywdCt4zhYfQm
YCjrVCVxElyKPAgRp+cNKdkgdWOp0fTk8M5MMqGplul5qR5Ni0m5UQjIAinZ9PkaWHi66RWCCIX5
aU/mKTWIbyXihHUpOZOhOSKeTfSWfyTETDc8Fdnc3HD75QWSRHLMx8T4NBlhejKIgkaYlLD16KA8
xOgO6PVjIykG5fJ7SG+DqYmccT+8chigrGXJ5CdgSbcBDtHHi9HlzWZJ12aSx3rsY5o+hXmpHLLY
V5QhGMlHGqI4tvtV75X5dyN1XIw9dXQI55ppcy9HQp9rxFisCt9xiH6HMX0bTo468lxTGAxS3IZ9
I27dErPtSOff63R5mOjrbamNowemZHqXsYnSdUngbzvOrSOYjWMjqe652+zL1VSc2PnKvVPmxgop
Wb8OSg8PfHEzIN3G6p3oW4FP46kxvOG1rS37XI9gMdZ2LCggJ7kvwqJCJHdnl+aFyq/aWsQCfne9
yKW/RAQljUcrzAhOrnzlRMHByGbmJB43xCEdDVWYayNCK5kg1RTaaFLXBjsw5B3mlawgCSKmFfsV
qyFqvatBWsbRs2nf33R5wUNaJqw2qdfyRM7jwg7DfYtsR8O8SNcjZffm18eo5dTxk+zcAVqA69J2
aSyYtCC8D0fjeYR/yI7XHBr3R9E/Et4ETJMn8dfX+cvphwvhUaSXwbHf4eD25+Mh+UL9kNVk1hS0
P1OU7b75KLtFLudM5gK8Wo4uP5bDX1/3L0f/5RcUcJk8TqaEyH04dXEkL2yYEs0Bt5L31huw5Mtu
Qr2l/IT1qy4rffG8hLVYjkuV++urL2rgD98u8nhOxbzgfIiPsXW6y+ieEGZ+AKrLAWSGM/gYLKsu
XBRW+z5u+LdoWo4lS+VtOQGL+4+P8N+O3d917HBR8BD+e93FzRt5PG/V+586dr//0D86dvTe0HgL
mmEODmcyNn7u2KGrcCFt0dvBA0A37R+6C3p52H0Z3oG+sheL8T8bdrb/Gw+jTf6U6zMgQZT2n+gu
PnZ4QlqCgRAwRwQ+Ge8v/QROKG2Z5PPBj01iJqLRqa7jKdZPNHzGdRy77t88zB+XCi7oU7UIlz4a
LhzvQ9cOFX7SG7OnDxwC23vm0uPaY8i9/+km/Ive4MdXhqvgVkGxsghJTOujq6R3OzFKsjEPbMrp
XlmTvM/rlp0OzspWGApzIGOcjSMz49Ipf3r69eXBuH14Z5GAsRDSPWe0zz0OP3TOOPKCMdY+wQCF
xzoxKbg2hZ+Iw4gOnxlM0p6mbGq7vY5oJ4I3tAltahvgt2Rz2O5DTReYGJIo0DcdZgDqDhNebzCr
fKetnD9b1Jra0S6MRSrZMJyETt5pd40JQ3+Xvc4vFLz5Zp6CGZqxyywHb+ip9Fz5KUql3kdki6Qw
qkyk7zVIFBhdFglRQk7mI46W5tyqHHvgREeit+EzKw7CbxiKceB29ai/g9pFTA5g6rkYSAHqsqkC
IWgU65Z4Lgbz5FwztRD154SghVczFvygmlKKZUkEkul50SUc/bLfjF2zZF35yNHwjgp+NgK+Yu+t
eOTXFH5nbSF9W4/IboMNlLXk1pVzdV07IYylIrYgmflpe18TJw8Qxlfgtno/WHVMi29me0oPkSjV
xsZTfMoHS953Zb9kgTEj9qRZHMFE8XHsfnzORDk+oxP2Hrg71hZTorWtLLdYDwzUvupa8T6Qm0c9
VumnpI/q10HM3BnZVOLgqZB3SBHFZaOBZXJjpAeCA/R3NTT6SaAaftKi7V68OgiuI3w6RxlTU+KT
6V4yKvXrqa4ZLUM27zdhhtRm5ZQKj783zMhaSDLbdk2ElbgarW3N9PXSeEm4GszYI2Gibr8itQth
cLB5rmMiJ+IDeeMMh51Bfp06XufA6DHOp0NxrANurvap9CdyziDe2VVbbQXYnmPTgenuSf/d+I4x
7Zk555dYoS/0QOKcHcgL64Kg4285Azc0Kn1OUsFixx3N+jOT1fEZ3v98QwI5fxW0FWRCuLbMid84
xA51jvLlZTckYOmYmEXad9bWc7Jwha+EY1Ce8ygSHzl+M/NU73VqOYBuuRPRGEIPJ9J9g8cDhlcB
B/c70uOGY0voIs6OsgwkrZFW0FWi6OKJSH51QzHfVCrRT5bCOUt0fY4iQeY7I6/6dzwT5mPqpGqT
xCSZQXsq1hinBFD35ateHtGimsZvYALy3QzRhqPhzJ1wvFrvHZPnv83pGBaxH50KLLrK6IZTkrbl
bRx8F0PIiQ/lvpfQ/SutY9K5n4Wl5SeL7PLn2OLZXFnMR5YEu2DjOMVnJ/LHbz1MrTN5BjyUEzzm
iTHs2SOFfccsrrlFxuBQ2ir3dtB0L6qURtpAE+KzQdduO/v5vGutqP5sl66+ymzDfSDHMGiw4Afo
NSpVvxFZ01XrFBUZnoowR3TML4dAuTh2gLgvZNtX4H3SbL6B69y9NJ3x/9g7k+XGkWzb/sqzO0ca
+mbwJiTBTj2lUEiawNSE0MMdrQP4+rfAqHwVEZmVeeveaVmZRWVahkQShDuOn7P3XvlpEp3B2B3m
0NrAJHEci4ySWumAgQQiNLqpY7pziFp4lwWudO5aWobYk/z6yUDGcEmXDHkZrQtsOi4R0uZXPw+I
fHkeiDvo3tOmt59To6JRu0f1U9lwnmatCi2d9J2rqVYUzIqmpn2C6jitanucvhj+1K2FC8RkxVmn
2TDqcbfch47OucoMmBijVtkOfXXdi4DBJ3fY0UYg1+mtdkde8Ulz+mu7lCWf3XPu5gY0n+ONFgPe
mENbdF2S2I+mjUUU03Y+lGb+pXVseH9F1Ie9Pb2l5CyH9tB/5ImJzKyKIVDbySGZXawKRi8vRTkA
53EGfPxR3H2Ae6/DOG0hp9fRlqh04zjOebAhYM9DUwzuIJYxgRO0x660gNbfupmjIxiNo5ZLMDdF
DQdbBlF9YCpQoKkZYejoGBjKNB8EHeXiM6aJ5q8sp/J2xGxN68CuTlPlpSG+qOAio2V71bqZ2roJ
C7bOCKJNpwjVHOOEA0I0YzGX6Qe9op9HogLj4Q4aoFDwf4m7ZllWRrZLdE+uTa3UL5STBvs+Nu5R
vgfINTwmHoCgitDk2r+3Uil37dQBnoly5jtcxYjD96ZMva1rAEIXUXPZk26L4UXvD7EK6DQXASHD
TuTWiJ7bd0uofhc7Mc88HuD+dkh4zJE81IVZRcQBJxFjZXR5u8WilMBKIQiOUfb44jtoJ5WVjwSm
x4xwijx/huolPAAfLnjXdCCk2XMRnwUOzE5vsC0qRKu+ozrzt3bvWN5Bsr+SkcUmQohgTsN6JVlX
V3bRygs1R3NIChy0llG2GytJWFUtNrW8JnGKO3DqDOco3Wb8MisrWzcZyR5+W+1VsbEGTRyNxp1f
SQhxDviZ5geQ4yImuSnYj7MTHMo+mm7T3Jo3Q9TXR0RF9tplEMPtnsPHUXEetngi77zWhikSTUZP
P0KVFP/+ttaGMmTOM6+YECzQPit78lwQISjyiO2OJrSJAaSVOuFM2ceknxgaz/JUV4c0tUZrZcML
jQk7eyz82NgVKXe8a4nk4A9jFAYoC64Ejkg6K0o7ld3oXxv1PB3hHSJZom2QkCHmkiplI5VIotm7
DMYOY4CtFD3zYolZLe0kv5LtbBxkUnp0bxK3uQBhZTGO8SZ75TkKbaSpivYimRCMrjMj079JJLPF
xvaQ+m90pkSHmSAKRF1as+uNwnlWsGBSAGppdml3cfteWhliTKO1BzLcjcqIneeAmfReJTlBkAhE
WwZYSw8HJcrwJjJD4AVTS10g67txJMGQGTbkBJ/AhQttLIp8BUc+87j9yuTQWENzGdStAIWA8Zim
lHDSPVFvUbvOUuHc0JhM9zP5KW8mOX7tupETGhltCUpcSiT6QTyHCmPeZ05bkTkbEXNTye4D4SwS
oFiZIt/qecsDR7ILf1ZF4W/kpDFAyL1lDeSUCV600JVjh8mTl6TM5hLp3Mxpqp00IcEpD6mVLHnk
GCxpZTrrkiIv2djuKN9G2c8SsCxfkkHaCQ0FqsLvxVedIh7OjKn9kMig/Y1JAiV1crn0D0YC+0LK
UPd+zPEPQNara5oag00bBbDxARdpdVk087y3dXB2pVBsxg3GJExXZh1tEocuDB4ooZ0qXC+PqUlo
YlxSaRB8K68JTlneRVA/WdpysI/qetmUiWb8BCrqr9LAozwJCCW/ZRusPizpimGjxS6p3JSJR6gV
Z1sEb2dadKOJoZEZCRo4Xxm15lcA3ZtpFxP/c6EPGZ+/H9QmjnmWC4qtZzzThBpOS/kbuOLZ68bi
YCKuXDFiNR78cpw+/UmmO9JjUUVCX2ECqVp0rjTuzJUgWe2Qm0F999eHCOPPzhBEPRPF7HkEQv/K
q27MIBcx+sZ9rJn1MQrYDCmHkTnWWd3cFUtFM1sMtQa+mJd2arA2qoqL3XfO3x1ojF87IMt5Znkn
OABIaiKQ6ufOSy8sgX2u7vZ2SuVPiGzv3HhuZ4Zxp8DP2hSECTTDsANMjBZXoJNuHWs/d+Iljipu
TMRtx9YapotKyfoJdI59Q6d4/KKouLd/c+E4HP/UMFnerG/gXUYHAyzn1zeLYCRH12W1ey21dBqW
lXs/SRaaDiTuRgOEt+FRxA1G4C7zcZh6G53n1DGvRvGaSepmj+Ch78aVf+n5Ph85f+ziLHoGj97L
8qY8+w8H35h8SjNghrsnYbO2EPFa0ab1+/pyVtqwa0iR2bA1zyHGPx48UU8FlUkOr3SYWKb2kJ8y
ZddHq3CJGoPe+yHTwrvz3ViGoIrnfaQ1ol7VHQbmv76cCAz+cD09MvxpXnCotlxviT//UZXh9Jol
kWM2+xGi5hrZOoJRxr/TVkwQLGRaqU2QWN7nwJB5n/oWBmPDfPUz+RXPHvpeh3JJc0hY7mUprobG
tJ8H5qFX6YxUUNdL68W082S8krGshgtYg/4hco18o9tg4mFBTzsmzNmekaNzoxtIa5uxpF4tmEBT
QM7barSmCzx1atPUvdqIZYcxaaSehrhx74EyTZ8laBJnZdJphjSCpJmixaXuVaI49D0bWILUkYM0
E3jGqvmCGUPmRJRhXLITn2v1sZrrO0hXy54SLGV7TkEflA75VHrq3ttWLkNzjCQYOIO+f19Tgxq0
HAg9Gh7hocRMAh2zeGmsPnePXTF7w2UdqZiLlKJp0EZk4qET5wnEUKa6BfHNFjKGBrMurW1AGHaP
XF5EtrFCWIzw1HPnIj7klDSbiJFAfogo6KON3pKntyY0ysDTRk6ReRHoNjjQwholT2NqeuAozCCj
aInJiKtAhCObcIJullLeGw0CryaKfI7T+p7TN1ssCbZfCbvCZFsZzroFeNesIQzNV+cIHz+x5duU
ARprUgZT/UB1pZOTtI/mjgNFUrn9Y5cWLx6h1ut5ZJRKpJOVbpopHThUcu2CXPkpQfFcfB462qnJ
TBBsPDjucmtId1GesOn5Tgefhmn2K1wh8WpPBrWhWZiYXIntwVTuN7ecRFFE1TjNe8Wh3y2q9mtF
vu/XcURfoMPJeOmWs10Fn2SdMPpQoOkLXBt4d5lPwAc5MEzl1FJ5QMoxFt+VVtM/6gZ0a7OCFu60
zIx1mxOWNM6U8GrmCdCh/P5K5Diz/rqQ151HqAk6e3aTLqr8jeV3nIwimzj3tXBm1sgitSRtyOA/
orOu39GpLvITxOmgB1t4Tfa8rxKeibWs6cqZikfOGCyP0KRku3QmkJoFhLEnxYT00lC0WVrJIDJm
Nsq4zqsu3ZgL1/AA3SF9dmB2gcxCG87xXk3pzl86QIHPcbPM6Q8hzaZDAD/202eVzmHqzxL9NkLm
0ZNvXd9x3Nad+MaomH5A5XLXhBY460pbCuflXY8g+0gaSwU3hiiW78BSxcFYluq47O86oeUbSbPk
BaV4vx2bMgPAoisThnpKZ2Q5vKajzgE+Ge36Tkd3pNaYvbhtl2exBO4WLb2e6SJH3ZgsRS99Hcvl
Ui1NCQEh5GKO3ekKl6h/eb4NyZ2mkIirWt+PsC6u7JiOh9VO9d2541NZ3D4lgX1r16BzUpecgovK
SPdk6pbrgmShyz6CSnBuD2ixxmWwa062NBy59Esjb079aZtLGkIqST4bf56uZpYbcmb00EzbRnph
fkz3SidQ7QTwFbcCBXDAOYWSrBfeeFv3A825quMrjhnZHsaZT6QjCaGJM7MERaBowZFWQPsv1521
7DURQkxYNBPIvMIKxwJDyNK5MXPXuafgAQnaukP7Fd0eHcHZzuun2bJplDmdqt/xiZthq3fTl0pj
mUdmUxy0pbliOTbbGif66Hju1Gg+z3OfUqNZV3PKbypNmj1oomRoGbz8uX9zfkiOOb3bSiT2QdO1
bzrmEcplVCFqXZQUS3Wr59vvt2ZK61LatIYwFkcnHQv8pUQ+sakdYr78rq2fhEEPDQ8FPbV+qZVV
aSU3g81Ji2jYjs1dM9sPUQTiZYwpdhq9Di6Vxz4rFCYI8AJ1865XUPFUnvdGePZkILSmVZGxppf7
uW6WbbiNRAtmuKAjydSKmjdv+HEeotNFalHwJUvXm7pkeQpwQHsxfG4Je+7bj76OxGtiRPGNhyh+
a2A0XxPlxwGAnWhVoHAi0YSPeC5vfdJSCIyr8hNxnXSRbB6TLpGiD+dng9HRAu79OLnx2PLpO9FE
HTTHvvFizeFRoQJErAFlSD3l5oMiB3QdlDb9M0ElbHMcRn+YGQ8SdhAGEr7IgAbxYSr06nK2+urS
MVk45fIdEIwsn1uAGRJUm6A4JzMgNO14eJwUZbLM6c/pojARExKjCeCrefou83ILMBoYHdfnliDT
Wvvg4+o6Iokgznqk/GzZTSRmoDbfErXMHSJgY/cdh52Shb0jH4IuqChYFJM+iBdoGjSoFT1jK404
KnQUzpaL7sekuRzysOfmOW+zIzn1OzpH00Uj7Pgrp/qJ4b5ZLueJdqQL1VjjbUPT5gtAgnmPe4KW
xdAOXEyd7S0ZWEd5YPHUcgfJGc/iXsMTfxoV/TKzGEsQvFhijgqmL6ws3iozRzNswGDfzL6Z81WS
EDjEGkmPdcDzIaFlwpps6E5X+KSuPKJUH6za6795xInuwKYVq4oCz1qTYE55WQj51pYNJUfdzsUh
q1hkKTl0N6ZXvQyDw1Wbl4wSAJEslSHnGnRAJzdYjeonqhIClXsg5jyUdUGECGjY9FppOpusqikn
hIioIKcBX0HPFz75+UyKIy3187+eFyZpKTxiNKNv3mGJayfJQwXuMDKPEc3XtkRrtxNKsKBTqsrY
c9hkBoc7myD62YHYmM5X0p05keEF245t/tnbs3DDpOUAe24Ue618sU1OpqqhfTthaxs20pz7HY0E
PrE6eEWm9mj2EFrGZGIvkxjy2QFkQqaT0LV6/9hF4NzP5ep/RpV/M6r03GUc/q8nlTwFRfP6IX6c
VH7/mX8MKg3dZFKJpD4g04rT05Kq9Q9rgaEHvzH9ZhaJ8jzAIMQJ4HdrgYG1wLSWGDx2GEL6GGL+
Hrns/kZyFEMw10Ov4PFL/p1Jpf1r6BfHNsKQgwCSMM+j4FcJ/EK70CONBBefwKcswGkHwbd/alD8
Vs2R6Y2Hcyvn6ZpkOzyXrOBLi4wMFcYlljmvW0HMsWV8JJ/Hz62rSjMt3Z1WWke2Q4aihqTKdtfn
WTdGOxDeTppeOrEaOIyRH59FPbSHmdf6ojssUnpLcV/2Y3JpDDTcZwBpvgfMB2MkpDoMNeXRIiOO
tAoqoZTONfZM/dmsIN3TzOvoCt0Tjc+4JvRt2PJ3fjL2SXADOi5UXUBQA4gIWq1rMmQWeEffzNpE
Ri/RpQCJUbL+Z8D/36R5mdgN/mrZkLnexD/nUxrff+b3YAX9N6QoBqQs3WR1sID+/7Lxnd8wj9OT
95aFhvfxn8vG+mGZ6L/RGcDw4DjozpZghH+D3cXg/tfDOs0Z/kdsg4HSHdvIz4f1wBQ0I4UPtNaP
nxXH6lXX5iLkWP9Uae49eJJ9ReDNk18a4H6Use3Z39txOHacJcJZA6NjERRwaItgZpqhHNAaOTFR
ky43nlZjgh2C5nPCi8G0DWKl8Fv9UosL+cIOop80E5XZrHX9xiqg+Uo/TbeRVjFqiL0TuQv+rYLb
nPtdSSeIZnw3wL9Aa1qHrWbiDlV2c9S7BiFNeTO1poO8E3RvVoyczLz5zkFOvxEekHcDWsuDmQYs
CPBL5DfxTAEudadAueygZX517TLl6KRQTZZFctXpqcFcjPekk6J7a7htEzrYx2/RBVN7FI88cFc9
xBXCwlyHKcjwSiQsFG6LXmGDre4trYL4IldQSC3UaCtJPPHOoU0YNnbj7ZgKt2vIpWOIuf+jy0aL
eYIZbdLchVzm9a/mMLE3dMOR2GzSeVKe+Rn5UTtOyXEYeAQEcMw9lXW77YqJFBztJlpSpXutHvfS
Ckh28YRxgg1RPHWDI78y6tiWgbqbja485RCWL9MC7fUq87GprsGKXDUg1VRoEiWOVr7On/pZpByp
KdatFhKUZVVEUct4aO5rS4vusZ04F7Q1ZnS8pdPsCRyoLwmZS68bUainKKD8XlLkH8fSgnRO5gYF
reAAmgwBUUQqZ6jdF/6dp1SOKN5ClVSYxPYwSpLPXpp5zKq9oXis8sq5cLB67DCZEObEGRp0FYhO
qkhkTJdebS5dJYtmRhqYxPImPfKE1pTVsWkjkoJnQfww+YA9/S7YHDXG/IUga6AQvNY7IS4mXI1b
k2nCi2cOGC/GKCaE2MRycY6H8y2oLxSB4p6MCZS9LqopW3FGIG0ie5Ey4uQIuI/g4RQq43YBvIUd
ud23kzOk1z2hVehqY3skfgmp96yQg1m0QTllofmgB+UTialbxSMpy/pb03vWQSOKDt5P23FVG8Hf
SdBVcAG19TBOqEfRsxgPOGWq49jxKz0T1+1Gx7lza8bcmg5zoXzvYPUA8DJhDfEKnfcImnk8kVgs
LlrhAO20SEgOCRLhFxrdmNThOXx5IqFxM3Ylxg3W3y7FeYXdHmPohtktAmAvIUlaGqCyyO5pPwjU
A1nXW/Ibw1XsKL2QN+d3lkX0RpmrGovaFZvcXTwn6PBxxbprXAj+nb1M+u0laLmAGnWsHEi6bWZz
knfJA0KxzwcnR3A6Tb3TffHGkr9YRJl5cAY2kY1viSnUg3bY0ejMXs53WuZQWmPyDwagyJPpXJxD
p2lkiBslF7J4EmdQAOa6eLQDZdJv1FJBKLXt3THNtQ8ixxxjjKQiNE1ngo7pPXsvB75UOtDVUStn
vjWTyQtT2bL76BinEJUg3Bt6aNNFjdzuFOmZf1K1VoYJdyT+78CJXgKzqZmzER29OuMEtMHnFb2J
sVIRJ9q9gDe6m91M3OMfD3aiWDxsy7dVKiKn03gic63No6pjqj74tDq4cpNnO5dG3drRyj3TCt2Y
X98rkDdeARx2nvkj9f1ncD3T2kR1vEYZeA2z5Xqop9teax+GGqvU4IiXKiVbgXHHOvCvzK6/0VV8
mww6B5su2ZdZ8+mo4CKwBC00LWAM653G1tpaQ7Lr3Pkxblp34+ijf+m6/EJa52HeaitTTmLtm5U4
dTzHemhMAuNzargnW2ZfWiNDpT6wh+eGT5CvJ6214ZF8mJbTdToGGzVmG47eR6vyoluj08YbYzRJ
rRLxxMyWtg5ghzxbkcJhh8QYgxuSRIsMQyHXHaaxZKORIgZbbj3U5re6GlCdc7K9yDiYo9MpQZOZ
zntjdPvKd+7gbwISGHrrBh999KzF5lOr+czpkZPPFXGNUIc6AkmqIdRKxqV4b5bDZ0O7U7quuO+R
lq2HJJs/Spw2yACWcdQSr9ZBR8t6iXsq31kQ39eOM/MF027djnWPIVRNOb0G44s70RlkpHXIx6k8
EAln7ZnO0NSGQ0DHNQfoG+DZj2e89kI81+STrsZK6JcEHHvHhht/B3ETkfgQPetGWa81MHC9MX1a
kzzJ1Pe+paaX7ol30188VyMrJ88fOqDhr+QjWCFrncYA46E1vUZQPW3QLZWvXa+GeWY/sIZiHxMB
Y8Bl0+31jKw6iO7rEs/MBFpHr/zpekwaxQGR8zHp7Z2J4amamwUQjLZLGO51wZ5/x21FsoobGbcW
2R9gh/oKPHqvZXtaH3Jjt2QWtYYpv7WOmYczcpiphAxhSfnaF4KEE78NwN4OT3pEU0MXPO0Ds3Z2
SKvfUVQ+14lFK6COvihDTivLYhCOODpfC9vRrhobp/pU6WuXZbjK0ip+IlqyJWve2nSIyS6hLMUh
RYL/QT9/OHlOanyhcb/UEIBX1q3tgljuIsVp34z8kW599iXzSHKxWxteLdThb13TFAAdSo+A1Dba
iEEbtjzT1TZv+dm4JDRw7vRrL8rEnWVbIFCTmsoKBc4KK4J/LQeJ5kGfihdFoCCYL1usHSos8JXp
DIbLghJQdinNxaSCwRXlpR+s3DGLLwfyEY1ja0YGEod2dq8ZMvZbpP8lxHU8SNgsNeDfmBpzC4kj
XyIhJ1ETa+GQZ/2l5zS0EYwKtIqoHUlKxax4DI69uBa+4R1tImrCiBBFckJrkGt1itsrx6CE9q2u
KmRZlXbdxb5zoFLId4Yu6jAdSXglPFtgrmnGz6o0zRujjLsvqkkVgC6v/urWnOnpyJK4NS9kEE+1
G82W5D158yEvqcLKYdCOumADg/lc70XkLGypLltDiY+2IjV83lZR7ya7eGPwi5ividRN7mr6VRNV
zbawRLOrzQRoisoBz8rmahTZ1ta0XWzSryr8+TlrGiE3WTUUCMTqZj3DmYNoR35RaeucwZrc3s2o
1bC7TrtGICE3+2iJymyH2zmnxkNZ0/LkGvybCefNfZ21au9bufZsdQRuETTzTS0Hztqdum0gXaB2
BbYlWuIk+5FEu+HIxhJH27sCf3LiCSpuKm+Ecxj006rVlfNoyRHPxhgjwZvvJ9fy8N6aBv5DH4Jb
ZeyQxZLeY6AvH0T8rR6nnQXljPxgUYRDCql71MfxmA5Gu+6zNjqoOrpM4/pkR46zIaAkO0yzO15E
mZ/A1860hFQm15pPQc7ualx4veamQ5jJpDDkLi9VFt9ZblZvWMItRA0+8MLXgHAU80iIa4RD+XcK
h3dGcozUvzN9xgXVkZ2xHSjVIY36C8zD+U724LkN5qM8Iz+Y1IP/SIj2GeyVewaD8DT8OoIK0XSY
IeWZHmL36j5aiCLGwhYBwSO22eDYVzTJn+rZSsNZuqc0EPikFjpJEsApQQWY3dQe7BJM8hOCSHgm
Rmt0V2phnKTATpoY/YJyzOHKHyCheD5MFDJbFLsfvohgIaYoD2FRvFBUzIWnMgFWAcIcMRros1e1
UFfSM4CF+OAj0ll3FWe6TpoHkrphSEdSGmG3yIXiMnY2QyL8eIFG8hMpdRfoUNUKdtGHZyqgxHVJ
DJoBi1zY7wkU1U3UwYyZUEFU2I2Xoj+emu5Nt1X34eUOliYFc8b0W3tv0dY4NFlwrw+oDNGeDjOY
mqHLD/MZXjMvFks7bUiSWtg2BanLV21SvnMAjQkSNgmcWyn6uRcEMYlNCiKnXlg5HSbgD+8M0FFR
15E8mw7bZuHrUL64oWla44ko+xnzp3GyUng81hnNYyyUHt0OSLlayD3jwvBxe2g+ZM7RiD4jfuqp
K27yql6mfwsDqGIogIt2IQMRAMqjQA8WYBBHQ0EdUAT+hx8vSKEhdoxTunCGOrg0z/PCHprPGKLh
jCRyz3iiXlfVA3B5ETrG7JMP1YktzZ+RoOH5gMYNEp3ikIVFK78GUqiejQ6Hl1sD51s5eEGRaGVk
WZm8+A1O3fEmE37CwRe63wO6/IYoXYDWcJYF3iTEidN6TOGr5MySOiz/dTsghS7LvWd16b6pcReP
WvUN0DDoF7TdHB/by7wBnijjxj+5pT7cQj6XqLODeZPTSMIEy6DBiYVPRBRj0SzwCXVO0i8c/KKN
FyRiS4CgfyiAyzT/6ZV+O5Pg/65X6gW0Yv6qV1pV39679L3vfmqXnn/sd1+H8RvBI2dZjOUu3VIk
/r8nsVi4NxwMQxgdiGqgG/PPdik9VgZapu8SpkkvckG6/TOJhSxN1/HJvWAM9G+CSeyzdeNHwYmP
WgfbEJITg5AL/VcPhGNO9IlEOuxFhe/OTFICjuYqWDtd9zS5+RtuymwlxdyFMCmCNUSclmPhlBP3
m8u13vkP/uDnR63o8qsRqOKADAA3HFVIjemdAyjhDBlJ+mhfR+KtqnlrW6WO3V1a9EHrYCsxzK7x
LAZrSBl3kgboRk9YkJnt56FRe5jl6cKszsPEjCcqjRmYtlnePg1FQBJXiieQEeGS6/DmalLfFCV/
PTcoE8XgNQc5NE8GXqf17AzWKpsdLSwj7xGn3SmzjLeh4eVdRz4VAghN3MHOEh6p5655B329XcQg
C50WTane1E+usQjRl41InT39TG4JR6z0DTjfQ9P4hxjBO4USl2Yg4D3uSouVm3+auTauXJdLKfym
3egcoVfFwCWwIXvxEbgMun8o05ZdvuFvDTrvYZA2oXsRo/4+AVOa2czmREGSlQvsk3GQfUfd2oXL
T2bYA9G/YU2fMdKu4olLIAsLTGtnzHexKO4C0PQh4lS+k5iN3bFrIgmUxWy95g0hlePMMcdf8hZ/
K30opK+i+pyqmlBpqzHXDq2FjTpL3IGHviM8oQRpeHjphDpCEJcYUmAVn4UHpH77K4Qy5IdmQfsQ
+VHOkJJYSiDz81bO+rxXPjeHRUzyRjnewTe0h/NNguCAwEe7bjfS4z4g3vyuHHx2Xz14UESSkt/O
H6Xu3A0pbyrOaCYRrkCXP4NVS8DAePQC5GaDXO6ijr+rB9512qISqsViEeGstnYjl5B/oqVXfUHK
fek419zPn2OQEwOH2woFbfpGfhHf/cy/ZRgUV4OhVRvV+S1iYMHPlFyl1kDCYnoIXPS6DdZN2zyd
v++S8f5qIJ9wGWIy2024ZbwAsJfA6rHqObUfdSP+ZJFzVzMDICWcu5P8HGsllrUQ48v5UiT8q+tn
b1i8+P5HJoMEvNFW4nJh+HqYZr55SjlWl4e0TiGwuKIxKNeB1z4xK4aZ5/EN+z03E/EpNLy4GGQo
MPamnXFFafeG/BLXhO7VR4oLJ8QGLGGqt+j0SPU8lW2GjFsqHrbLVNnqpNxyLFvGn0LflA3zS+Jv
eA9x0l74LUaQGMrNJdTklBh03DK5x6LkgHOZqgwHay+4y8B0UWdX+RUTYn1j6WwE/kCkGuFwRaiz
TsD9pXdDAh59WV5UD4gtF1nNaCNw7QVkMIG1c6WXfN12EuRHTK7VbiRMLhyMZRnmwGTO3y3nYGul
RWhcSD5hC+EWqCSSYByzkhgBvr+zGULIJtiR35iH5OwjUgc0vFEat/P5BljucJb4HUqbamdNbGPB
wPq2ZyQI56+56xVRIA23ESG/XThkRvQqF3Stk/BRZ5JXAC4bGqkaCA4yJ33DJc9XYOSfaMEtMkpZ
PToF9rrkvLAIp6Kj3jCXh+EwXjujs/NV9qbFjIY0T2Gdyjkck1SXQpnQtf1Z2ytmx6ArlARbz+Um
q0pKKq0NePVq0ShmJYnQbA5ACMjotndBUqAeQdqMDwuvkt1a7tqjbUnrC81KbbbNARMXkuEK/++Y
ljq0SccKtSJmU4wNNjfFV6d5ebCLevMusQJ/NxsM4vECmCHSjQFNPx8bO066Vr3BKvKk2DOn4g/k
Zd/3JjNY7F3LogWBMRDqqj3wu5Nbp+GWaBz7zpwWhGekwacmKJXHDqDuqR7ltiW4b52LQt8kNUPt
0bVHqMj5J8M7Ls3ECjhfa0Yf+QaDeHKL/DvY2hWgEeJhOGP6DlvgknTpFVp0a5KrSHua0AQ/qj9r
usQelXzIokdNk7Kf2FqRbo2mefd1zQlRxECir73HUhAmn2vJrab6a090GdMJPz5O6Yj6QEM2QvUI
1iQ0cwVqrxrpU2xIDXjJnaIcVoR32W4Y+Ab9snlusjcT3/CGhE2MSqluPiDwK5B9Kpldwffoj6nS
+QotHZLHKsLj14eZXmfkxKTdbRLbLmd3UgDJRG4Y0aC9zDs9JMSiaUNyS6WxdutaO8qof9UogT8A
uL7bqS6wBVhj/unT1p/JMNBm4M0sDLXvqkZsYQCMgVw12FzWMiOHoMzsQaNtYdIEMvzoKlBixtRv
Vaq9hlrleweYDW2572h0aE9TjAwlgcdaMBwIrI7jboHiEJ1KnV47xPxMYQy2D6V3T/mQeO7DD6XY
7fcK5v9UfXkr0qpr/+9/USHJX+oaAsLQ0TKywhJt/WKtLALNnG0wscjWJo7uc/KZ5jxcrMp/6Bth
cVux6uyUO/2vX/dXqyz1lI2Z1Mff7uNh1X8xuUOOMieiBfq9oc6bHWvQSvOPCkklDsz8869fbRnT
/eFTeq7hMnXBP/pr2tysYg1BTNXvi4kbZKkEgpxEaiQp+vfP9R/BxN8cAkwKcZTj//oUcPXatq/v
Sd9+67r2x3PAP37yHwcBN/gtoJ43qLK/qxzsHw8CzGGp580lPNB2LCQVv+smzLON+3txToDCjwcB
4zdzkWHoqP4XrKHu/jsT4T/cSJT/1EKWY3DuQIPxy3IJrMnFRaZJUOrFJ7CRYKcRMMMgQVffT5P/
UuL+Z6+0jMbJyeJAhILk58kzGXmVveh79745k3OmyxdZiRF6UtL/jYn8z16J1+Ahantk4PnLf/8h
JjDuYG+QvSv3ncp7Rp36TUv+xsqt58cfvvA/2Wv+5IVwXphQJnk5ndf6+YUGEmAD0cxyT/rTJziW
T0aDnxn//z95GWc5LPKN/+E76vAqk6pCvkSkEZwT+Mu4k1y+dT6m/4NLx72KesYLkPEYv4ZJxFIv
bZHwiYaobC5HnVY3iF5Es1X2Nx/K/XUH8w0fZidq1YB8IJQRP187bygxHQc0RJJlHswz8zTF4yM5
N49y+NsEkj88FJYX45HA89XE8fFrcKRmOAIFkpB7vFmUOGjv9plfR0t68KvuY+9JbcpOY0J+8+9/
dZzlHaDpaDjQ5v78KWENYh/A7rXHq8HYqKH2cwItf9Qy/umvX2q5YD89EpbPiIeEXYHeAqv655ci
M7ufUmw4e42T3b7EWB5mph7d//Wr/Nkt/+OrLGaQH9bWEkkxaLig91owOuDkxsehVNXxrFz6373S
L5dO5WUiSBDgBil60iHH7BXRQ7H+bywv/Y8fKvDZZLkzPPQ4BOT+/KFEVDp+KWTJ7JciR5I1ma8m
Znm3s11OYUBOwQZsubGtEensdbJVNlkBzpUQveo41OTCEGhAepw/wpxvcC6/n313XhZZh8DTFw1N
/jmhDTrEszFcSa+FPyXnJV0rEPVKSP4KqLMyxBdhkidgOXtvrMu7qQnMr7lnioMTZdELUL1po0o4
zXTAMXhyXNuRCuhvcm+ENtdOPYkAuJSwfEFmOHRdUoVoc6qwM73qvtMy+6gHs3o/A+8J4eS9uwav
kkFPVn5L/YhgJxEhcxX9LcuX6T3RZWvNDOzXEtjP0kimERHE8gbns9h0C6cFI8iiuTD6gpNVzWGG
4p12Ra1jH85q2glaQ+ZjCXGK4R4bV5l5HecOGCM0G3IG9PCfycbp10w/jG1HjnhHB8WwjnaJGoHc
PHFhINrY+DCcd35QAhQsdPNrnAzOxRgb2Uvsi+LRVdjl69aSz7VbmgA2+EUrj5HgsywhPfKeyDla
Jd4CmrasibXO+QGJhIb4/bFVAOBRKQOG1tLuJeLS/D/2zms5ciXLsl+EMSiHeA0dQRlJmXyBkZlM
aOVwyK+fBU5VdzJII/t2vc5DXbNblZUIAA4X5+y99lmU1NWV0yZ/OLET+JU45kPuxX9gkQc39MDL
fT9PjRE00LMxm02ZEn1uyLftg1YjA2T4kQwoapnRFSciCANdyBGIbQCI/owe6CEO2cMubICGl6FV
+VeJExZ/HM0nmLVMeIhtJgqs3D2FiLdhn3FWPUycBs4jh0cG0Z3bBIm5ZKM/LvO6Cm+9yeSWQhJh
yCmgo5ATvLoKRDTDxVRXTstykk62jbFVV0SLdpW/ciJiIaKgItMKhzeqg6JMUVQ4WCzONYriD55W
iFva0aRju1F54B7HNfEjtK50r97ZiUF+LZyvW6soGT9C6oKiDTyRFGZn1JWbdsCFJUmVg3No8goU
oTiC8LYK4QAkK20JasG/b2pCIytbnxC82Cxx08jhUlkVsg6Rkdh1rwot7LatVyTP6Di0jV/wHRHH
CAQl9rts+0Y5hU7fPU5ySreiahVJJJokQSapLDGtJ2gn9UI2IcnnDvkjL5NP+pc58W0RKQDLlKZl
c9e5qvoZJrY4eyPp5TiHxEK2mnWA3kMmuj1jBKE72wcRkXNQc5A5vImHMPuSaCqTPyi2fQ7YZK3z
Q8g4DxHXaKQFQZKA90Dksj9L3TJ/i2ioR0/G0tdazGqRh2UBBGJwA+KsTVdRNUSvReWLXZE6GJCc
iGaabbSPVTN2WysnUX7htwyEqfeKQ2/Hfxq4LYtaU5i2jWxLJsyraqW7ihoUCbW5U2X30kZjfMgL
h9ofCTVnLIXu8U08hTt/WOO56C46Kh/rMOU7t9HRoulw0wfPqKYzAjI3+YRqIiQjUC3zHiLjAld1
vLBUxqBmVhyuowwKR9Em/pXFphJfM189ifDo0LsqoOyXjOtJMrvlPclNyEDyZWVz3+QKPhO27F1R
9IB9ODTe0eqUcVmGPfYLO7AOQ8uISplQn1oIYks9I8OoK+bo+IamEWLY2r9SRdv/ajSZyUUIOW8Z
2al3NByUOLaePQvBRCkl84cTae5xiodZzyHHVeASMotmoPWOQZlK7FLtXAmdd1qtL2G1UXNaJSNJ
prlJs9LpuTQJwnLHEVLBRTD6X5EoMCFllF/9RmcEQ4YBt39lVTSbot7yeAl5ddXU8766BKRMQ5XB
hFS/pbVvALd0eTpx4GO+cHCmvM26fRT/VKlnvOo9s1U3jxGhAxNPaQZeJmIINyBgAZL27CQWmqbE
ZRKKTYMzddmVc93WmpgRVYkeZnLKO/gr/tXkghoddFcubW0OLOUNE8aiw2ZEy1fcdlUYLD2nKA4B
SMJj0zL3aOCkV8Qir4u0I8WmIxOF7BGKKCH5m5dWYOovvtGqM7wp7EfL9sojA2jXODoyLVIxtrkf
ahdKxldWbHWPWpI0V+MQqYsgmR5i3erhfXA49yAWb+3JIMTLjyf8d3V+VWkyuM5SUpVkvsKxTo0+
CJe2iu/4nu9lp4c7unLUyUPEL9SxqiuYgthsyEPZMrm/aII6h+my6KU+q6EWR9l9XTDzEiLj3+u5
B+FFNyqqhrxSgKLz3sKxG4qdvIMNZ68e6OcArMSzaeGO2dDuoGnbcos7cGHiXSPpofGpcI5ZxmQG
kJMw3hzSXb4EZ5TuC5Q3/sKDPrQoUpnDzOzqSS6yyopznOO10uFZ9DWdv9y8a3IzP/S1lR9KanIV
hjz4DlbWtKvWyEczwzdEd8I5G3tzyCcWHwChF05OBfhHjf2vx1GZRNrWjjsId0gVLVDDZh503sHu
2rJYBE5rudaSvbhsCf2go/qnGZOIoEoyj14rAZnEiEN3P2D6g870VkGyaqHj0HqrK6EZHSlrA5e/
LhwXCUNit36L9TNM1qqKpI3VvEXqztzTPHkpUfbLcshu+sQCilvB9WSHQJ4FRCl37A4FQUmruNJf
yKndVQSrYCm1sL8JLdqYDt8XE0d3FCIhAdsqNOg9bj6wVpvjlu/UpFyeYK9HS6p2dKwVJsLgOSVx
c+32lEnNmZpTurXxmCuTGiFrNGbKkEJWYZtIKv3Mmi75XMNfYeaCyEjnYlzm0uNKMk3bx4PQvY1L
eiIqH4fp2w7ZnXBaAozZg50WKxDucpe2PYAtD8nnN2yyN9/+u338TCebeYIYLUh3sE922M00hXbb
6NkOKw/zjdl3FypsEWV6kn3CmwZxhDEJI2hiX5H6sjzjgxdnaCfBeRj+dwe1D1TF+fdQIQAqL+bD
7ulBDc0M3wC/R+bGfatjukpndaMbPxdZ+yMYWea+3vh/OBnSNtU5GtqUtnB0nPrJQXOIPMR7tevg
AF8VAbI5owBsWxRReabZY7n/+nrGh+3/fEFX0G/Vfcv6EN1QzMxW20kzJpQaoTCzBNqHpiDqPZH5
s9JKH4FjxH5QeP3127JDBdRwtpGJPh5AkoYqKxPPb6rOoWFd//r3zeL/9yc7fp+YXTTODAr8cCiv
hrjUPLtNd1Ge24e2a/I/pPzxTfWKVLl8EdpstjMEJFSGE0Nddg57TYNe0BW6XRNlbf7MVqYguhAc
xGhy8mziGambobQ9s02oa4VMJLJECPKqmzG2CoTALgyYla2Bg+vaBrp8Y9m6/Ww5NpwRn39sPc1w
j8CmWIADArHvdbj7T2+rYlFQslz2E9Xhb56FcWLzwV/Es2BHCZjQAZl/GuuBRCNAENEQoORATybx
rVwoxHDL3rIf69jVdsAIIPuAHdkISVU9lOq75PsPb2NOuzAhhPFKGKZzreGvE7Aand6pyFfeodSK
t4L4ATIA+++mgQ8VC9/CzMSd4gMyAZWeHEnbuO0CpyiBkdtsnp2QiauAd7yswX5Q9E+pZI/g0S+x
DHePX4838+MzZouC6cTDs2XQ7zq59mikpCFmfbSzEXoFeJ6BymhB4D+RbSYQk/cCqK4m/PvCHu8J
OgKzW4meVExY1UvS8dAlM99KtaizluThcG4h2uS+7th/456HsfMb7XSg9lrQcHB9+/X/v179Tb3a
oITBi/yqXh0Xr3/Xqf/1//h3nRo7nuWQC4QO2kFk4jPP/1uwgomPngbZcFSxDVi+/12mdv8PQEpq
Tq6vU3j6G0RqEwArXKQlFDhASJi++x+VqWe9LRRSGAR8fdQL3390o490lni9CTXomlgZMV54ydVf
T+N/UsxlvDuYrDAG8pOxMr6/RNC3GTpwGrzoxxbpxN53pEXv8Ej/65n/L64yz/V/zR4y8IeBcx5U
heKp0Z7K4ZXoiv/sEiefrxuXpHN3XKKdjq5+HONVPb18fQlDf4Mpv9umUB32INdCT3XJVzqtfTeZ
ViVhR6VRaIX8xeZU72GKoyxwZ9alYEUkMSOnrU2I4MFqdLgOjTWsnWQwtuPQ9du4kvLejNCYL+Op
SVZSuUdToKdf4X7pz330zxtQcMgF1NBtDBIsbyh6tNFbo/Z2TNEEwN1Kzhqnc5deWT3lHgu2B28t
K41uB7l2Kfw6glfiG84q1dzoIqvQiKd1WxKiyLbJkW2yj/TMPdO9yfmp5S6e6EiMEcIOzTlDcTMu
abc364hADbIxMHQu0hkBhuOzJSwun+5ixb9GVWTiXap/OWbuHohNwbap1d0KRxqUcLM5t9EI3BFF
g3AnaI2t1rrZurRksrfz2XTRGvamST1a0ENlXHh6Ch7JQjU1wFf9YbkzahxH3Lk7cX4uMaCPi45k
oosgsPgeCIIkK6WNjkHS9b98lY/Hjs14g9yF04uLMmGrxdNrXzjBY1S1MlnlUODuWMSEteon41XK
mUUhGlv90Wp7iJZQrNW9b8ZetBmQox9JfOQvmh8wmMOLcoQ4gyId6YMzCmeVV4E6z5yATm88i0gD
IIPVkt+XsmkGadJmicbZ1H5VjWZDK1ft72Qa7uzJfPULX/wcTBYNaDzxo0qHZI+Wn0cio9rYFj1x
qKqU/iJCCLlLah0NP3RPRLOwY9iK8vflA78jGdz0kPuiuY+1EWTiULtnuddGF1XeB2tLSAPqYR8d
0fEmCLWsbkU0o9z0QI22pWlSS6WEGy595OXUcMmJWU4ZPX1BS3fHPo8LmBMd7DpR2z73UthsSXeT
llN7o6qAPyz9hoGBJ/iYhSMilSxAJQfdGMNh2a47IrevPJ/HSX0U01ouK3NFD9G9VL2fJPvEdPIN
bkHKN+y1jGDZysD4YbdBeBzDWL9JCsTSyFShG+GHg7MYhvrWsGXwErj0HRglWnBp9n4ZLCHhuO3C
JrsS9VJgX42QaskFJNZ54FBxGCtZn9eaa/wwQIPsHXTp14FmaVsQHNa1i1D/vLfFfZDX05FzBiWC
QXT6ro1qx9zXUsHNacGaL9M4Cl4Uor+FX/WlWlhaq21LqJ5/7CT1/mghbZSGCsOZdA3/JWIjtQ7b
GjLRvANfa43yaSr58/MI9NRZEVH2O6sbnmTTDagQaULB+TBGtCO+eZ6RgXyrD+m0DkbP6LiYMLYe
7JGtIF360TOD7qmgynnUc2AuQMNI7bXbIQbmHKP7y2nZ/zLSRh1QaueXODj7Z4lh4aJoQ/9qMCbr
NvPhIS+axtM4SeJx7DnwXFsd0JkQgwbVXFk8j5Hoj3Ic4SMkkbocmtohxcsFv0xP4CxFzrw1aoE7
aFTOTUVa5got8ETuDKE8FG5MLlCTgD0XfwN1lFga4a/oQYprhH0uIVdWuekCQgDs2FFwfEhovakR
BP4WQF92RscklGp5s2VoiNWAyGVTjVWzVSUOk1VTxc2KVcVet7pdn2W9M80akTq6nSgCYEXHzJTz
0UQO8mE3WNIOmA782vDWNMrpMOJ4OROJOS4zQRFxCS1aR6KfJ/6eXpPYlEnigPwN/b1o/HKDerpE
exhqWyKIqWUUjsWY8NBsbdglIGsapdxrKMu5jRoITkA089rlFCc5mmf+sgtIAEdsOVGiKLzhmqNd
/dLXSjGNdSngOtvbRoBhKTdE9VMc+yA1O9fdKTPpXl0dISmgWFpPhVFsexJiKGJoSfWMi9l4UW5B
ZSDz4+BP47fZ/chp7IqQwPTw9sfNwhE3mA/lfhxAd4GxcPurfkqGqwZq7Bo9Kx5DxjBixVHB8KJ8
Kxdvl4wn0rkWDmfTZTuaPtqOTOkvKXS4B3dWF3Ui4o/SRNTWcQxpCAJPsjTBNf2wiyH4mdhReU82
Q75VfltsMYUF63gCskM6ENEmVIqW+tAS4lO2z2ha1N4jxDGFIZCIFSpKADBAa5g8ZXfpK53HR66v
tpaku1846dBdGGRv+IvRKIddqfmjSd0JopU0LRwautflh6QxKHi6sAXaFTXCCalPxQ/WB3BxPh7k
G2No9EfVdBOat4ZXV9HuWIrKK7ZuPzMXp6rlsnGK5nCY0LYYskVn69babRU7fQ+gjFfvWZNxXrqW
3LeZFf32kcIc0ixxbnLpiLPAoCAYOkhdMd1189eveVt2o3JvVbREez/2idOunRu/drQ1pTbAxEoV
W4rmNBXmxa7xkZVpCWykHvLx2jIQ5pV+g6AYaee1JUf7GStcti4qBrgT2OlhYkQvXd1Wa3w9xStG
lHZvNnpz25Doc89ACq+pB4dXKml9nHvgWKkB+ttYVsUWqarzqNiQqkUbm8F5Bq5uXDYYUbYmmfLX
EK6n46Tp3WuHnukup4q7nJRKjNUsvPx/7ykFF/Fn1PmxhED2G92ujEsSdFC9BSmTDNjiQ0I/CP7d
EP8sWirfftkNG01vxYPVjvYDMmX7IRHVeMlK5WyiOtJWIyzPlVbZ0c4NQM8Sci1/lFEOcVMWQF5T
a7h8e+oKB+oKWI8HAErf6EVRsvA1yZmQVMRqUovRKE74bxmIm0GU+plb0zIs/ESRAKisdQX3ajlI
3eYjdsmzbc0xuwo8I9wbeYSt520sEwo4HYmQJlyQE8rZ5MXDJSDpYJ1nLuxam4LCQogivUK4lu+d
cXAefWgXWxUASgMKxmKoTzavf6qh1DR4roxZVQv218qXOkl0TIGG8SPS4heZklXPpDDu4QwVVy5A
0RVQ1ZZIo6Ya7/WhFAIPYo9DrR2bjWtAmM587KMtrYMrQo20TWuZ6cFuc3GW9NNwbVA/X9OvHPAH
NSzdLritrVuXGg3CKXdTBG8A6xceELA1a1O3p6+CeCWgTnzRK4hgtC2L8pZ0yGJDQRTPaExI7hn8
M4VdBNEt5VYYXIAbL0a6kYc6cPoN4hhoHXVaaLeNrsNE83JAX6iRZmk404Yeok9YKFEh6iZ0KUEq
S8kGL0+xVRTC7vWW4ZRXMKAtPzZe9BAutA0YgPZUr7/QOjPbBSUjVLA2ot4Iotc6pqZyoCc4HSUB
eQent8e1p0a590azqxYoXCtas75D2ZhOITMdDsnpqDsD37xmESawDPiXW1sDS78gZ6U7b+knEwCd
2teI6Qu60VMd7DD52lvK+tM+8QJn29Oyne+IeK7BXOKMjqDKxiZ+tDi/MYcU65qX0MKqKF0rUZLv
Y4nRfBqL0QP0W9Q3VmeNGV0m7SwMumsUDe6itGtMg4n26tXK3Rh28Wi1mbHIkjE45zag51L+ZUMX
NnLjebJfI5w3t0EQd/gzA3WG+022y6zW3TU7xOhQTSJfqggnfRWX6IOd/JdbaL+aSVwNJqZncp7y
ed9W78GB49id4tsegcxSelpIRbLe8iC6paHb+BmRzGzwkj5CM5VLlVhluQDtHay8PgwXqSUV7l6l
7QtR2Yh5K+63qECrLVqSN5ixi4uhCi6qIgqxJkMkcIhsjhel1bXbaUqip7CFlpAOBgxnorS6NTjK
8qayHRPDfYgUHQxbROPaqa4LrLWPtFcxU8CR/tloVfur6lznxjWkPawyDxxk243TgdpfurWzqN1h
/xMDSvravrY9OV3Dc5Q3YMfRV+cgQJbDQBvGmRxnPbgywEYaRVsQIMmmq1OO5HoWH0LMafjwVf3i
gxY8M3wNwiuFUV+u+jK0cNF77ZCmZ03xwvbe+Dk4hXdh+C0tS+rX5bGrE4mNHG7EdTBR5VUjDAh8
iRAvPFqiZo5mDI+hFs0WSt4i3AbxYkd2DSIrmsYr21DJsUA2vCGvXP50JPsrKIqReTl6vvpJPq1L
qlVcPABsnp17RWvd6/MKiQqiWuiRF0FqLtqzKPbsiyhv1EOhaFZCZe8PmQi7s14b018A4wFvRQYv
tySn8bpzq/x33rg0/kCuoBlMSpNPpHIPRmra51JFYuHA06Ne1xU2Z90GFe+oKfvOKlzao4Ew0kXc
ddFlqY2vaed6j2bpErngTx4JKxgJRJPhfe2wBLPHm1gKozxqFy0N5JUzSmayJEt2SQVnu0IZxOtl
tT2MnCogsFjTojfgPDfVtGri/BZR8+NAA59WZaJoFhBlRzAkh2KjepBWYq1SBxfEAmFd3a4EO+Nt
6Tv5bZnm5bmaMhOvS8BWCmjSGITW0k4rrwVF2mAu2HFccrRX7HyziVCKvYHl4R7rYLHg3OnBTqIy
jkIhuMssTZ2zKGbXbBWTZ+Cb5V1SAyOs2mpwt5UmRsy4QR2nW4yxAWHs+E84TKniaFtGXyybMh6e
UumYQMtlnxw6s30Ne4+GOuWdczwTxZnFzvZXUekOOepus0LkeDmVHWzzhlbqVqUAxnte1Tk5DT08
vbpSl7bphZcJmyEsSFnSrAEx1hcyxL/SgBz9wff/WxElu2hZ0wjXcAHBWYGaDn7ZtNepTpHBDrPo
fpANIXZA89cEFwTHhny+F0sDhoZj9skeh5upNRsb0X4Eo7rojW1CYMlWVZq15FPLbujFkFISRbX8
IfSsyZeB0wDmb/XN1M2CCEb8Do2mvY0ixz0H7TgyucjW3Ue5z9k0McMXMSLpL5gJ6WtrIZbwwb3l
qMN6Evr5U5C7+qoK/Qd7sPszvTLMLX8LVvuhVjd2bAOD9SRQDzW+hBNZpoRaetgVrTG58NEPbTsJ
vxTGrbelBzFI6is8FCtwH3DZ2Lcx7edN0sZ8sNKPFn3BnmqMHH8jNIGmIzKvOYPcMyGnV0M1OYe6
xg6jeuWsq6wInkuf5LxM9oSeQRO+dMiuhq2gcYoxJbvbocEDH3Z98aOYmpAdrnYEAK/25NrkxyDW
nGuX6IOVg2Dn0og6648RFgUADUAFso3DA/me7VUhAHNlIhU3kCn8IlyOU6C1P5NCWwRg4Lc50+26
q6wKKt2gH0nlcHbIUNplqdJyO3ZWdqOYcXHnFNCVwcdvZdbehi2O7oEGzsEKQYerXj5hP3Z3SRix
YrERPDCRarvc8rtztnIuqo08vGzILmT/i+eqVThIUepUL1adgGT0FEzoRVhH6UuJxUo/M6o2OPPo
f6yolpBOhEHltjUJrVxqQNn8yziTobksi7oeFhb2drGpi2HiaBZJ/7IYZXZLPjSwTjH62yhuwlVF
CevWMZtXuPbtQp/YqsjaArCESAwcQn4QmQlmVAgOSXU3LjDJJ3jVfAN6t7HTTDM58P2LRzd37vOQ
vTE5feGOXWG2otzxqzHjdlUS9IvIh/UVmtSuHZxnlyPIkGANl/qRPdRM/aFMpLWe8Yv2an9mz7YT
p8ZRq6eFvAoDY9cR0vAnQhd3LXTNPDaD/6cebO0+5NO7Q88nI8ISyxosjxxmbLYBoqgQ5RbRSrs2
45qwPTXnPWAruPy6EPqhV+mZCLGhGtGYMrwPykEiGM2i0zy5623qd51GMS6uSsZkveU8nn/TG56L
w+9rrvPVUL/pKD2dD3Fc7iAIOi5dokHLUCz0hn/EOcLDLKyy1dc39tml6G9hQiV7QTD1va9T6w3W
RyC53FjkhbdDAhkEPqxxoSuUOF9f6kODmWdomG9xXGDNP8DjjVRAvwAcuyNpqD1PMZTuMDSx5WTw
LupwyLdlx+D6+qKf3R8idMOiDifMDxB4EQPvQeHW7MaUpwjvlFVaUrLjTGp/c3+nyDXU+z4ftOci
AdahJJ48ypTJf6qQs+zIELYAFQfAT7Qa/kJqUtHMKH9cVyMMjzSboosWzvY3158bF6ejxgTNTzKh
N/doThobGHKqCOFes/NySFVsuihk1P3d18/zQ7+Sm0SuoHt4iekVueb78UK+ohqVb8qdUpRu3T5i
FxGSt3yZmdg+p9HES4mwal0ihdl8fenPxo9lOsKkqfxGmXx/aV+Q7hiaFpJufKpr5H4EhyZzIdjV
9KxGa8MObIyg1nx92c8+fVre7M15s3SkrfeXtRrs027MZd06yQ5G3t05PiW/0GHU+i7j9+vLfTZg
LeYY3UYr732wT4Sy1g3Ay1yuUeK2Nusth/9hXQeu/s0s87HHPr9Les/08wUTzQcr0zT9612S44Ck
7m1sjkH7e1CMTQ2L2wUlZX3reJP+TJYLxaSeUvzXt/vZoMVC6Lio5/Gof/hoACZgctJBp7mhfRRt
STU/ZIr9+iqfPVRe4dy+wohDO//9O7SHwG7tnKnnbRbokllh5o8E/dqYYL++1Gc3ZCOkQeZNVd6f
m6h/N/5S4BeoyEhJ6OHFrMy+fHK88uk/u8bJ7cRCmaTTMEYMU11MjtzaXn78+hKfDg7Gn8HLYXgg
U3p/H76feL00IdVV7F0vECaZB5iSNMq6Pn6MNGYY4Fv6VUgUzgrAoL73Auu7Ge3jp4e/DhIC+Ym6
T+niZEaz0fdaqHLqXWgAL1elQoBvpPV5hhhyn1Z+sfr6pj++O67n4rliH2ViwjmZ3GqOVSS8WPUu
B4l4BhTq6EaG+81W4uNYtOih48OitIvB6zTPxQ9Bj8g0q8k4Q3LeVGW8LKvu3EVI/s1Q/ORK3MSc
M+IY4qO+w2/ieBpHstOZ2nCsa82ZNbq3lUzuv35sn7wmRGMm4iox747seeL+q9ftVHmK4NAtgeHr
a5k9ax72jZSMuTr4RpNjflxjZ33af1/qZI2lRuUEOYLwXQuwfoXTjKj13lWKXISuXZPYNN2Ngv2Y
oP8hV7VNdV+XdfDT4ci6xrVOchjd363ZUEbLpUUBPLen9CBIKTkoa9CIISMwMsg4B9p1YcF3pFvE
uUqtM1Ml6gC4crjsy5YKNplJxFxScVz0ELy+udE39d/7xZwVnL6ezgdgWGKWfPz9TLNs0iwfgdoO
S5h68EFQXBqd9wOCYvyck1t5aOdIKpkFP+WQhht0m9RMBmfvODlJK3RmjbpKl2Z7lwccjLCWIfnP
fxAmdQHrkEC2MgW1mmJur2PLXQQygVAV9iU55p3pHrREa5eDXdo7ettAyZUH62FIkxUlPPc8tdEy
JKkfQPopo5Uf9svJDYeVzXbF52mZGufGqdFf3KAvvlm0Phlr+FDQxmE68djyn4y1IO9qdh8jzyXR
mvPO8K09b33YhYmEGzAEVr/7enB/3PAA5yKpB9Y0shfSZN+/iLrE8d4TWLPzPWXvqbfm6xqx2blj
VWobeKE6jyi93toxVNivr/zJ58tuDv0bbmv8bO78KP76rGQ4dlrUOsWOMtf42Dm98QTx2bglGjp5
/fpSn9wkAg9mI2od/Od060hflPPm2Ba7vAOXAEuMJh6dINz0SSH3TpPGgCppsI+L3qRo//XFP7lP
9lVI7HDi8pDfZGp/3aebhi1lp6LYgYVEyw7IKRxCpB7J+C/Q0T+wpoJo5nvCCcvxSpzaA6kBNWFp
JLMA1HsYR5IYTA8Wm8ws6x8PU7YbCKYQRnH60J2Tz7dqoLqGMI3RFYDHRWqOXjG56nvhAJN1fv/T
B2jrJBPM4GmDLvLpsgUatipsIol2yGqsnVaNxRwXT0+ngb7bfLOV+vgBcjG2NmwNBA3t0+WLnA4j
ctqcO9Ps28jSHurJ+w3m+DbsnW/2IPO3/H4O5FIcS1GBmsz54uTTI/cjHgsNIQa5U2uLWqlfigys
Qwctq+gOlCm/241+fkWfrag/C+BOVafwCV28BlyxNjr8BNVzOeJ5kliKWoy4EIjN83/+6th4Yypm
18EVT75xQbqwowI3xczZHiD47NBPXsWO/s1lPm5s8C7DobIt8AU8zPl//+sTAz04xDF/9a7TTO1W
g8e6rwZWxK9v5uMswlWQdBvMzOTTnMIKBs0ciiQx0p20qGhR6VlmSfvHLZwjkXE01L0JNnH5zSxp
zjr501EyTxz47tHqkq/+/t6CfFI+x7505wPgn8lxlOGKiiiMwadL/wZJaUY/MxdaSbzY0sURRttL
d7dqqMN9Rh95Q37S7TSK+geM85QUVjI937YFdYneHlmcc+ebvYN7phHf/PpPXwwkIEacgaX29MUg
SYgyOhvZjuo01L/RTw7aQJ3z6xfzcYblxaCrpKTkm8gfTz8ku2YZARK1I7UE50zZ7fTUuPXcfyyZ
RpoqYJehqsSDzRn2/asQ4F9g8BRMRENlIWQJov3g6MPm67v5bAaCwEEZDpM3xY6TwTwluokBV0sR
DxHi2bksU4PAHkIO50uX2P98F82ZEZkoSwakR1gj72/KUwBsEFylnB2D3/Ozk7FzzGXw8PVdffbx
zFAREA2z7Px0GBOtUhhTyceTxcK7TudQVyMQv2m2lBsZCu9Xn1XJnmph881S9dmchyIWiyqL78dD
D6VTPbIIFtyFoYm5TnueknBTJfdVMt3wIX5ztc8GPMceuHY2J8sPRTIiT5GQVuj6SflLtwTRu8fe
TL4LK3yTzZ9OCjxE+Hu2YSFzPplX/dYcWtJN053X9vp9HOngE1Ecw5uEeExvzu3vEgOUVFuq7qoG
2H0pMtfaRh6azmmsHBrLSbUyaqKeM6DUm6gli+qbldT49Mm7nLD5MjF9nG58ZNDoEIBzVpvBpk2g
6mdD+eUSVVmzj13voR2oTrhVRBOjsOL7tO+aPdnqTxGKjsmp1KHqc3tPFQlQ8KhVWHG5j69H5Sff
Gj1ttqCuC0WQ/eH7wZ+5/IZ4YLtNLNzvajLURq8QUwbw5srx+etrffI4sOfwYQNKoUB8uo0xjRGq
iKfY2gfGb52CwyoX+nMzZsXO9YtkTalcfbPD+OSjMww6duxoWLE+bLFxP4yDDEtuLxGPURxqSxPV
Dn0MSboDUe13tezrFWqMbvfP79UwZt8FOxvjgxXJ1nzkhl5T7jirXdZOL6lKZ0eq8SHZvuH96Inw
m9H22Zvk0VIGMA1Ov6e5OXwrvWpscH+aHtbL0ehQJRSWOva1n+9yh4P013f4yZrDDbKHIueSeu2p
sSUPJFGcJY926EI6FzaxiHpd1kDhhPu/uRS8FMtz2DB6p4to5dqxyguOaAZMw2uRQVOVLub+uDWM
b6avz8aoxQc1+xDmSr/5/nvokMQVE5WBXZO3t21UvgpR3wJAlwuQy0fwl/8cLMIEhunCxBhG++T0
AzQGem1mMxW7ySRsSHf7H7KVq2pOUvj6fX0yMcMY0oUFTYfEGH9+n39tEaupRwEWcATMQvFAAsbW
m+rbry8hLP6Ok1n53TVOZ2UtSRObANMdgn5jYcdxdWhEI36YrQP3LOtB1Yd6vxC9rFbk1Id3ZS9d
xEL0altPphT/WtSQ+MHBvg8o4CzDWPfemO1iS8nDZNvR0fSJBihGaPlBBTkwbxBncbodl8hgiYcR
5FxO8LKvhSHR6ia0739Mfo7YqjCIryvzRm71rg6IYUE6epVkOrvDMp69vbG8igY32hqyGfeZQKLZ
WVF+0Wmy23mpfxuXabPkCaebnFqRXBBuXu0QJ+aLsp+qNRAHgVg47c9L24KcB7l78/Xj/WxssooD
jaVzOEd3vX+DTt0AlnQYm8iEn+tBPQNFvbItbQNGYI3R/V8Ra//kNM1UPW/2KN/TEDq5noigh1rh
WOxUHc01p0tcufteFd9sXj+W/AicoWtI4Y8awQe0jj2kkSUHv9ghIj9WVSzRDHq/6vSOJvQFgpRl
K8ynUBbfHJmsz69LlZYnyuH6dEPmV3mdV72gJlKO02M06LiEpK0dMbro2RrNDGccqPmAodOuXmUF
IkGtLZjIa7PbC1T+Ium1vaW32sZQeMsDhKEMuGpLv5MOtp+8CKPjoD4gBSTUPVz5Cq9p3LnTKjSI
4UntZulNgjAzldjEck5VuE74PUQEVq94PozrxMumbQXXfoOji/8+n0gqbVSydjXXvK8tcAVfj7DP
5nSH7EtAvZQZLGN+ZH/NEbHeiBxAQLHT1fNIO3Qx9vo2NVT3zYT+2Vz013VON0Zd1eUZqafFzhOZ
viQCt13mUbT++mY+WxBxXXJaxQ5vOKdgKr02q7K2ZbGj6eQtR2KeOYw/lCm0hagZvzGdfXox6pWc
WXA6/1/2zmS5cWvLov9SczjQN4OaACApUn2v1ASRjYQeuMBF//W1oPR7lUmpUuEavwg7ww5bAonm
4txz9l77XdlrtyxGFfRK9Hd2yU502Q2m2KIARUvdpZ+cvo8WApu2P28LLHvvit9ingH4o6I6we17
rUuHoN5ofqyL9qVL0Swk9idn8r2xekWWsUtiA4uE4B0fbZGi4PxSp2VTkeDy0rWDu7TjXqcXH9aG
gsNUNF0wCc+4SdUoOZljTA0x5MdzN3bzrVeb872DJQh7RhSTuvDnK/3Rbct1Nmgj0b99h4ocp0gq
eUKZMzbixfDih0QfbgsDHcn/4ziQPTG6INp4VxzIQZkTgR7vhJ2ooJvTfa1mhSDyvv3kRfpR2foW
g+iqODL56/fn0BjBE0RoL086PCOJROI6VtdtbR0yV7ss6uYO1O0njYqPbuBfDnm8tc8Ws0Cjp5Yn
yggJuK9fPLNA3G4f2nr4ZM9hfHT/siNlSEb5yF74qI3Qja4plskpWWb0+RnE0+uYehCoiJQOaN/G
gSLAKJesyJu0Wb0GirYqM1tEfx6pxyZNlceIQJmTXsexgKsNn1HStbcEkQCYqooiKCPpbidndB9c
i1XTtyuJYEqRU7jka2uz1l9V+EMbB8TEJNTnrO6h1Fhi01Hype4AdGkmhKKH2XGLR9ziZU9G3Z/v
po/Ogrc6dWlxcN8eD2CLQkhZ4U84WcSyX4gr8DvVfLSEdUrP9LFL58/4Ax9d4tWZhVDGodl6fNpF
psVzQzF0kjYe2TGih++1sPsNjTgqInDYaNL//BXftBNHBSGKGZ0vyOPCNvPoSsfKXDAlLcoTu1y8
IBl7+9ZMVpC1MVunSV2QSKaXbpiteOY3u4C7ppSVPbT6DknfThlHlOt//lAfnHeKjdUCDc+T7cTR
ltezZxegiFGcrDwZ4m1m+7xKKBvnrJaPWastJ+giv/35mNoHTUxUCXR91lUbYr/++xMdT9YCGZ8n
Wi4RUlYjNrcIUo2tjFq586BS+twpKCetYuPFbRLMzGRwXpha+OcP8p5B4a5pkTSiTY1tjnncKlSR
RtjEEJFkUWUGo5HV15AaxXKNtpq8Ps6MsydW3DrFYiX9mDiKjaaUzFFTwuyuRmNUt/McqU8J5IhA
7xb1ibK42iUjtxSOKWLAJw/qdZ+8zIixWbKHjWlnCWmJikm0d9WdJHbjbKakd0I3PgW5ZtzmJBRe
8thiQgM9vDwmbu8dCtX5ohI688nG/IN3Ba9MFw864WWc1/Uh+aXEod2WFRLEyolT5NNtgiztZLKn
9DHVgNb8+Vx/dCiE12gNcKPz2liroF8OxdCpacr1teTVRhKKxl3dfCCEDyC848c/H+vtuh0/aWv3
12D3ymvwePtP5mcBySZlc0C8s+t3DIwxey2mtosEic0ViNNTrVajq27SxwtdV+JrfQ2FM41C7ESl
tj9Lyf/gGz7BN3Br8ez/myQQfu2+/h1Re/G1fPnv/wpfiq84U19+BTj8/Jl/BY5YxDPTPGWZhhby
M1XkX/wG6y+HJxct1xsueM1g/hszbHh/UQYSRkLfgsXdWG+Pf8Uzu38B4NEAFKOs+4l2+AfBs8zX
uWt/vdE8lXkdIhB1bfswjzla0vOMCAZtQbMz23PyhGaiEqEtDHh8OK3qAFdJ2W0FSYWkvmFKK4jv
QpND+mCkCjKe0gr1OvbCpyjtS/yPYPEIU1fHl6mzFRxSkBARGmGmj0FUuYrCClU8mwp0OaNPxbYC
zbabDTXesGUk1pmTmJ6A/bRusw6+PgLo5aIgTnIkOQG9ooMd2QyirGwPDCFzEgjIElCcIvG7BPgR
iIr2dGqg7tulUeB9tLLdyIfT0V3bYo9JKNrXStvdEAlrHlqZPkMHUJ7SosT411S2bzZTtes9Pd7Q
7jZ84UpxucC9C8tJXg9u/MOiMCU7km+Kf+Ua8hXFsJcn4Yyg388IG9mpcf4qWiMdCUiCj1mpvPss
keKObaD3gRoj/WrQr21jUv3U6c6JKUK2opNpoLl30dCfaxFi8GSqbjHXY5qAOe8XeTX4Oglc/FGe
1XN5ZrriKWJxD2jxTgfiGp7J89jbhLn7rFPX+QwFkaRZnKX17ZQpCy4b0hiEkSRh7op+26tkSKQ0
ZrgF7yaDQDkns/08steP0Pg2irXAayZj5yyOikVPUbYIjOvbWHrFQ012zIM24a1+CxohqdHYMl2a
fLJWGj9Ry1e5iCskt8tJZCqHzpybr7WptXdgPgc/SSPdCNYR8ejq4grA40nkLriFra65nIekfYKq
cGfLtN7VU5vuNDnHZzaW7M3CvAxSsE3kUuHeF4tQYAga4z2cpRguaS2RluLRo6cU9d8VtWmrANeB
cd3phXFBcm+ihaOeTGShJM2yAf97ayjatDHaCqG6Xhs3ksDPrXSh8RlGYgcRTw7phKj/kwIz2VAC
69uhxMelFQtNI48Aa2LGdNXv3MGuL3Rt6k/jWOn67dgq1r0Dl/LULG312eSLh3LuqILTTE9DQJx1
vdXcNsJbB9ngdCTcsNvXmWphysy6+RWd/KJgda1rfKo4T84LvTUS8H4kYxSrvNUnXyAQZabdvi1f
/1noP1nomSusVdz/vdJvi7pNfzAj+ZlVtf/x3//198/8vdK76l/8inWiTl+btdvlxfH3Su86fyFj
BYyFoF6j8f0LqscA4rPmkEPbRlagOwZlxd9LvW7+Ra+DwbyrorellWb9E1TP8SbUw4dh0gwCd88/
Asn6vXyJx0ldXFH3J7rexx3JMh6gPFOHi2r2Bs55x6InRyxxWoVe8inp+6h4QnmyxmfR5GQHzOjs
2LfQ4Lr1hmWC1NHrw8aZS3ujwYQIZ4fa9ZfLcvXz3fVr0sSHh8IfwWsITfa7ATB2uUHTSqvbseRg
dNW10TfAxG2QyDSflN8fHYpTybaPbQCigKPqc8G8L2bT7Ha4A9LdZCwNuJwOB/bk9J/08tYewS/v
6bcTaPCd3iQ2xjvA2jR0MKPxmeyAKHiAZvTrimL/dSLQPa5gdDj0bbDuR3kgVKJK/3xK19L2/cFX
SSp3seYdC7FIpQZqI7puhybD9jU27JtKM5tPWrjvzyZeARwnLnNmZpfH4hoZu4akl9/vWs+0gaHq
lex8C2rMGnfJwOiTL3W0ceSMovXi2QLmyMbxnWvHagbdSLSu36Ga7xjjtS8ojF/dmKxhrShPbYKz
/X96GtmmYzpZIx3M9y1qTGzZCFGk37HOW1RQXsHF8urNn4+y3nS/XyyOwkSIRpNKys7blvGXfQqE
GozfTd7vDHLN4bIoZ8SPXM7Mq4JJLf9h2+PtLP56tKNHgAlf3MRW0e/osmjwY7CXDGXniywXxGd5
5Mzk+bc/f8FjCdHbMddWE6o25gv28VI2J7ntjiOPHdI28xLZa/EQqz31DxSmk76OKQybG2eY3aAp
yEa3O9U9CMs46Ulx32F3GTY9uya/HR3xfZoMZT+jWyFQvGtuFzSThYPVG9368snC9IYqO7oya/YF
7UY2kGhhjnaQriSSq+54jNKxZ0RgKiOgGbhjpFkrBuWg1JpAuPUYGpy9jV5M5rO6QNXoNVdcON1i
BDH+0EvIjn/T+f7v2dD7JxztMuvz+oRb/H300TKvsPPFKrrd1CVEqTL7okEwBY1rI9RpYnk/pQYI
hNH2irAuFvjaFWhKib43pzimrBuYtzACWZPuK5VGgYjCqHKJWoLacxr3enuh24uyZ6AGR5bQrnB0
LEEyWes99OC7HwhUjwLPgHPTmoqzpeWSgldu3Q0Qh0OXt5KEv6IPusgCrVTQbTLz+x48/kVuzni4
jQXWO1uKcFS6y9pzYPykDoZ8E+TmRDvsTE1m9VFpCXjPKvjmkTW/5rNx07kdTHQnXsGVSXfJb64+
aRu8X2ZchJcGE+G1M/iuyzzhBuytcb3oMrlQ8p6Gu6vutXS6w5gqNn1fap8sMx8e0WKxtmhPrevN
7296zJaD6y15B5Uo2msSqIEWf/cqTO8Gwe65Zz/9+Xl8v24zvGC1QR6BYQ/l5+/HAx45VFybjuTz
Qvg6qPh9XI/A1hB+h38+1PvblCYzHUhmFx4ikGMtWdyzqRmxQO88l6CBWmm0fT32nwkUPjwKQx/K
FLiznMPfvxCpCEpJRg2vO7tVW79xPOWkb2L36s9f5riLyDrGt0Fr4VItamifjo4DQGPFmLEDnvDp
hTUp8Ft7KrFJSxTBZiQdSgpufNRI8aF1H1s93qGJTD9blo5aAG8fgxKGjQp6E42J/+9ft0EzvzDH
lDtzKhxCDL1iG41ZtzXHDh25YS7mXqsmb9Oq9UtRj84NE85xF1vqcI4l2zhYOQT1P58a/cPPhIiJ
pgTTvnfS75hUcOSIhtxVcV/t1dbaeGo/oiPumotI4vlOnF58wSyuAA1R5ssedHtgp4iQoAzUpOUV
L4U2DRfgCMNlGZ/7TNEDotLF7VyBdxddap1YcTIeqrm4UNTus+Li4y+wcloBeJs8/2sH+Ze3cKS1
Xjm7Iyc1mW/i1hHbfjTj+4RVLBCNk4WR1NSgdOyON1ZbHuZk+eqmzp1sbW/fiwizhtsOG5Rw3nW9
OPWday4vYJOqg0GWwXYUMaj6HCWekZGp0KbNZ8a4Y0fZz9vil29wdHfiAecD1zP9GSXDob941aGz
popIcjXs0pZFvqdjgwN+b9R0E6RAOvHnu8D48C5AmEyPykXrePy4uzNryWz1csWNdGJFi1vfaGFd
OSbzn8JTf9TFMD2ioEq+S9Au/RAHYD7ocRgJBqpYbnVVEgvA8M8fUw1ijKP3glAHVd3RG8oCM4u1
F0LbNZZK55Zw6Y2lZsC9Fe9RuBl+vcFSzwDbrSOm+isRqLf2zIFiEh8CMXryM0To+9LNtdkN0uBD
HKe+k4TQ8HPyiIzWHdbVxyragYksQmWB40CqpPFJnfjBsm1TA7PzRGNGrej+fofKIrfJFdTkThBx
AhiAJAiNlpE5Ld4nR1p/0+91D1+LSTp9bBPpyXFhT7BNL5zI4k5q47tcM+LHrMDWxFCO3YQ150Xh
q7biHiJb+4fTofUmtqHcItM1VkvCcR+9i9NGjzIVQZIzf4k692pymhvVjF4Lp/vGltf+5AX1Vnu+
+64IIlFts+GmR/v7WfWw7aHd55ZlG17d9AZ1zxwRTF/RODWG5YXEnTvoeFMYz4LixgTnNsi4DVWq
lT8/PR/eTNYqFIYXgL3laFlP+w76HUTS3ejWII6EQ38zgZGjpHUcED/z+ufDffDStFez7mophC58
vEe0vSxfSaxc5Lll5CwgZi69m3yyR/zw/K4GO+4kTu+7fDIIF1iCTOQI7JFBdA1TQuJI5oFVdZX9
KCE8xYPZE+4Cb26MiDKhG1BspkE5XdDgfrKFfL8pd+1Vgs2m3HQIKj262COg9iWRyN3IRVEhZDrx
VrYwxYYZ+GupKYEAS7dLnE7367xXP3msjnUcbzf3Kj3Hd8jYFV7C7/ca7Axaqcx6drNmJt+EQ9PR
H9u4u5TMuEt8jjWyw7rnFwBNJsrYH+yGoAQ1E7nul42TINFT5vF8SBgZ+3rX9VpgxZb88ec744OF
BsuEzZQSAAGk6vVG/eVVmChuilzHbnZQY9ptz6RxY8Ln3FDLp5+ckg8OhZrDBGiJCIzksKM1Lc00
KZrWaXbdEpWvJv7Z66VaEZCKrf4/vhY1KFZP6NRIPo9XNUF6cydcE6KInrbXSLrsbT070WnWdnQR
/91ovPq5evza0fqgoOdItEUoEZm7H+8b9SWKUTRwpJRJSRgxorkt40aH2ykXX51KiLZ1Mn+yfHx4
KtlfY0YGkIXJ4ferBs226rzEanazzoS/tKBEpVmph62qf+ZRI0GDX3a0alJpqPjvvVWBfFxxu7mJ
/27RuEXMVm229jx3bZAm5riESPYqImBaqRPyk3dF0BjDqGzZOfbTBtmJUV6XrsXDlRr0GPcRAvQH
HepWErZV7vahKAo7JeCqSb5CyFfOcxzYkhTwgqAGWWlkJFV8JSNwbNBJoTdYhEeMhmrMp+SeYK6c
WwfSqdmiM4vzRLuze30hl8qcLH2baeVkbwwP0PSTN2pp+WJnNEtiX7CDSU6npDWisE3zNrmX0K/R
oVZ016D8aKW5UVShHcplmgD99vkgLxDr9e652fVzdG2TFlVt+Xdl3JZjK0EN96aXVyF6PjM+B7Rr
OWFvGXW27a2muAVxY0dk6Cioqtuc5KQ5bnWyqJL0oZRo9/ypN+ts78RjTLZ5XxONNufpHAMsnAkV
ywa2k2kAengktUuOXh5OgzVDnhtQB5witYlU+g4lVEhRWmtxlaIn/EpiHv0SJ+qmYHFJ970VVqo4
u7ojUupqjJzhtkrNtoOr1njOjVqXbrzp5yHu9xSx07ZxJy8lCzq2hW+KeFkCHEJYtVteUZsiWtt/
cIU8dJvScu+zpCmCqShrI5BmMjCaEYLMKre/ps+7BcInHiOhF0+F4qo3XWXDgyyz6USZM9yIxCwR
eLWtGrmdEqe6AZzpD2YSb/KlSne6mY9h7uXlNu6HgzHMY6AL+TXLAQBavR6FuEmMbWkYP9Dnjpuh
mklmNltnZ8tR3XjAgXemt9Qk1SOGy5gunkpTTN8cEHVAjyFdVs7wdWls62QwpsUfptnHt/CAe2lj
K3ZzZXllu9HUKr3KjXEJejXVTt2ySM6NkevBbgHOVxo9TIthkWyhXacpOXrJPEX4S8wcMnjeU1Qw
/yp4S4QSE/h1Xkz7pjMhX+KU44/8Mqe7NI1me8inSQ8XFUf51MFpyAibQ9Gal6cjugbGXe5V5Jo3
pZJMG22ENr6QmRaAxuvDSJ/13ULpehPFhXgm0Fw9qxKH9JKusYmw6lqy8poqUDpCWoADFjsGkNa+
hUjoO1U0Ia9N9b2cHUZ403BgYLZNLaFtc2t+KtW+earS6MSxzNu0n5+sKao2o+rRqOujp9JWYhLE
8tLdD71TbQcFguNiKXe550YHGRlpaMe1S2q9SWwQs1PfzLwlTNg33KStMlzhAndvJMF3/mjIsw78
nF+syt5ZqV4IgiP/FmUn6WFleVKV7vBqSuBbczoudLjyIYUbjfuoqRYAWFSabRxt6tTr7vLaTRZf
5+Z5LDGkT6HTsI/gZcoikRGL8oXZb36BSzqlPRKhSc61vdoT16fUEBFtbXFP+Yd6M/FAAGnXrVme
ufMYj/ILmHBHNv6sR+aYh4vU2y+KZmzVDDyur+h85p2j6PX3idhJcWLkAGvD0m0dculqzXHPFMUm
Bz133Db2C0JAlAPtWVXSpG3Sk7blTPldXoHNB3R6l9DVv9IBKdxFaIbT/ZjZ7cby0uZCG3V3W6fD
uABCpxkHo0z9ZqsR9ST9XbFxFrU4Fbxkv3cET9mbYo7rIBut1GB+L1GIDXn06tHc7wOqgJLNdzSo
4TK70z1zpvIV5rtNXFcptecKuUHIFs269CpdfEk9LN8Sde+uo2K5c2cz+zJIfs+sFCCLOr05vOWD
pRMGWd005CNduHUQL5OFeXXPnZAYXvOUQKj53ggz3+aT0jw5jZ6eZG3UFXtj6vJtOqvy0aqbmf1h
PUJvjKyyC/tF8nAUumIFuWpiM7VtKAoUXPu+IcveoYW8YVfqtducfROeHFGv0JM0Hh6aaIyXjWsx
0vehLYA6rgGAe8Rtgj8AJIr8amQdOQB7TG7VMsHj6bS9vpWcTuWB1Ha+oiNyLzkl0JOPaufDw4BD
bjyPoyi+TF3ygmpVLOd157pngAf5rYYgqk1N7duh062FuDWnOdh40S6zUYpnWnf6hsaZBQCGR3UD
XGLZLmA/cUtM8DdgZMWXSBiJbBBWYl3yEDU8VFxdmvDNIS9h5TtJIr61Q9xem0ur3cmU851m+bxb
IMPu3ISTqrTmfKpwa14LqxXfrHWHGVT2IoYwb7KUvE8rPbHIBmDZ68H8tmZzEFrmnS2DFN86QPhP
A0xaJv2kNpAiiaZj6RNOawOy8RCv/L7e6+QPb5TWpbk0CnJRgk8vp9QiHWm0y3L+sWRIqgDz66MB
w9UY0VKfQWDQRQjWHy1q4jZrTF6SVaxQfSQhLqvandBm6zK16uhe2El8YSMyf7ZjOw+Boi9keimY
3Hx82fKH1Rs62Tluc5gx4ISx0g+nbcmXx/I83a/M82eItikmeH5aqECsezQLi5+4FhV4hU4Ik0dT
7Ns8KiOfqGUwHW/87qTs+B8iQCl+HI9FF2aLICtv4TmnjVVJCAg0rV1nkD9gL1lBFM3FXmu79S7v
QXkyc9Gt27RMhgez7nqH8Fs+ZGGp+Y3bteKrkSX2reItDUDSakwuZ7skV0OaVfuEBWu6cm3ZP6hi
ym/S9XLrLaGmVqYRZWcOHChX5i1pyqruU2Qkl6bkrLlZMl+BnJ9f1QUWhDKZyPJp2kc3ZEea+0ZN
KsAbI7+xXvIbSvbpHrW9/LGMA8KQpaUlvlFgVr86gjYfkeBJRP6opUnMbrYCUdRWYK6yki8EREKR
jG7MhC2XD+oC2nQ5DDbI1547aVGalqXXNrnTWLOSyyLPai0osa9eQXKgiQvkiWutSjchYcGo3Srw
ZPdaI0mymF2UWdCUI4FJdaY9mLEYw2GU2os9ZH0f8Og116wWy2utZ6INbL2Cst1mVv+iuz1y5GhA
taQIwWmxeZPLnTrmGs4SSl5Q/4VyA3Sc1cyxh5dJuM11FwGo7DE0XHTDLL5MWdRca50bX0Y2aGZA
jS45Z66xZx3z2s3s8nwTtNo9Nih21OtWcSVrPOxXa1/PNSfPNZxz9sTRFhJlyyKGc5K+aYcetIkM
93mBWXkRlSLeDcWKLLBxoTa8Ns+M1swhlzpxevUWsQiWQt63YiAGeUleu7gWWyGFEGE0COOb5ZFk
aYpiCQRhb6FuTMiHBsPeaZwvn4mmGeZESpJSZpTzjVa20xVFyOhXkHkf9CI2g0KpbzvPPB8clsRJ
VVP2Mi0U4t7LLhr6PxD0h0NWkgGC49i+VMdSu0gc0vTsNTVzUlPlHAoC2XOzFd3aESGx3pSCGUf/
upBFx7CxQTiHmac7DPNchCnP5rkaj+1ZFTvVIU6q2afUpwSED+DTQv0K+xoylVNNN3k9GD+Gwjw0
qaqxpLn8YchmU9maCKbOPJ2ALT5Sb6v+DNH8mzeuc6a62yZ0lvdNRNB00CQUpENWz4/uNMY3apWM
W7JjTuy6aEJvVFJicXF0uuPylf5f+SUvkVfxzuEk6YoZs9CzwwmceTYTeD253OeKSshopKiXeYn/
RPYEwyVaL0Iq1PHKJNFxZ5DdeduTi8NS58U3veQgvRU5V72KjozG9OyzKTW/QvG3H2zZYb5LnYcp
U8sd7dKEOpBSzi9XKVOdjsl56tK4qTV9D9hf+5ao0bgdXEXddbq2hG7aE04z8DASTdL5Y06rMJ5n
+5TiAhy+ae1guNZbHicWYNIgFz+20Ux5hee9DnmvP07C1C680ltQLZTmnUimLJioYbfkXKBWjmTx
gMzXuQbmKrfWIKdm61AX+m3XxhtcjuJlYdSkByImbrXJuA1SEiMJjAb5yrIm5sQ3y0xiXSFmiAEC
XCOUbL1jU9CbcfY1m6f8EONU6vKmIEzDVJDTZdP1gpWoS5Vyy6O4TY2F/FCmehRkTn9RmhZs5LwO
0skctnDaSeEQYAZuXLVdwrw03FM5I6WL1GSTWFCeQIpbl6Ww6hqJvKcxtCiW/TzXw7ltAeihRlNy
HjiCvkU8ZZdFZiS132QLov22rdiWwkvjMWKGNpx7UZc9lbpp7yyNBjyttZo31rKGRPQpYQdeZDRn
M81sdnXOkBJb3GYoksdUvYEzdmgJZTiJBrK7XZmfF1xlMN+jw6pfFwxHx86vRtmd0fedSdHITrRJ
8Z5I4kRXp3wlMn01cllL0Ahk5ZmDrt4fhk57mmayOmrd+aYt9kvU1s0zFWvxDBW5ZtGSyr1TWPgY
hz7edA6ZtbNNxVLMrcbQ2+uWIJ6iRFAOTSeDTp74QTHq0QwHR5XOiZNjwmbRsOtLZYwJ1atmp76k
fVOrvu5mZLqC0mIRqjUrey7LrLomPrG8tlP6yH46s4Bmydj9KCQZuJXMEjLt1EUEusIvbFABHCzI
U7cIx93xqaXi4bqlbHKwWZFQPCi2sS8E8SeLN4kvvC3pnS2Fpvc0/flPdZTqd9TH7ExzAksOcT7J
H2Vedz9kL2kiEPZevuZmRVdBLl30rMpM+5YnLW96PFPTlWym6FnPWzbhJlhkLyAuQP5QLEFEvL4M
HiLH3Kpui2ZiYZDJNNZEnoL+35reSEejnxJuj0TvKXDqqqhvE7snCtuL6+gZ4yc/44mpaEMn83IL
3JrKbYQ3o8tDwinzepMhK4YsjkrLYRMzcdAsNSt5mi5Wx75RrQYNJjKZRvGW4pXfvCjuRBT3SPsx
TExvVnYAPCkBOiakkc9mitzAZIXs221J0VpENldJWXjVEffUR89DO5CIGvfpmt0cW8SV9z1H7RuD
bO8R5MTzz5NpDUrc4xw2tDSARIYyzdGWqfbZT9Q7mJhxYMCjzjECrU0B0lmrWwv9WLUr0ox2D8qC
lA1mPsGp0OgCXeqNtcbWW4t1OrddfWuNKCq4hMxbgxGCecxzbNEPweeXE1WGimHYlZhbknNv6IbX
waY3iirXEsm5rWjJXT4P+o6U4uqx1DznOne8JgqEcNW7MRFyxnNgatGlCSUWfd2g8hmpyvnUaRVx
8UjXqMi4GMEhBVwTnl16/8kc0pfhLA5Kx/+/VLr8kbJ7SfFTUxHPcpAvaSYzQsP7tmGA4aEd3al5
qk9BgSmPepfLuZxU9P8OIzndqs99SEUH4BjyiGq3NFEAFxZw1prUIvaRnF2Nn1V4fwVlv1L4Kxzw
ZaAv01JcQuVWg2YtIQunIkqsQBt4rwFv2TRFrR6YScPILHvjuozd6QwtU/qwLMl4P+qE77z1O/+j
Qf1Mg8o8gynNv1vD79wGp2hP++/5/JsI9ecP/UuEqv1FD1WDK478AwfB/0pQvb8QGSBB0dcWK4sB
/dz/dRuQfOJpsAuNlV6nMub4W4Jq2H+Z2AJ4wlZWmbr+1D9xGxzNiJCAon1C9AAthLTId5Y1wzaS
1qWbfYBY1yXB6iG/Hnlgt8aIdD5FaHEY1G8ZnsW9aEwT/3XtejdDPXSYuMphZzS0iNUuVdVPBjkM
6H7vQPPR+HJESIP00dHmHQtUAdjPVs4wce/QSKwvUfWrl6QPojnIlMjKfa2vb1PNVMxN2rJti4HT
KGKQ2Bq9PvrhYie/ligsmnYjZqd0HlGnxxdz0pAZYCZS+4IhuqOjUgyCjffAtDMsqHnUy5LWplRC
0+4U92TMoyU04at3SajRTMxpwJpO3t4nNE1PahbsbAw8iBk3LqUSGdiOJKBbySvv4LZE1Nf6nG2m
1rtrcGy1/cYbXeOKNa+/92rqo7FtSkKCC4pxvx+z5ls5l+qNGVHV0gxtRUbLHTA8Pap19WS4lBSH
zqgLWiRsn+gU9oZ5TQs1zOlPbauWjmS05o2lS3sgc4A4v96Q31M1aS89Bgbg/uUp47qDqG1551Qp
O35vmneOJJk+Iq3mMCmDEqLTaghg9zL7omFiQ62ebBUaC3Q4e62+UUzvi2pkBEylUPowfBbJkx4R
5OGr6KrOyflVrgl+9KbASWa5GdNhOoud5ZYmW3HZzog9GGhXvE1HWyNzIVfMb60sM96UifQndi30
W2lL2jeqm4sbDC0Gbxm3vLKGxVlnthQt5/gcpHGf4eQjuERJL5el2ZhzpG/Ryox3cHDwPiRGBT1L
WLuiKKutcDqma1qLFV7CG4Rr5mgnGC3Wdpmn+Mai0n1VBe/WpRsDrYnta856c+raOTENTqEeYjgj
h9UIf0g0tWDsU6nFk+g0eVc7dfbajJpDZ6pXxG0j0+XCqPTpzMA8+yN2EntrImbclA3fvtUp/2j/
EfOWQuQlSmEwtzQVpsYXuUi+5tz2wHPaKcBk1hJtFI83qjOMFx4L+6k1SpBK0DJ3BPwUm04h9oFk
e6hLhLDcJB3UcIw5sEjbNOGWbksn2o5DLgEPN6b9ZPFLAmUqSHBwvZ5+4qh91eMsCcpsnl90rCPn
eOrM0CXH5sQU5jAS0JPZX6Q+L20QgfPd64OdtSF6sjkJFoLkZsJHiDhAr040oK83paOvgaJEiKiG
N4ekg8YLtWyk3Flkp1HnKEXHPrHVTj1KcmszcR73UBsQVpVakZzFNKmY1IycPaSzS2AOGTkKQ7It
Zt2ic+9G5vdyNEfbT8FE3y2jqM7WDQ2nb2nyc+wa0daogavqbro+XfSXTIyWJllaa+A3TGl6PNcO
731r5+S1vWeTfO8l4/LNQRC/iUZp7j2bl3Rqz14ZCk2pL1gJxy9DMrstOw17Vv0yXiothGmSrxFc
1Tj7tWwdAhYdjzwYeh+ZX6MzGy6MUkA91RboIeR+AbvVhi4pz+Z6nUF78zDsa0oqaj0WEWbjkVtc
sk+xqXxTcGKyMMdrux2Ic2NsSurUXMnikn2m2NEEZgIGcbZWtq3U6LOIdrEvbJaDU1yRRer3UVE+
MJxsbtgldnS0C904j5qxOVOarpahYzQqvcusvnNqXSlCrU/NUK357zb3KPIybU4Ow2K157h0kqtU
H/N7UWrVHc4gLYiprAk1HZHoiJrF15J5/j2LO6Ui3zQl6UrB43Ul07lQnuBbY1Wbmsa70Q1CUjaO
WsZcFBrN7dZUS++lXehqgtwcv8RuUgTDrA03cDGak6kmXUSxFUYNff0/7J3JctzGtkW/CAr0zbRQ
fUOy2EnUBEFSFvo20WV+/Vug7ReWfK8cnt+JNCLBQgGZJ8/Ze+1krxNuqK8AptinJBizrTeN3QNT
N6yfkeEmV2AVMCjGMr335Fwae0GU9h0D3Kah4dTnBZmOifhaS70qV7ZBrNSuW8ZREWX7a9IGLdUa
KrVLTwe+XsXG5CRIWX0OMrnsk1tt7rV8zTGYy2GgG+k/yeCepKVp23qu+IpOiUvEga7ONmvzNpMW
JW1uwvqenHbD2jAfMhRFXyhvDf7hoWOd5yXPSbijjcERYjWoRAsDvTSrMHNa72zE9HlWnjQpgHUE
ycdgnrDNjX07nHrfJRaUr42gm+RU6h3g4MHiQ46GtxGJ+55Z+rRecABhjnnsOTX65pA1nncXoLTn
quW7SYgcD6KTW7ez1pw5brPkOMU5ln70Pgs6OpwX8Z9pcxgbJQ5CnVZZ09jZjSRhY2fXWsMPqNm8
rXjRCa5N/emGEZ0emuYAgSwhkWjo+AeRrfaV5IH22tGpOtlOaxdL16J6YdY9vhMWI0452s91V9bz
bqlL3gotr995Sh0ClPClsHRk3uhvJKKZs6iJglqxnXYny29nQYJP4lmhIZRHvKfUpL2eyi6wtnIZ
Xq5nNejPbkZM4qZ12/zN7pEYk5BdwVyP7ZiJYiY08Jc9CaDzigij6bUSH3iYPB1B5Ix690JzNH+m
hOPrSl41OxtvNeYQ91J3H3IitnZZVpLrazGGVGElEusi0gkjA9N88zbKmYhQYtVfZR31255D17ru
db6viNAXeqxWVn21nLbkd6bjNxPHwEYHfrRsol158VthnMmlYjmeheS8rkYynai7zGZV+D2pP+ic
81eOQoSYEbDkSMOyiX8LGpAWkQYDavKJHrCYUCYkDYOVZtzVlvdTovc35JbKK6qD9IHkPt1C7Yoi
DKivyRFJiPs4WPoTju9cEgdaNeGBpnlOcQE462AWQoSTnVp0tko73gTYUdcRVKj3KZvbNz9oG4jY
SguOKASnpcB0zG5TZnWwkYbqbST/nTr4GURykpIG99yXhByumrQYzNWsKY+s5ywbz62hHM5XrCNZ
2NGKcELKk+6zmXlSu46c2uzdwKZ/5a0ldhCNvh0Buy3c45h17ASQsqp2n7fcz/U8EbTK1krjdFUX
lv+A1hfISutpgueL1hmgLBbaJLCanV+7RXbpEpnDxIq88iar/Pm5M4P23rAm72sb+dmudhnhEL6X
a++cObWjT9pntWtFN5ehFpc0DBNDsWUg7xl2adkYd2YaJ+XRb9LgNh685ntQ6VA3C50QAFSOC7Gn
HrUVczVXX89Dm1j9ySWAsP4DWfa/Y90/HetstBC/OtYdqm/pa/WjtfD3n/nzVGd/gn9NGx8ZHyS7
xT74p7PQ/wSSANk9OuPFvv0XE7ltfPI4BuqIrji9/S6V+/NY532iTYncxgXqiR/J8//Nsc62fxIo
YWdaqIEBDkX8YYts/ket0GCKJFUJOH6axvOa6VbxSlnEMjF8LBnJx/Ihl5VEDBqLSh6bxtldVhr1
segYy/pDH2785g1GeauiufoafCxUcZDT3uWnSlYCVrKyUhWB55FFg4N1rvtY8rKxsy7KKAAW5x+L
Ii5l0Fyu/+DRALnv5mG81cfXcllLk2VV7Zf1tf5YatVYVGqXM/d6xf7LYkwnhYVZs5ZFGowZC7b1
sXg3yzqekOIaM+EqacNJJmTLiSs95POyI0RFMJDAAtOekjhS9trpTB/zRQ1AJOysIEOx4mfWrg2W
iSKWuuRsfWww1sdmo1WFa4X5sgctQ5cXlmt1Mwipczxhr8IoP71TJrB/oV2nZPHx1aTL/iabLH41
E5M9LzMp+9phOw5LDPyyK87L/qhoyt85sJzB5Pn44xm2Tx6exTS/8a1yvmKS+YhWXks2YM+bGKng
HwvHamCIZUtqv9S7Mz527ow9fCZqZmXNpX8Hh7dhm8n6B0tOgqGVEBsU29Y+Uo1RMCjMqyOxP946
k2o4MRShklBLUTGqYqkvPmqNdCk7/I8KpAMw80wJOzzgj+o4bxpULGijjC/pUsb0S0HTLKVNVQXa
eVIcA/oqdVFHS7YfMunOKjaGzwXpCi2HgrI7T1HXnhIfPUfQEYu5iuVSUlHnJrejXRWbpgVVuq6m
gDhEEDPjpdA4KqyCpUBrl1ItZgbh7OK0xBZoMkv/SqwjRCKaiC0JDgD1wBoElbFH7ZbeJ01ufTbj
Mr0GyuFqgGS7B6MxEWktJaTxUU0mS2GpWX0s0Gk0HA8oO6elAGWVRujG7ORFq+LuaC2F6tRNXrd1
P+pX9gBq2WkpazksU+EKRnTalyy23LvkowbGQ0U9HAiVvxPuQJU8JGa+iXVVroOliCY4uHrke8yf
JkMkd96ciYtYym7vowI3lmI8iSp7rZFeWK55XPEdLGU7Ww4VvLYU80Yd25d2tId6k9Rlwx7lIT1a
TSVvORmWRM0uxWoQ2EvABcbL5hiMNGyaY10Z8e/JHzJz70UdzHpxrthGq35lCq1X+3Ki3QJWR4/u
5TRa8pggU963k3tn+BnDdJtKx7IYcDF+CKgeeHs2grz7lygKJKbNaCzQZdiBCPPGJEWZ3soDIzNy
LyWlaLiACMKkSvUbuynnc++4CafazFmJWhQhYZYUFNGYg3hjFt3xvtxHYuYESQpo8TRHk1We3aHX
szsvFaoIyM+gynuwlaDyg3PvVg4IgFbbT0P3THjrdNVyfxHSddZ0sLrxSHise6mbptuVfW6ui3nB
AQ6lvLa1bx6GjFCsGpAs4b+iuE6d1d0XlDWEeWbpNrKCYuM1fJEYxlcMytKV0SY3Zcb7UfbJiqbY
ecwgDKOvGiyN/FsvajdBar64mPlgG2pHIihpvNOfN3xD8Gu05Ygk7OcE1ziyya4ODW7LFqeXuE11
+yUYmng9KSvYMIjSLpkyon28lIhy0D9XlPZ09CO+ZPmtE+OpV9zDqNdPWWr2MjTon211kTzNixWD
HvSz70nvUPrNu8M3tplT816XXcAEGPOm1d26U5bd9W31hSRgEujlyUOWsy31+mFM6XGVs9eHk45E
h9n6uDargry7gWn6nh5BDl9pOcqMomVak7iXNjXEsbPEqYePtCV6edyRuW6vDSHJBgCJp689sB3H
LoZFy8dr1EtCbXnhrGNvXXysJo/RyeXbPutxZ6JCHKp7HfXTTnMqbWeDNQp7Wasb2UUZqK3aIMUQ
Jdu1lRzQLPKCknWc9sU1Jw0WTUD3zasT/ZinsXFSZdBuNDH5JVKbGSPJWLWMRHwev0cPXdma3i0W
SeSlG4UaDd1RLG9QqiHpHI3uSRG/EWqOLW7MIL06ndbySsDJ70YUpGWXl2EH3ulhLKLo6qAcW9lM
BFekiMs17upTEHFCyzE+vxZz9JoIvb2ajTfdmXMwn9JOWPcuqqsHZhXEL1vuUXhlRWwMjw62n8+O
SOBkavyTZDN2TZe/1MypvudR3Pta4CH5n+XWkipg3OEV3+nDVDdq2ohBDeeph06EmE/YN6wx2jnr
U6Kb26Rs750iKdYtE5yThZE9dCKz2VHtJ+82OXwFtTp1v5cP9zyExU1Q68Uds9+FA+d6m9RVYm0Y
H64ge92bWXcolWXdFTjL1togm1uHKBZn7NxNa2j5A3Gs5srpPSa+pFZvBRhUgycj4dRNXQB80UZe
KFOT0GNnUTc0XXrSRjc4OmKS+4og9YPbs0XOuXIPWsF563cPyf/q5H+sk+lI/bJOrqefiuSPH/ij
SA70T4s2AA7aDxVy4H7Ck4qI3cSgiuv6L4MP2/rEwBOAGzkbGFf9RVj/R4Vs65+AOlBzMxAFOrT8
1L8YfDC4/HG8gLBvoW+4VO/BAvn4cLr9xQMhy74fKy9F49KW80nLBHK03MzvZ2jJ38pqVIcp6m0A
NiRakxsso/zGssruhWaoYKH1hHZnxJ4ObryR451t9dFzrni9T206z+9Jn2bxAZIQU8mI/GwtZIAc
bwdYQpsIU+ezBKF0HbrGEqtOlgXx88Bov42jdM5jO/jPyVxn9FWKzi+B2RimXFc158menStB3nwY
nbHYZInVDrxzgYOOrbTcb0Ahi98q3TvEDORvsmAeEVG09n1ObK9aD2MTfe8tVd7G2njJi4GNQFZp
9qLQLLzC7Bk/zzFNSFOK5LtmWU3MINtBnNfN3h2CA5qhs7QEb3o8X5TXwfEI0Bd+90pNu9YVPuCV
NxLVS0YK1n+7QY8aC99IaVJa9tlMgFdDhlcGfnGog6/weIFlu5HYOGOUvBhA++bQ8kt/JzyHTK2g
dIsHaaCYpGI4ODUcgX06FfGOebJ/JOxu3Ok1ORlrVZbuQ5nESJJokhbeSsqEGE00MwMqP2Ih4nVl
18E3idytCenhkkGeFONwYh/oQzPK2+MQ5UuT2UAWaNJ9xcI6B6cOpTEbNVsZ6KjGv0FkhToebdlw
P3oloXoyqfcoggSnkMjvwyCFuhvauJoe2mLqj4bna2HNVP9aB0XRM56qilvDI4iSMbrKiKmRNTIG
xxu/gERG7zHYvX8ykprYaHLa52VCzwCOaUXUo86Zsk3BzPeWZGasGHPawpJwm3ZtTzNyFT0V/bHP
yPxZuckc3/l98x3VrRyAgKo2XZPeUH9HvlHQBZqgUtKkVf171VF27CO6zs8RSQWH0arajQpktshi
3fG1MQIOFVM3ruumcrYk1cMTz6zW2hp1wMFrxsR5q3oRZ8+tnkfzeEWgkNbFxlAaDnvPGNP7SXrJ
XWkG0ii+8e2akx2iTU65t7NdJYSQ6TAe6vQG5k4Z3cSiDdalUZsrg/jwl8mZXOovw3yKfa4RiXaN
VfHBFnO8mSrLcMLeMAAqR5XRbLU6Klck6IA6Zep6lD0CY2QWJa83NjRZd8iU8gldAlpAEHH1RuhN
Gba9EW2zJJeAy3pzkzI/XHWxVa6L3DgxKzAu6FHBQtQ2PsWAgGvdOavGjkKpdzozo0ru3bnlvg/I
oUr6uTJaV37HE2hXrX6jObV0sQAMMLa6KNimmeqPZtkRM0efDMFzMJ0H5HTrqS3zXesMQ79CDNye
XNEORzMbyntpVDZd9dp1dm5W9fdaIK4q4cXMmTsp33oyNJaBws+/waey16jW8KciVXjUBrO4KabZ
C0XVJqt0dowHJIasWn5JfRYIKBu6S0kb5WayyqbYR1uJRWEc8jvLrp4Du6OdjTgU4rK1z/r43nWr
ZFMCkQ2jlly8LNVHZ8X5098zfCjDOXeXu11PjzrErrU+yuDg4WaHneGOO98kFtBFK7pmeaL7anfO
AXNBiaY5oMaMbTFcHOrUTTtn81mWjvpsFbb9xSudbA0PpljNCKiP3tB7j/RYhlMzuQUhsrFgTaFM
Ya1MnUh711GqMKzMY3WrM0xapWi47pjxFr/lMQVqDeh+P2hBdp4MjajdWMTzNjIVMItKL0OkzJgF
07y9KYcx3cHb8095Z77qxNaSZ5iO25nMpBUjrn5TilEn3Z6bckUORMtEMZkM3bjgbptWxotKERa8
pxh7uOfWCNU8nTHnJBwLz6mTiNtM+NO3UXcAxla54iBi6hvdb3B1297AYMcvv3Aa8e+SPm5kGPP1
f8l8Z2s6g3bj5HN1a4xANiQx64+AJ4rvQtr9i2fE9oMHO+/atlhqpNHq26Kxh8uoev+QofgFAEhn
YwPboWDRTdLhIbWt+ugnwnq1BI+0ZbXTeTZbCNNGI/YzIuBbIRy8LQweeKsm+cA8wPWh/hopstmA
ypzD2pk5VrTXEycLx0zkTMt9lswivjUC1GxppKV3IDc8f5WPvscMyYoXvzytEnrj6qgXDcIvWkY3
oKiip6RSU7JCuCe+Uv6hpVPamJ5Nppl7YUYtMzFjfivhMIXKatSjNVoIEaPMY3hdEA668lrx1MaT
eVZJNJ0ZwY34Llx9SUJpk3vHHYwHMx7NrarJqpFTyzHJZczzuWkbcWcpd75LRE3TjIWp3bOjz68J
KsVHK2HMvxpcUHXTZOUhqC2FGG/oUbL1136QIltiXY2+/6K37lLcSo4wuf5FajGM7xpPRfoZ82hE
2EVfuwM7Ua772a2qAREiDxvKzWC47VpaIyENjT6rb34/upsolxyDu5QlmMAhTjhdN0WrOJHDbtLL
x2meMSSiBNjwkEYHvspijUCquFqN7NdOReRlrDXrFh3S/+RBvzPl/qk+pqMJRuIX8iCGRK/iR3HQ
x4/8WSEDlPPR6CNzWWA05hII8EcfGcXLJ+zxJuUu3Vy48Nb/y4MWHsiffWP3E9wV31igWS7VnW38
m6qYJvTfquKAFhiGzwXlZLo/w0dbDPlFFs/uqTQb3wix8RvYb4yJlyMchNaAk/Rwv9IVQmZbRzd1
JdmCO0fX6ByonqfyAXy6rpVHIVyrmzeamjs72vsRTzR90xHmsddCirzJE3gv3rbsxtKebnpkdAnT
bdOjOrCF5vbxthdF6Z5HuxXveTxdezv1opAweg/9juttCzsI5BYU0roxlXzQfAWdU/VJCsQoMCq9
XbEeZmpnkjeCKW42CtxCghHpygM0KvYFkpz2Di1R/kDAbfAiCmVxamfTNXjJxqw54ZVJaCjL4IsG
+KbmEtJVmxm5TrpjhgpfyZIVA7869W9zaKUvLa3atRbU09d0tNlxONNu60E6IegmRkQZvgX2dgv/
9apnbrrLVVkcsqFIvrrCab+YwqJdbOBie68D/72Y5Q2KZqyGY17KA/9El3FwLVwxqb7HuWts+swK
wpm+5IJmCtrrkKFwD3UpAYJM8Zhi4vQC8lMAmiAfjKCDTIYz7itNlXeDMYjnOSmjA1SgaaeUJ68B
Mo8jG+PSkUbWiEiEBXufFFn6jefBuWb5OFob5B7abVJWPswOt9uLejZo6/bVY6I8SnDMrHdssV44
zjFBWyRSmRfbGc3PWl0Ie4n3sG5rOx7WQUO5XOJ0OoypoU5F78hxnQ72sDHMasDLxWo4adG8tWDG
7guw9GR7Ra36qoG+3vppoe3atFUHOzHVO+1q74Cuq3lQuoxuBq2tzzUa1nJnK3A086BcKITbebR7
06X0/ON/+n72mFw0x2xg2KR66bFFt2OACeeYkXY6VUd6e1MBwQbHchZs6ULQWDH8SV+NE8FFaqMn
kaG/fywT/+s4/NOKCjKehe6/r6jnekjF32Zzv//Un7M5/xMrIbg9mggfjQJGfX8sqoEN+9nzoXCB
iYCMscAs/tRcWp900kV0sgNpTEBGofHxxyJr8gsBfkM0N80ASWbwrxbZhR/6V2s9oV6QT1gJnWUK
6P0tlB3/+jTUqdEdHEbKsPkzzbjXAeBe/BEAc91mPpDFxtPfhOZFjx6Oo4Msq+iodSm+WuYC9CQ8
41zrbrXLPyjxADXoV6Kke/SbEl0PrheaqHofhAZtwVuj0obfso4JH2r14tk2KVybEs4J842Iw42d
zOvK9MY1KN0uNGK9m3Z9qak9CgH3YaiG+R8CKn7aZbgDwEJMm91tyYOGGvLjdDLjCI6EtGkOTHbm
OzoARFDIIQjNvl8+F3/3Xx6R/4Br+Imc8HE99jXLBg0BFe1nsI6pcfCP87w5TFoHfS4u3pYzTZhG
3INfX+mnuetyJegjHOxBriD6/Rt/lKJQobspaB6hyjQRVqDxcuAGW1H6MJqFvZNJFt3/+qL/4eMR
PflBMQTqCpvpp9upmww80IUdBhelArmx9JcFTS8He4IDDuDfX41QSMoSIOUubNAfrxYH/pRWZYYB
UZ+c/FJ1GFdnl2YQfv7g8dfX+hl5tdxPcmm5CKm7wZKo8OPF5jwukjLX00ObzAUH6ASV7RrqPzEk
BEnguE/m2wGh7XkS+bhXMISaTSrcf+Jh/P0OA3olrc4GpM6/P5NFCkN4EqV9dmhJ2kYCI6TA3B5F
j4HbML/59Yf++zPk6MaiU1tYdDYV4I+fuUPCavWdmx0aQ6lr7Xdi3Wu8wQ3DzOQgRcph2KuC3P+H
6/6nD+m5Bs5j10Wsri/r1l86onmcYTNxcSpUUzsil+PbnKyBAJgqHbJ/dy0bYi29kkXhztdLQOZP
17JTbTLGJEgPKUpbZivSy1eN3gGmlJP19Ov7+dN6+3Etx2Cyb8O7sZ2faTdZCfi+Q1V1UFJNxrpG
x3MsUmv8Y0rwX5GdP3WUf78OVThknY/H1fzx/g1uASquntNDpANFRGeE0m9ly4qz7Wg5D0magmGd
mduSG4G0O9owQ04uv/6sPz07y99AR46FjmQDE8TXT88Ossk8BVzO3wDDCunq2KIEVlp8iSxZHuvY
R2jqWvIf1vOPW/gXWsxyWZMlyHUtn2MDjukfP/oYu+iuIi89JGQLfO4ytzxipZE3DfXorrOaSqx6
rZ6rj1BAL4wmmCOHya3mbzSs2+69obd8zKOKeeZydojSiH9Upl1/fXf+09/p6OztODIAfAOm+/Hv
zB0rmpSnaXuivt03CTa/C8e2CPiKCpeA6gqzOO3jTPM89HFTftFHU+JZr+B2Dnltn4I+iA5IOKyb
QHOFt3XHpM7WdRJ44+7Xf+vfn1ofwtCCgAW1B6vppz8VrygD/mJKD2WgY27O8fjkqApFv/n1dX56
6/nqfHBsy+LG6P/v0LlUA9AQaSIF21mra5Auxq0qr50Ttbrz8Otr/bycf1zM83B24NVE5/RzCJb0
hSNsAnEPbd0BcPCjcU3LB5sarwoduAaA/jzJkzHM3otWVvEOsWH/DzfW0D8wXD8+rmBESa1CHcUX
DQb9x8eg6BrN5M2AbDJMnTx4hcli2gez1RwA46krxz39zUnwRAOO+zCHJYAK0jTvfIIsdOckAH0d
g2GQdzS+zGEl2gwbelv0QxqaeakuRSIY6YC6u1eFFX0fmbA/k7OpLkx0MBcHbecu/bmcRrDvnMZO
Z8Glp2beO0PuPrhJo+97VAHnpLLlsNabdAmdnwgRItphWBVIwW/LjhDBIpL6m8L6d+FwjkoqmKvo
O3ZWpzlWZUuXsmLms0fhYwtMDFAJVpa35HZqdW6DAm5N+zUJIuO9GkrraWLk0wLn/bATz5H9vRh7
e1qXPZKBjQAtcEHYUh5th6XF6Mb0bSDeZ13D0/2O7MU30XdQNi5BJH5MPmcQD1sdHvRusnWKocrD
mel7g7mpstZ78dsJ/AuNZJ433v4YFEgdcHnUGNrVJ3RvUTsP3otCfrCeiZK6eMvPCiSoaLocy960
6SRo5nMMfCQASF7YZ4rntpXT7cftjdyp35hVol8bq03yI8zOIjlERuxaRxPGxyWPg3LYtCrJ8IB8
rFaDIU9dr2Iv9PHdfq3qnCey1me4oAXB23sCUrh30vFTEXa6njzac2p/Hjq9IPcYPNedlZve0rnl
90xJilWxR7GBBiJ968DmVKuo62S8C1RQQMMBFP6AVMh68qsRSYNmcm9LKMtvRVyaW4NO/isCcK1A
eytwwkZ46q/OhAQ9hL483+ljO9+mktPr2rON9Gvh9ixNjOOfyYG2ISwtz2E51dHRH+jshzLBIr1W
s0EBY5S12lZjwbPklb26xBMwhlXE0UuuejGqa+loWLpUSZ0zJILGc8YHwJ+RTSoKBQ/YBilJ85pM
sU4/0+fpdXJ7vusi5pb7IeHEgBJBe3SZqiyqMlteYq3IjrlP/JZC70VTaL6ttaLd9hk+nHhS9YYo
GQeQTN1dY7o4B93vqhO2JjtkrAZLyBT6xbAqdRxa3d0jyYwe494DBLYIw9wqv0iuBoPD8W5L5e3y
FI9xC+Jop6eZ9eKjdVsBRGVkKJnE5djmdW1W2AGgsBt0erbBjMKCOMsiD7mr5nOQjrdpXMljZgTb
JGHkxdCyPjJXZrSgIWHKyylYtSUfq8ghHyZ5TnrCCKPIFDaGNMd+6XCDXRCf3XZzvxi1gRHBQAe7
QMzU1mnTJzdyy40UjXkimCzUsQ6HTV9NO6Ig9DBXwDcTpbs0SqBYpUFyLxL5FjTmazNoYpNpJRhL
l8kQRmXzoOn+l3aRd9AKaopQzsSLRkNjfi0t+6jIWliNZnqTuClyE9t9HMfoVFde/KWnfbZJ8EIf
weCwANtLjVSa8sZNLeuCiggURlqIozYC2QHZeM69VvrwwcrMQ7i2LCKx+I3pX7OXRp0NpPGMEZCk
2MqORm3XMOi12DsPTsEfVBcEM60IS1BPjrKt7TwVJMT3oxmcmOO1txRKdrKe3MXS5unFU9fI+AnZ
5PQga1C3mGwaUEvNqOSFyFdrE5V0Au28979lZdod5sKdDwmB3FyUKvrSxfq970zTvTdJubHUMGyW
/YeJVd2McL+btrwTPSI2jzetOGAmpBQwoSeHnaQWgVXMXli5IoTYmLIUVRNDqogdwYsDb99kHH1o
VwFcp8zbYk1HhQ5IpQk7Uvduhd4/ewUJFAYWuBu7VX4WxohPs3Xv5na2EBaYlQHW2FZZ7tzpoDq3
rjfEn/ssnk7WMAP1jaZjNg06ejx/Cr5a2SyilYMxGUYp6+ShCrrkyKAGBZ4Jen2vxpIHM6N24IhQ
aFcc/t6mlN2XCh0bFAgGqoNd+d97QoGZN1eG+WiWjvd5nlSgdjqsOLRkE3PneqAeq+Z23ygV3MBo
cq9dgYfMqusGmFjr7TlBB/tgNjAmN8bQ/daQCrdppkwe2966eKWtg0ropiK0A+OMw6OihKk8VHBF
cC2iFhJEZEUWh/8ssWlTwC/SUo3uQ18ER75U1IQOkgU2YQbnlTba77PSxdVDcXqY20qs/bo1177L
I8BIFD0hZvbd5GnF1mVWskGXaT/lqGfv4l5YyPOM7BBlrXnhDqZrqxzDdoyM3eg4PNhBdXFpH4RR
GZh3MUDOPQJY6xzECEK7RjkPkdMaQCKmeldALtgWSvivQ89HYqFpw1Fgvwv9nrQaApscf5eMlYnW
dsK0FRPH+lzps3Uz6H59q6uIsj+wanfVCMgTG5kT4IFMeCx2ZEp5LwCaaOLUbXxi4ObX6yiyi4PU
Avlbz3H8jPxjoBGuEZlkNUR1huh52dNhEUB1qkfnhhM7bWV6qhwAjPpYGJKgx7FvLlNWFmg4nP7W
F/O8t1pINuSC+ftyVt1h8itthQUY9Bk8hEs20Nu147F8yyt8TZu8CdrPNlKQretm+ffAKVPM9h5m
SWR49JKyonv2gFqV/OpN1xL/gCcWzk4oIjW+6piFUJFqQiOlaaCW9Q29B81SAUTIUCHDg0pDvcYn
6wzpJi/N90kLGhrBDYZ4nMtiU8WxvGCsq988oxqPaoay7QfsgVgj1A4IU7TGEtffGfoo3rIuZ81u
C3YNFoEuJ1pntL02d556fag88Y44ybdXMBLm5HsCljbsU0FgWWz3FcekXvveukl1mZ3GvEknZ3jS
4mh8s7vUf4mHoKuIVAswyy3hPQ7bHuIdrwQrUBJN7NryiBMyAOLojp9lz2BUz8sW7cWIQDtrF08h
IKKQKgorsik9oqhbuhpmG6FvKWaLv6qf93aV6ReiqgoUCBN7BpJ2WYbFMACPZXFKBgJf2nlvRIvG
pEOcve5ts2Y5kyp+8K3MlCFiRSQzwcw2YtAd4rnELxPGQmmPKZjubQCZYNOwKewsvemPjUqH94az
0eJbKtaVVnIXOj/9GpnLo0xHSb8kXmNWTH+6ee/qVvQsHdN61cxG+25iyj5HPnJJp1JZaNT82tme
gyejSklIG5zua9TYKeWkHoR4Y58ojEn9jlydGX1771rPMW5KoilZXkmG4KEqn3WH0Ard1+69cSZm
3qtUyNxqSy/fXXUVg1pUDCUMzYR2Jxw0YEMw9XzO2MxPSdsBQ/QGfi+BfMg5GdU1yW/SjffMNMzt
4E6/kd0R7DjL22GLnWebo0kL89I9mqJ0QiMFZlk6w9aPA8jMvqmtvYjHWc9m4yQdQD3KQL7EL07q
wd+ZS+4ypLNihxNgfmhdMwkhgsSXrBq/aw0GoFaV1codR/OY0tjdCLpZx7STxT7QaQ+Y84iUp+mG
HQwf/S3vUTNwxmfXoRA6ouu2NwKGFtjRHrFMP2fn3Jh3uRtTzVNwhZOcXeY98+0EMGCV2LO7d7o2
CfVy9DmaNOsC7DMbRB3dzYbAPVlkjE968VvfafWmWcK0DTddjArB107C3Olk4576ht6BwpKExv6K
gu01de1tHSWSOiW4Qcp9LLX2ZSrV7ZBHR+bYT00XXVhyaRgxfT+5nfqetfEzERX3HmCQhmo6rLLi
NdBTxk05TUqvD97gQ4lQdcs4SDOcp7pIu41em29zYFBYaTGLfGIeCrfr14Gpb7OhwRvsTQgx3Pdy
DIi3KOlqo4HlRBBPw/CZ8MP3eUwPbgbAr/WKdAplIOPPOtMcxcjcz48460EySomkJrV2htqMbfpl
Hmfxf+ydyXLdSLZlf6Ws5giDo8egJrdvyMteIjWBUR36zgE4HPj6WqAy3wtRWZJFjZ9lDiJMIV5e
AA73c87eax+GPrly2yczUAOWfZDISZc+kPaQHPwxBDHWquHZsAhB0SMIBEUNczUM0jjg912W+WSe
XDv1nz0gbli9WiAtXTLKY9p6tEfHbCkn/DDR+xrlydbEPeygYfDmq165htwlpb53LS/8ihRqMk5G
U9DQWeVhF5h7S8HPO+NLhciKRFfpWwLolp9ntXn2imIPvOoEHK4/xmhIQoyxeSNXdDWdDGhrVoid
6BjHrXLOQwffHnzj0qOjSTcdiLV2Ba22w6Q9UnLmYbqWMFZfghhOZBd5LEA+lREDwacUIqDrId9Y
QU1ZFPPYD5ua1wt9pmWmgaItehliCoTIaKkxaihSWTpr2FCKEriNpmvDcamSU9/Y9lPrmZfMcFO1
7cOJsmPweS2NXWavK7FUJ6SyqG/ZbI03mTeJK1Pk8w4KYX5K8jF6iUuDJnfs+OJedG6PrENSieCN
ND/X9ei5132ilpKX3MdpnbhN97GtFEeHAvj0vhG2PHK250cbXmXgnaBAxzgJ/MIXZPyYeDc/eQWA
5VRy/IMf09y6cFdz5GbHqsGIOLPlH628YyPt7OhkJy5NAcbI18Hg0yNYJjVvn6cax9hOeLqPkUdG
I3UCykXfKZ/f/pMwKFHee5T9tQ9r13fd+WDZefPalT01mJYWXYLAHm/GmWOPQbHJrGeuvIcw52Iy
WXZXZtK3u7dGcVNoxiia1O0hp29clGlDjFEKNtkI+RXLZMxP3txXe690u4912vMFAPaUQAj0fNfR
eLmFgyueodFw16uc2Npo1PIo3Qp4nF4YlUZiHuZ8mK91AxQaahzfC2pO9Ni4lH2tSpp67U4ZxO8l
ZXw1DAUIUYijYw70lq4IzUteBgNIqchENFA7yoX4FoEY4vk3Z+MqrOPmleZfClsno6MYzOdQQpvG
TxIS2Mjegb2iiud61+fj6FwVbW9eXDESP5PNTMhml+ZVNOent+fOSKt5pzLugD3jbEC8Pt8lfYcq
TGlj+f0SRLEGtk6aIpRZd8TmcE2KgSmb4F+5V/pS+4rLRpNy7Qggn1Ylqj0CeIKYhmq+9qcIDeSS
813XxIp6Dk9A75j87FAtP7DIvIfYIr45XFL8mHnTz/ebYKMr33wuTf4K3mB59KvlT+ueqyU8zQMr
bH+6VvygLeiF0N20o0EstHCdDKxfDgi747lPDI7XwqfPiu6fgl+gvf0+gw8/q4ynyZ75oZk26lda
iZWNTcNST73FwD4UY3RS4B1fo8TUtxMUimZlJCxhxx6YTY59dIoaUb/mfgeuodUGoU6dKkxkR0Uk
7ikO+IYV8JYBmWqccwLGVbwPq9S6om6RH/twubylWeSnoeYyqa627uGFY/laFqzV5cnXci6b1zZI
+Wg9dOpUQAE+9rRcIVIFRvc6L9h+uKp3fcvfCwF3n3n5fh7cTq0TkVJ69M2XygxCtLcRumElo5PZ
c3f6PmKxa1ZgNEwhHYsq3PdS9du49qZrmxb4dVOq6EWOUGbWszeLc4EF8qaygXa7ZGkDKKfycTcV
r8O9abs0PxiLBht3eQpGtDFXbrMQ2JH1wGoOwG6sxnDgKQG++zkG6I9cMDBq3NsNa7qWbrSpqU4x
IvJ+DB2uFDYS43GmIPjuRw1fOOyXZ1AuObC+20Qn8A+wqAKsGwfDB0BJcjFlX+Al6lvgUSevKTD0
c1en+hPxUkyhOg7kklZqExNSA613ZTUZ7rBOVRf4a8Njao7B10YRtZHWGq6PmxTTKh7ZmZx0bHeT
608IvtHGHhUwrZfMc2GHdrieoo1PgJfaFE1aTz/az/8jdPiD0MFizsbY+/8tdLhOvyRp/Fr9XTz2
r7/0b52D9Zcj0CkwZ/4XXOq/dQ7mXw6Tg9Cl4+6hIvOYVf1L5+AEf+EMJsGckpZz+ts47N8WC/EX
huGlI+4IcrEDXM3/wGIh3s2i2JOEvXijFxwWk/f3s3DeGEhFi06cKzAyPXUynTB9kC6aWl45gKeJ
/Z3K+irLhTE+vSGj2VISTi0dYJhXP6WMFpvJzJBBIsP35gkIrYMMCAjz0hYNowoYIb0A+K5/u9L/
QS/wTp9A+ccvHHBpTYLAKGPe6ROCbqAtJWfIErGp70VSGesfCDiAiJfRmEjK+f0HMiRj5PC3kcQy
nWTo6zsuiTjL9PXdBM1IC7sxcDjgcQuv2ASMbF2gV/L2mePErYmx1WgPQprNSziCKdHrwVG+c8AW
q6IduVmiPjJ/47U1K39BNHrRgPStR8IaVKlvbyFHomZFlfJI/mo/752oqs9ZJyK5jdkh1UrkkfRW
rWRosMYQWOU7tE9ca8NT+p4uVrCBN+q+EnUB7zJrAz4qhFNPTrhP/PdmdCN29NEzumDtcUfaddlD
R91FmLfpzAJplMLmIRjtwn2VNgjZyTFg6c59Iy4ywPpNVDQqaXBRIQpWsfzmZuKATkTAbD0KIE+0
QP2O79bJrH0xgO3fxh4I15W20oDQaBRcL5aCgLr2OBMnN0jb+I1QX9jHiU6qfpKtm4CXbw1LPFpZ
IrqzVRPEdCEB0TfovE1e82zhNE1Ovex4/mKOcmsDGYW6n2VlPRp2YemPvPoZDdhWz5VLOwQKq6mv
QTLKJgCSqLC3z+sIRKG1AmXJnzYDXcQtPmO4fnpu2T4NM8uSW/ozHT5pWdGOd1ARpwBmK/eVTn30
YZi88IMa6F2s4DPJctOm3h1kSX60CWc53tKg5i54Tt93z8nIjOfgzBygtlxHoI+A3rksKd31caPd
vp0fphlHwVqRZiLOuGeK5DQvt8RfLk7Ypjn3r7Hrc9gaUCDTokdjOSs1Xic05u9Ib0CamWkWrx3T
hUJ/gXl321EqgmMPBb+l9PzRJ5rCKrZO5MeQ1FqRUXHq6dHrrR4PRIgHocwiB802JO/XOOvd62mK
vQ+G8sVlVE1xi2sS2zwwkQODASdYQ5P0X6s4Vx8bm8p7J2Ye2WTksKIovoJ1ko1ccbxT9Hss7QGH
BUgTfiC+oevvLAaZYFDgQEPYkT6Xd0xLT95QPrv2DoU/7n6Yi62NimRySAywscQ7Br2nkp7mKrXp
g3+fsolMO/6xzL4zmNRwuGFsZx7q8nUd84x0nKdIvqtD8ThZy51HVN96KwOGFOHt2GxKyOk16ABl
sbg4pbEo86Yeo11n0vl9ZuKh7xEIsxAMtJP6kFp0FfZ5YdZn15pBSka6k4cYhHEOCdfSGM3clgEL
7qAruxq49H498CnUaBiPBast3GqdLbjO0F6AoK6sz5xhLPmYz7NhfDAG4G5XPSpGeTthPYmgakG+
f5oR9IdPKSym/D4CmnLQpSHbNcoF+zhzjFWreSq5lpI05QUVPQIyDcOYC9GYpTxERVDoncNbJTk1
LZov8gZ4kHNtcONqI2Qde2pZFL10+Cl6tHmHYsqyHtPBEJwdRZB4z7oIBusmi0JeFEEs3uA/I8Rp
D8rsKliKGSY3MREifhTL7JMUkvCUlUt69lcbA1b+UfKGAJgKd8CVN3VZVfgTdGxguvOL2AC4lgt+
ksnjdGIqxz3vCykuGc0g/TEYojb/5oLatHAkT5DQtiXjf+umZP+ZURMPWewdo8qiXlvhETPNY2Lh
LF65grgHYHix+SnVc0e5FQeXCj3Ts6sG0M2zePBVrIHKlfXwNNWTsc37jqld3XRre4iTo12E0caO
opRCm1iHFXCPyd0A2nYP+JK98ap2Mk7bH+PEGbqd07heBV6sWdIrCpqwDdjTDx39yrVdmp+MCt1v
zxgL0yJG/hSQWnAQuRV/LrrI/6ZjO1pxyKtu+sK7Yv7dTtucofSdV/vxJ9dW1bZkk9rUFdZj6vXq
E1FW5c6qzDha+3NJtUmJchvGNHKJRGhtpk95cZ02cfFkZR22PbPrqRJ7vTKUBpsjSV5Q5djcqGIu
r1xHDdvFiXzHa735lIVD8qCc4nb0TZ3tJfb3XTu1mo5FXe0V/ZmHuPOKp7F0ungn+2pBvXEqKAgD
pjsU5jsaZQyQifPoiAn2ee0pu35k02meK7dsEpj9XYVW2Kw/Jh4tEsHWQ3eNOAFY9j4Fa+PRdsXU
g68bU+f3VFJ/FQMGIWvO4t1YWNbFjTvf2SS0JKeVxpBYbZbC/dwCV94HRTsV66yw4XQQlLCLXXGX
RXWzN3UybCTf8TnLJTh2ahHvWE2RUNupBGLd9k70APLQ2xvQIXYuDZi1kRlzsAPf7V0IsmjPvLCn
g1lVE8JFER5n6l2mhZJgRcsZ1i05Noek6pjlpWr+appFdkZ0MZ9lJQkF/v0J5ZfDnOP7Nv/DsRtC
H32v+mtrqNpZQVmi+0YeyDOiGzrabEKOIakwTVWfmbjJw+8/9Z0IhlMR3gh3CZjlpIvA6J2kyonm
xE9GNzxBE4TX76S8GJre4ozx+895J4J5+5xFMMVx2YK1/F76hojHG7owjk5OvpwwfFPyzq7gTRN5
wwvjn3+YT6gkl1Ngc36vaRSsYSPmEHgKihGUQ504x0UyujbS4U85j78eZFEtB1w3hER0sN8LbVum
lI1Bh+Zk0z27VIudzR0JOSd/AO64T5vo91/tP3weciX0rwJxlYOy6GdhjQhqlm1RuoxokujDjy0I
BQY7hlt1nEY6mOB/upyLWOfnk/OikkK6hKaam/f+sD4BEiTzpQet7lWcrnxj6bzwQmUHrvRSQjse
f2ttlIp/No2M7eP3X/rXhzRwAdWiZkJDZSEU/flL15XTmprsztMwpBCZR8OG9zjW5/+PT/EFsW8e
2tBfwkGLyBqrCGnriZmAPIC3x5lILNEfns3/9F0oKJFnkefMwnunjPJ6ZlGuwXcJ2y7YeKkPSxCm
xz9/TFzU+ejbqHYoN99dsbwt25RegnuyIpnuaWHyUBCg4OvtFPXi0jdazX8o6X59f/FO523C18L1
z8f+fJMYREXTWHjOCY+w9yyYzpxmU3EUGQpYdBWde4v298wj8vvb9uubZUlZtdH8mzZcr/dflViL
lJGxa53ygdUdQes89x49uTnzgj8kcf6Hr8jD4SOsXAAK3vuXpQ8MlY8qrZOWSbmGpVmf564nk9nh
gcmXCk4vT80//34/HGpEAmMae/eGViZdxQS09KnwWklOF8kohRkkewqdP6709/JNXtOkLmIIdhxk
2MGvKy0JZECGh0lQTUcoD2F/Lh04dCL3KEIkHMMCokE0cUzWI+e6kbNWd1Gt0tHOMTqH4qJ2X+nz
dV8FPldOnQRBJLdB7jXFHy7Lry/C0KT1gcMM/hoNmmWd/U1LXaXumE5gqtH3gZ7AaZA2L0sbtlvR
iuZRy0KO9b+/E+LXtRsyNeBcaYdIgIP3IvW4oF8SscedDDJ0JPllNvVDr3WPK1ywZdLoXp73LBWX
dijaF6VcItFskgDu285qibWLh3kZ8Y9E3mDWT/7xqg+xOdINYjFw795rk9EAAqQKWPXlHHDoNkmL
ELFhn7rCrmBEtGQC//6K/LL2gOktq4FWDo/oL0L6lrE+h/5pPtHzdF47YtpgxLVQ89nZqcb/+YfR
NwLG4IW8at7vAsGMdShuw+mkY61vsyoPr8g2ospxzYYq6fcf9sut5psFmAOEaS873vuc2TI3REMA
5HQiv4vCErIRTxYLkSrx9x+02Fl/3l09XpfL4cHly3n0xX5+kAus4dqDR8QJQibdrUkNB+0o6Pr8
KWJw3J2bTNEJcWInuEpGBphUJL4tV22xbIOoSe6TNKdPYIwUS+tOzM3L7Et5MA2PVhZdL+LziqX7
MQK4m/ejFaOprcjx+VN0+a8PA24rqPmIv1H9/nIUSis0az5jzBNm0WAzVkN9LtFo7mNz+senLih7
PAOO79Cw9e337/w+Nq1eETV6kiYJJUAP+P5tzTDZYDJ3Rnfyx/7hsnv97QyEIYX3ocXSx3jkmr/c
pWoubdFK1zl5rXa+ESmgTrhuww9vDRHP7+jqtHPBdF1r6w+LzHr/iOCnszxiCmBtYELmJGT//Ig4
RdSnqFVQ+wk6STNpxjDTSZ32ZoLZFghg8NkTeU6cTN2J7kI2CivQlnF6gEtGMCqKmeneHEq6iHO+
9Gta6S+FxQDGfoVa3z7Kkiic/cDPv/V74iH5SWPqHkIjzuFp55BN7lyyjT5gCWK7IwUAUVAvRXNS
KBm6leV1jDVHTWusi3L6fjmNo4jkJwUIMYjBTV1jYM6J/BZ5eTfSbbhI6P9oWFLvtp6EMe8JPcPL
ofqKeF+/tcwr2tJmte58dwhRXMjmqs+ZauHMa+ZxU0/tTAE9pyd0aAKAeeEO0NAEysQK4lvq9vS+
TTXWr0uwUc2aEUBN1gOIRvEVWXROU9zIWC9E3izN0Imc21s1EWG19Zmq10evpkW5B6AYJQdP5VRF
VTvzpzO6tR+HTwaudF7CYjnXtA1rLakKwurolqOHyJcgP8Z5Uof5kVm9vm/0XCa3dlkX9VUet6q/
6+yOGwKKjNVdi7LJ7+vZZL+QQy/anTA9fZ+bVnBFCmNNklwjuq+6M/kWo5258zeQGINzLVuxtKLG
gttMWhh/ka/uvrojv+4DbBkn3OZW5lwpriYBag35ubuU4abeec3Ex9MHoXPVzwmN8KCcUPspO+In
YnSLxOd5hPAPKmQwHjQJ7qQi5VAsN2hqsDiuksLugFKPyu3vRWogFMp5XJJb6lXGZGLyR5SMRuoc
lZKozTdDD+d5JkQaw7vFK9yFXImKHsGAB31uTP0rB8kg+CVtoJXuNWibCwGT9LQCiCbzXhfUsCsr
DekyxozP5aOoXFnswdDxgJHU5FkXI5XsDW/nAHr2PH1z7NFqSLyavhmWHjKOoQPpgJTFqdbfSWaK
boMZrcePFpxbDPwydqLFo0MuzGsaJRjUu6EjLPXHsvIs3i3msmZG386C14ppPnlu7iQehRZJeqDb
S2/eQjA2rCV6iW7fBh6VWVK4XFfUT3wHsh2Gz1MKZHCnU/rwP0YzuAFfI9deDhKxw9kOzLHzWops
6cRK2vOrJqP8QStPB/5t+/O9gSZjQu/Kv3J95hErjHw6Q6iQm925DGOWadkYTBqKyeHCAuhHEZyF
VpzegavhFxEmvZNdU1jdfTWLVn/CF2IbikaPm5OhCLASXowuiIDOsspZDzJKp29kefHIZkFrOXeT
aOgCJxNnY5v1N/ol+zFjAHQwCe0KnhWHaU7OCu5t/yMH8xxqCBCPurFXBVNpA6p8NJf05g3CQU6F
7OjWT4VNIjUdtDmgJZE5yCrMN2YmHXL0OWQ0DSobf+z4/zMn/dOc1MHR9rczyy8JPDfyW1z/PCX9
8Vf+NSVlRvYXxVAoOIz7HGUWs8+/ERsW+A0sawFlKNX7T1NS7y+UC8xImQH6ps2E9b/c4FCcwTsv
7bC3Ld4jnOcfTEkpB37eu5nOsmn6Lo0Ddk84Hu+LYUiM+TiE6W2Wh3YWrm3MyiDXYvIWQ2STDmT2
lmVaFyYmBbiqTH1Xo0q9dU6S1YjixiYQceXnaBC7npcnISAInAr90Q2UkZtr8kvKVQNcCMl2ZY63
SE7Nr6XZjCbmma5Kg7UUSUCUG9kuKAprALXQOesQmnuZtNmJQDfx3SafFUJ71wafDWsZAHgU0H7u
tHTC4xkmkF/cu8EYwWar5w1oVAIS87RWawQVA6mXliyh9xSNZHXYDnF0pvE50F6ywWhCpAc28QvC
Buyg85xd6RzAna/c4dOIhm/rmE24iD695F76ASBPgBPTrRrmKNw0FqjXrd3wjVckf/YB2sqiYQtI
knMbMcMkRWPdI3L4nDIzeurIJ80uLipQWlGNf5NKk0yjKdUJ+HUPJUiPlhRleqhDtUK/n04Pvtv3
1YY7MT1HU10xvQsVMdTk7DxQjEUhrFHeIPBOE3VMQbueZzg8zwDnBbAuR5vHuLLVNuREVK1NkZVi
5/cegkWfEdNHdmC5juOWgMQAdN7J6CpzyVtlRyHzZg5uAmaTxLARbt+usjkFr+zrpJs3GVkrjFQK
f3qBN9R6t3yTJXIhV6Xe8GLTm9QcbPhmVAelkSXffVk42wSq1aFLnWE34uTa4EAZNrCP/bt2djRD
Y/owG4tx5h0UL3maamwsZtmKO8Z347ZSyGMjB2EiIkrX+zo2ocAJXQ8Xn8kwnpipLpMcnnMYiF1b
kSXhoIOZrs1qMP3mZOXOGDTowolVCLZcCGwSpUqq5tbJ26Q+kvouUGXbzIAronlTElCGsnMAiwDw
S1dJJQAcYDWAjbtBdp/adwN6xgT5pPIfyqbC1uIbOmxQeClSA9y6MzcTnQkiHM0EZ4+ttY9pG69K
fcrqSIZXXhOjQGr9qaF/7+ekjwdTaVwpN427dRTo+tLBsrtSZD+dvagaXy0iCbH9dOOwnSggp6OG
AOiu0TVVcmUAlkoOAKqtGlWvg967R3wv1uMcG/3BJIdnV8VpymZK8ME6QSfHCEdGJSs7CvwI/e+U
9huSEIcRhlWj1NWMKLvdkENqr2HVYlhqVKnE2qwMSaa9UYXxLR3PxYpWDqV/zQluvBSda+5l7g+b
JLZjpLoEZC1BkbTwCsNPL0ZdF4ogqQjBu8shTm7KIhifLZKc9hgg2/jkmN39rPsML+hgfDFIamJN
Gfia1wEoRPfS13ZHljeQ2H4XD1P9rCMIEqtgGhLUTIFVIy1oJPo406FzHhpV3x94E00PTovD6mi5
HqfVtCgYcxZmYo1HP4Mdb9eN/D4azpM70BezU7ebH1RuMdge80XbIKNJb4LGEGe7wwc2R5l1hxuH
9Rg5YVZus5i3mTuA5MmnNtvP2g5OGXrcfBPgmNNXbw1ZH7AZ5/JG5vuAuK5tIeKIFGPuVb2Lmznb
WFiS7vBRmmpnD+jgvTCzzjV8zS3DDyarRtos0/rl/NXMTroxUQRwn3OCTD/L1ifN1OyNJ1sW6qUz
NQFPePgc1pqj1cbIsCuVwjP6o4yX6F17yLqtl3SxPPMfOGhd0UtyPLE4+oIcCziQnyAhuRa9PDAi
6DizqXAUgRAe8vLOA+IHfSe2F4unOhC3bNfbqC/HGMSQW3L4rqtmCFYBo5pHKgj7A3nxHx0eYWaC
b7oFUiesgxeM/p1HtuQm7qNp01vE7/qkc5nbagaGWBhuhMZ4mX1XEZhg5LCDWpXSL8X1KOv6eu5n
L9sHbW0/t71+pvehwlXvpVQKImUqvFbK7IGlqYyzWkl60GWeRHdPAgh5sIh0dXxH3k4kaYk5xTRP
h9L2ex96nGMAsz4xDxwBbwa5+NHY+J/z1J/OU0uV/rvz1DWZAMv/myb9WXr29vf+LT1DRGbSWINw
gkt1Gfn816EqRES20Mrejkz/Zuv89+nJhglM8xbRv8VYinPPPwq6wAn/8+mJjo7L2U4EnOzs0Plh
9f5bozUF1+TmeOiOPFFIcWP04YbVUdygLEWt2SNW7ltX4I8TPe0/0U5I7hVvbGbq9fQEygyMJloO
Kya/24MwGYqFE5ovWguZOvmG/Y6WVZNLMtW6LB3mc5T607CtcG1ubaRU16GPCZbfkqpwSjDWXdjV
1Dc/C+g3EBA+72RiIx/NaLTdI7DxCSrHlRqMI2Wdz+/b2Mm09+lRnrA4UkeBRaiu+DVRX6KoJSY+
RMHMnC/fVAOF3cTYV8B4dYyqORQTOe3yQUTzQPAMoWliNWEE9b8qXv/ebgx9w/pgqihOt+UQazwX
eWK4L4kZQlxFXBSyt9W9TQuFvIC2GW9bQOsJ9sZgjC/k4iXBrs4nEd9j9PXo1OFmwq5GqE2wszrV
mxvU4LZ7ZJfhv4wFHIRnLfMGfTkm3VVs5ClM8CmRGHNhqGAbHwOsqGuRE/2XknLtRSaU4LaKP5do
fW+UP9WAi2bCyyCutM1KxG3wDMK8N7aVGOEt4kfbD9686fm3pYciv7hZqy5+kJmEDJixfSC0Q9xx
VKo3YxQpEoXvGIoXe4Cr+IeJdNoH4a6RCjOmYmZxliXZXU7b4CUjAsDt8eessPHXa2MKozvlTfop
b9z82VzQOj7O+7WNgAnPWO5+Myqd3dML1Sv2tnaDLwynMKeVY0+C5wtntHw1UmtuUl9WRyju/cmJ
igNNw+Ieplp+pzSCBiaWGM5hruwNMcJ3r0ktDCfSGaXiVBGG3We3FtF9mSf+Rts24SYxpmFz7Msz
k49u2yFPWiNsK55qhaq9JR13H+s6/OLFwCpXMpLZLSnK7WushCsI4p7MSzgFJJ70mTBOFbIIvFfm
kmPfNdN+bNv5g20Vj5nRWC+eF+MxsZz8SwrR+4MXsKhQqzkgPSPnGOfk69FyLI/SHr9FEbbIWedi
GwLFmVYqiftXOWNUnmkMiGR0VnkznpWTuDdF3hXEUc8ECcDRqQ+SlsIRGZV3TW67eNHYpy7Cr8Bb
WiPq8ywvjpAQQlSPdffYoZO8sUcX+LJd2jjtJ31Bf0RcRdy4d02TiMugmuy5rZLshTta7LUe7PNQ
z8UBICbswdkpvpBY7gHnJnEAK5Y934JNUVdlz5isTAGnrKIm8O+nrKdlYBjEsRi2Tq+DSdpEicDM
XY0siUOhZWSsmiBNT5UX2zdDMHRXStrpR5phWgEIHM3rJlcpVpS8fRzyYXxIU685oXUjgkun4Qsx
1NkHqbz+3Ls1LgE9+NnJnP0ZBkCZEHsJVvXYzBom12zGdFfDYIcPyf0OQL/d0xqePurMgqYR4gfO
m/LYu9E1ArJqEw2JiSodYZyo4qMVNnjXzGkdhTZBk87wdahGmj15VRxM9u1VRY7fRqAX38u08ncW
tgBwAV77uYnc4WziMoa5iFXTq5zxLqvd9pLkwXSo5WDfMVydnqGazV/Qgao7Lkh0o+nnfYQqKPBf
juWGddJjLNfZYUTDu8cU6rWrcqjzpyalTcZtZ7UYCNFDP2++2iAg93NQEuOjI9Peak87mO1lf+vj
v7HWim7gOrOIgIMpYn2frYQQT0DZlGbmVGMV44imc3WdROVto/rwYtVW/IxHudjPkHt32p5oJJlT
al57aY5XGUcFp+PSupu0AndEMAU63FoQ9lzom6IdSAsTLFSG/LGzmZ2Qbhn+S31MaaaSp0qKPJqO
xThlV9dD269oRvCqqYoKBS2tI6t1xIMH0thac0aEodB60xcUjBrfgBHgHB66LDvAlWo/50QoaDpf
J/YSRsZtbX3KUG4cOdszo6OyfBQy6+5jzkkXOujorAaa+yucte1TV+HN066/2C0a47WpB5MdTYz3
RYqpeMXq8a+qcZy+wlnIpjWtXvdQVe54IqhM7aNOqIvqJYCMwlpUU237YcQifasXi+3k0LCzqZXv
2NmaF2/x4wZ95X+f6DoUKw8K+CIJ/DrmOtui8gth+ja7sQ6G80Sa7wYwW7824GHm63AxAwcixxds
dgWY8TIQJCjhcAOePBt02hKnhUiOubjG1XAM3hzH7mI+rhy6yF2o2o8B6S3e1qnj8rMdx8G+WqzL
EPaDswoqY0VChzwmOJyxZeBhnSz2NyCYfXHBnBPeZDjprvPFHz0ElIRtbfTXUU+3MHNy9zIWPkJd
8pY+BnSbcFIsZuvOWYzX3eLBbuIuuJoXX7ZpD8WwCoeU7TpcjNuQ343HJHHBgQJC3+s3h3f95vbm
pd14hCViAu8XO7ifV/YlNaOK15KaNtAxsPtli4Xcf3OT09jFWY51CDU1WPi1rv3gNV8s6GZqv6Ij
qknbrdyHYHGq0zaySfQIHV6Dk3XLCAJ7XlRdLzcQ/ZQt9nNPtgnA/w2AT+t6CPrsGFu1vZJJBbEz
tuwnf/HO68VF37a1uzferPXMWLdMdMjHyVMMaLXdIKhevPhu7HzpE4lBX/QN8QKjCh+Ei7e0Yp4M
+kWKR/fN3l/irLrN30z/ltL4/xcSAMO3mgAZ+yp4wwR4CzGgNQXWKU+fwt6iSZAa7bdkSEEMGBO0
ARJ0/QPK+GbdLSyCKpq624am0u2SLnXIEss6kN5QreeFYzC+IQ0iIf2PnAWsR03e14Qe1va/B6Ux
vJQLESHKm2fAD8CesvDOtmSX8f1MgnQ4p3QH6w2skPVZchoX2oL3Bl5AekHe9DKH+ZI2smxX3UJp
sMA1uDXb25QHMY8mvJ1yoTpEC98Bp1J5Ht6gDyPpA9nGfoNB0OcaLnZMkd+1EkqALG9QNtMXiRaS
BPtdtSPVKd+gx54IYBb+waqL4ObNnei+ASkWCBWqQTAVLbyKAagYTMcchoUvSEk+ukVMxBRq6tvx
jXchnYV94Zs1x1fVofs08vHek4QojzPBEp45oQrN25F1wriXhyP0v3LwTbaOk1tEsvFaQYbFYRos
EzCOfuFyKKKQn8y8Lp6Ip8egjcfcIS6mbW+avA/Pc+5xWond6EgTiCBRWkI2boaaHWwVqOiYDkrO
G0Sp2SnrlwzfVIl04IgZ1ofyjSxi/4szkqNJADtit8FVpECR0GuXWLWS9g7TgX3tOHK6AP4Rm5BU
H3p+LUCTCjxrzMH/efaCcwb1JF7wJwMcFBQagm/pnMrcF59SRrkr/NjFuo08ZnR+iUZogapMho9R
cEzsTbsgVxp7fpXJ9Bnz6l2wQFmw9HmbYgG1dG1qrusF3mLahrPO4bnoBeyCm7LcwlR+4raQQ7fg
X8KOjGC74HBjFCmpZ6l93UGLEQs2Ri8AGViVxSZfoDLNgpfJFtBMUU4NbjDgM8xdqlO8AGmqIdgl
C6IGB91NMjnWB/uNX0PvqlyDB5U7uuLWel5AN1FOB2le4Dc1FBx/weHMCxhnYii9xylJNy4M9uGC
z6Evm6+bBalT8fi9Gp2/xQURPeLo8A6NEU0n16IJQzhaulELoGdeUD1GB7SHpioC1q6f1+gToPk4
kKLxNMaXamH9hHk23bgmX46wk2069yV1QkMGBwqDPyEb34/EMT5Zrm2TIYMDKaA+/HkqnUTOVKRD
kB6zsqOsM7QfnSTIBoJKB7y2jlm1XxrOUhDVBzP/g9TlndiAqtSzoO9Zi8KN9vvi9Pq7/GdOK+lN
c5Meha7llzmT1RWRpgnt3DC//1t1fvtjyP+/wG/d1mnVd//nf/9f9s5jO24k3bqv8r8AasGbKZCe
PknRaIJFOXgTgYB9+ruRku5Vqf+u7prXoEa1SKaQmRGfOWef36Qg658i6pH/1u73XyWemchyF6sL
f6oF1r/lOwKwrp6T5utf/50VjfsnjcH6h5A0QOE0sZa57vrAf+m0i2Ymr6HwkiNcjnmHFMs+uv3E
iKjO1L2QBYKXIUj1jDe9em+9hI6a2SeZyXG6Ntdxyqv765f0r28xOx30PUQMrfpPb33Fv7wisDh+
qugy2AHjL8WGMO+tfHUE2SVhIxs9SeVnkiZ5nw18oZe//c/86D/Pj9ZPxl/5Fjtm/vL34dH6Qz+H
R8EfkPfYoJmEOK2LtZ9wZocMVMSSF+Ph/9oV9T9Akhp8maDS831af88Pu6Ll/oFS22RAQJaYjyDK
/juLOC76P3/AEc9wd/ElQvWKNNv5nRIsDTcXvUjwRjnrBq4soVoqIoFjcw5b1x7e9KTysDI5zRkO
3JqiRsshfCxBUR30+dbwMv0xV8Uyb6U5FXfw1vIidDW8GoEn91OQWSdV95BF4DyLjeOj0ON7Edgs
nFjz7NglpFdDOTZE3LHODBuzvG4ZndyvySb7Sg/SfUx40N4mw0dBXtDiTcdRtl+yVB4Lpks3fUeZ
vgAg1vCVoIAJq9E3r7wJID1sE4bhHIIJEN1+2OeaCb+ibuJzI2x2YABZp2MPfKRYmnevKP2bpYDP
FMrJV1z/aEvGwZ12RPy4d2M8+ahSXLZ8BJk0+tGYY/tARIr2eeRi/+atwcbkWftH8nhY305kdRD5
0xr3Wdr2e2VZ8mwz2D3lBbvXcOZWYD+Tm19zvdGj3MHJ1JatBZQCg9gtXL3kqmsX7TMdNhR9o20Q
UiyiPs6ZeB0YvJzzcTVNpf7wIW2VegwCNVVhqS3y0+pGe5Uah1PUOzbIKzeBULbUAUJIv0aqiuAo
NAFxHFOCZ7wI9ZN8FyhteoYe4wunvMlDrstPEE3UIVgytTPowD4vel9eZ7q805bEORVStScZL8tV
G5fsPB2v23mT35kb6WYzWZBzb0rez6R4DbKAaBieUs9vq7SOMZpVXs2kQkWyqVz+oVMAvdmI+2sj
c7RD7ujpfhLM8NGZpy+FyribmQpahIpMTQNoyMmNDUpTnQ0c2AjsR3z2jkIS9tLbwdJFfaNbQAsN
fKLpskrjk5lR2dhBDCDxgGIOb974LctNwmraaZVi1iVyljZP6/sMV11oi9m7TiR7XYc4qdCUfnXT
Ki2/NjXLoIesRlujqJi9ma1bmzzHjC5cOqLE/iSm0WZjhmFp75UkLzSYxQ5LC2Fxg3sVdqRfsxCo
nOAhiec0GsGGtClwrpQgAFc6t7CKhs+1ZxVHfbWUjrmmpZuh6+c9yVHT1bIoF65loOoPQZPHr1qF
p/4UC1PkW3YYxhcxwpAMU33szwPxL/F2mAvjTTGqraOkFv2D0dcC5o1uRkE7Gu8FbveBHknN5w6P
kn+wrWIEAuZTjWbEopFJZjGHAECR0rHHhvVsDTqbZpyqn3pGnkTWIihJIk8yaiLezP+Yoy+4KZxp
1pnqFcETkWINkLXcI6nKJoSs3NBKNjs/rat3JEHBB4bOnzR9bDduK60bo3fnr04rZ9oMw2jqbezH
NQGzfWdEpcyVx5tVyzflAS4MZy9vj37cqE2lDdTaitn5dUrmxKZV8oHZZ8AIJeP7LHVHREDY7a2P
Xi0iOYGudCCWabLbjP1W0G+XUYlT0RjeCT4PblCLfDqeA4Obpu850SQZyRGYLn0/lHZ2NgfN2TeZ
XkzkX6jY3tqe1N/MIg22rJYF6EEdiGRQV1lOb9uWR5J/xG1hx+jigHeqM7ApmwfrVflLkeVEmwlD
WSOHWdwf42Sq/cjXxvYjA2LsRzYC1IPQMeygrp27O7uT2ufG8YAwdEY+0PtCz8mLJQ3Chs5OhgGU
hp3mp+KjS5TJV0EW7Nts18aNRfNWbdXY+RCYHMJDo4AsPGrpIGZ1aLbVxk3HGKOfNoKJ1NvHpCAo
kDJuvJJrjk6FEW3jEq1jrxk7w5q2E6y5O8OawJOvWTyNYYv9RDwPjXq/79bEnoyaBnnBJchHWzN9
AkW6j1hzfha8htV2MEj/adYcIP0SCYSiPr+bdGPNrLNL4ZIbZMuxzV6WS6DQTENQ6K9sO+nSw/R7
8lB/iSGKJ8aTZpC7d0aO1xM6qDy7VamfXcNL7jkWJ1qBYjlSxj87dl2fBbrjc290MRmrWR4/j7hq
Xi00c3AdmceeUrSIz37tokToRr5WftbWK7qwukdJw2AmAZ/FbNxG5ll1UTMs5jZ3JDtJg9sumqo5
u+3NoN8J3xP0wV1VEVOoq1e6Yw1CUZnyYFBw8lVngRQasnOvsRK7d6ykzRuAFDEW1EXFj7Yv3WNO
2tFT0ms+aj8iBL9aC0kf9SX0Q635H4wCY8JJWzJB+IwfE/7hn9s1MWScpbOHTtAT5UWeCDRGokUW
QeRBYpTzLrdnM5wMBR1Wgacs1BpM0q8ZJaZaSBnJmMUQx3cvSvK4HUGeSXyJNoG+HZ8hpB4bNzdv
5NQkZB6vSSjzmomSoFrYr8/zSa6JKUG+MBW3NW9P3IqGXAY+6NY0R+ehDJb0S0zezSGbtBG5hZiA
Iji6mk/zmtJiFgQ0BHMQHAej755l3FT3zPaHA98nIl6QNkvkBGvwS3cJgVkueTCXaJh+TYkZrTUw
BshSEOE9NrbpmicDMc+G5AVJePGC6dhxMSLpM8fbmigafc2kMbo1nsbpHPGarZk1OtKMY9eQY4Py
nEib7BJvk8qUS5oAcyeydN3bZUNe3McBJQiROaBHleG+mWtijjmTnaPS9dDEkkakzjKOzrKV0jSb
x5rQHfzfeHCH1E9bvJaCWB699kGrYSYN3rI1twcZdifu3Uucj+XhXg8X14WhWuWG0K9NV2XcY9+z
gIj1IhiIi58n3yABf5Sgi6fA8gnHXdOEkBh5UYphOI6gbz4shtnkV0qWXQUTTEtfndZysnfT5Sse
YfXWna0coZbh8ib7b3FvDIPNt9o3SYHw5sRH1gRS5Q01s4l3ES9vlL3TS1Fo9ed8mIDLqt57An3f
njDTP4nam7eVJaojiWVt5PUDotlmOrvlQjZn/83O0vdcuW/gqvtPmC6pIGzpQEJw+jcv0PKD6/nl
vTDK7WijYOHNQZQq24J9gBLfrMUZGNa0omDALiwfj2yflQfJLODBcsZijvreTiEvS4iXT77by221
mFCSYILiJG5Gp9LCf7qnWmVq/o/dk+eDYvmL7qmp1Xv9/ufN++VnfsoZdZucmjVlAA+gjtYPtf1P
OSNKR0IVdB2ui4ETyKRV+gl9oeUiagHTjYu1z2Ye8r9dlG2Tq2sDkKG7wvWH0fbvdFG29ZthBBcY
Ab7MPIjX9TFs/R4F0C5NYcYUc3dey1cvKkFJsitLTSdyhFvMBw9ERb2DXJASbJVZ7U1iQs8uM7RY
XewvDbvnymwjmBMClO8iACeytHA/L9IMthVyRQK0q3a+bgR5kC/ZYovrplv0LznpsUFo9MXUhzqW
/HktggZrn6Fd+uAp5ZlHkkWH4TRZmRxvJPOtbYrSnLLJhINUzG5x0zJkiYw+Jn9n1q51kqozALDA
zI28XsyNmOXHgUqeUzoFFjxMLNPm3De+YgfqnZAsQ3sX+Iw7tuztnTSy3TS7KRFpHlkReAdNwtUa
mipvQxZs08MgtD3xniZ8z+BlrCdrn2qlgmiRrEkJ87zkL5PDcWD1VrvpAT6kgcEilQBdaRiEFcP6
Q71XQrQNcdw4XLE1gxZGxBKgIsfjYoS88zxlfelpvczMOcFb7e47KL3u1Wh4zmeeyHxVdEEey6fF
bZcjeIZOs688mUzFNpdGCAbDndq99Nu03JqTOd40CHXQTB08lhWGXu9ctnTI0kY7TRUZoeyHcP1E
XdEOvXfF6h4z+hIZVK8m6/u06HOu+CCR+OGPRlUYwcDGJMgzZEkTLaV/MSR4Xou0k5noYJnGuetg
vZQi0KYvVPVt/i3Ije7bHOvsi27NunMq45HoWGPHgb86R/AseK/tiIufjWEwXI/MU09u3WMF8WQR
p9Fc9vkxs4Pa2sqyeKCwhjmZUT3GYAXvurlkM5hlOR/LqYAb2hYJHBjDOPl50WyTRIeCRxjAHhTr
nZG101m5PWqwWCthBUJkrokPVsnJ9ynLI9viaUdm7pOKiT9ZbUtrdo7VpMsd52v33pht+dlUwrAY
j3auw22/ruZ9UIthonKJvqsLjFNnqTG0raRkGpzlBozY/mOa24OKlsZ27slsQ2nR2G3yMZG2fpXk
drWrJpKHBnJcNx5/7gZhRAvs0pge6kYZ+3QsqCptI/YAf/pjHxamDl4NxcUYjog7qHLd+jiMOm2Y
Qm8XTqq0rzHHLCeqMD1cchLsC3KceY05+hSUrX2ZIONlKLHpbfcauzR0mqmIP1ITBDsINANdJZhO
pMr1qTe89gOmnVuCKZ2H9ZN9h0RE3zARqLeuMG6WnIaSS1tFvtU6LCNbemjbavVvDYD7u8Ypktek
zcAdCBtCxlCUh65EnzlnbrLP86HYY5cGai/a7os5YkhqXRk8JraGIgU+07VfeM+LqYN8y0XkaTFg
82VwmNMKuu68G18c0ZA+mhcTOaiZZb5VzhrJ3MPSYbJZ6tbZNdeoOjgZ3zTPx3KreBq7YsnVsVfl
ZyyJQURkFz5qDYluQOKpaz+2FmnNkekNzWf7QszNUckiPZLOJ1U12b4Ouo7f0WpHFA0APaBChaIf
CJTS3eZUTMRz+3meb2G0kItXJ/5hctC4ji30wLB3sVcoJwE87fUquzKCtH9iQ1dEJc/nqZvEAx/r
5uyb83UwMiVyijiALpe26AQt4Z18qUHHCOzS/zKRaXsflH52GOKm/sJsK9iUOqVP2GJ3cOFZ2jq7
dgOmZX4Gf+cfZ3qXTcGn+9HQGoKQjXE2Wb5acTSq5YOvM6eYJyfxQs8T2W2OXZVgQt362JTJGFZp
rxGZYwA3hFfgvCEmDzYWtMUzrLosop0cX4q0Y3pv5c2NWbZMOgZv+qxN9bAdTEt9I9lZY+0ilm1D
+gbmLdN6NXHG3S0G46hh8pf7uXaanVEm6t6Usr2KtVF/ZFO2FBELuAKEJlkW2478yncE2HJjT31z
hhzZqGhmBQRwqNdCm3XSN7Lc9UNNfvwbIKhF2yx8tLYLR06UqnlwifdORwLbOfn9cQ2c9Af3xhRL
ApdZs9iRrXHWAj2GPzrpqQlkS/GWDhuFa5onG6TzV1Li1KMzJCKPCCpB867PJV2O0SE7mEAMGQbb
qUUSYRNhdvpaVZm1ZdkQ0MWazc2Ut3mkWUJew0waH0pYq6zdgxsBUSQLvTlL4yPB38VNqhvw6ZmX
fCy7wXzKu7K98Vp/ftShl6MscNPgbAcTo0IfrUMzxZnNyNIeoyHN9Dtoq8VLxdb7JfFreV/3Zfzc
FnF21U8gXFK0Xh8Mac/gCJt8P8th3sazEsg0oExvbP61rLRZIqpjXS4D4Fav/wAmDelQZnf1RmOl
HrkOMd3MV/R7gX7M2nrMN041SmEVVQVRMWiSKwIbpGECv7ItnqMaX+3Jc0JngK0yT2jMo5wK/GRk
hvvZ5PeTyR7XGWB4ojLdXA9e5sXpDrq9cNH7NYO9sEu6bIcsxL320Ek+xd4gE1T5ktzIhMw4G1Hx
dN2LRu4QXwGS+ac4/m+KYws9KXXpvy+OHxvwy/9v8w6b/E8V8o8f/FEhB/h98Ji7BOtaP2vdnxXy
Wjy7ICeod7+vH/6vQnb+AAxhYpxfFwmWx1rix5rBBrPoo7oGrID+TEfs+ncKZEy5v68Z+BUgZthp
GACrqUT/vLUK9K5WcSy0K0K8hgesSTDC6OaO1RqJzo682+hsns/WJTB9jU431hD1FZC1SYpmfGLK
U6GCRxZuCOUf6DcHJ4wxwJEAQCy7twa0Y2M7J611IBkDIZtNiDvQ3eexL+5Hk3h35lI+0QFEvrPz
IPy9IwY+WAPhu0s2vLBL81GtgfFta66zv6S6tcehe8Knw6LbU/Zm7mX5RSd1fvatD2i5v1ktX2xM
fg+wttU5X6PqxchECTMhAfZk3venpvXF1eylLFW4xgoqE0Lv87Im6X10vWOVMPnK8wWRpIyDnep6
IGJFs7ibhMeJI5dFdTjabDjASnG9eJOwUm4gssoXXRKa3tqEEuDuu9alf8BgcG51tiiWCowb6swr
omAqULgB63UfZXtBNE0ohB/vlN5WER+YZss0Guc6F0kIEDWCaSsj3qzqalF2sfMczcMMRTEXs9YI
e9trd5PJaPIw1XijI6ebEkhay6NwarEZ5/SZJaQJucpxj5PtDW+10TCdo+Te6POancxUl6z3skkz
CRYf9K5+NdSxtTzW0iqKfpshndI+F+UEXyxsyl4jbAQfNL6Ymo4n0h3QySEHIWIzxTF4FlbtM3YL
AAaPvrAmBA2DGPeVCWqC/T2TPoBodYjNhhV/Vauz5imSReZMq1IFUrqzhlAlmXPtFZI1jDFlxVYr
SOsJFQFNZZj3dnGrzfRs2karpinBFt3KRUpaghKDbYmsgyBHB4XU0HlB1A6sZeuTR8y5K98aM3bO
kjsSyFkAtVZjN4bRUubjQ6yKCvVW43vIOr0VPLjD2KyDA7AX1AHnoCMrwf0w6n2nP2rDjPdsS8Fb
VqCuk4od9I7NuD+hJy7cht3dDajjuRU7AoXqPjJK3Xhp/HZ6GJnUVEDSSazZmZmRN1GhJTilgO7E
kdZ3XQBYcdCe08LJCswgXjVjZagmZGK67od1IL5gCl6t3VzJZ9AhzCk5SZCV5UWbPsdOXVS3Wj6b
RkSHqt8tw+gOO3w3Yxz1eJzYDqD3PSHfTg9gkjQUEKDl2Xr0jKPi1EtCBq1Midh6EHwhXOujSG1k
V0mV3Il0Fncu03viPNo2clMDpQkvAC+M3jnbKhH6duIaPWQzliq3k/UzmzF6YU+AsYZnx9UeEv0I
2zrPGWj7LgnxrafhmukUWVsJXMSNoaFnD3Wj9njLl6IKc8dSc2gMtLSp3qlzP3j1vfDbZO+hA0+N
wbkL8iF5ist2umJnZzroj5Pl7Z8L8b+5EEkAXcG9//5CvP36Sb53xZ8uwx8/9PMydP7gdsSPsepE
sJquv+/XyxA4DhxqixSV9cb7OS0iClmHK+K77OPh7Kwcnp+Xof63Lr/fMbekDThceTZ+TqZUDi/s
z5cfpieNmXw6XFvVEpC7vbA1NimrLFvkc30NrtOekTBDa0pR/q2D/WKd8TvrtL9b5/5l5bMCqHn5
N3LdC6DZc6+ny7JArXsD87JCMC2p7eAv9K/2umGQl2UDIVP9Dsp2dmuuu4jispaAFWFuW3BAESBw
61at+wss+GKnD37FgkSv79W65wguKw/MicUzaenjacXe9aR5sh3RxQiyVU81SAt+E5zL1K/O0lSo
5dmsdPBi90j2MOsJZzmzxJHnlcG4Q4/IWiNW01YbLXUqWsYkEyDYaHCNaWunNpKoDAX/U5/l07vn
VeKASy9GxLvgyRe0tffULOkLV2mP0a/J242VDOYuSD3GIY5Iz87k5ttBtweKV51rVoK6uPZF9wHh
Fj53JjIeHTUjlki32uWpVn2BYXD6VEyT7EJrKKiKtSG7FhkBVWHdOt1HUMH0xIL38ENZ5NWtPw7p
TlPpcpIVwiFMoBb014EwFRAAPogm8uPvzaDLD1qZ3I1Fnu+8fCJHLMXi1WG/PuhjQ3+d1v11rRnk
kxkVzE5sbPMjrUK/K9iaRuRlmXe+nLrDjMbpxhP6eE2HMB8oA613jDVYOgNDPbq+WU70BVqxhX+u
uGBS0z9W1Og34AP0nTA8bYMfrn7QlG49qtlWb1C7ym8zerYnc+iJmWMieFd1jnZLjgc0R1ZTPCt2
l2iMAnoQv3q1ZDbsDL+tNzXNC5aUAm6N7mhbzZITK+euu0MPC8JjUlMUWAOB8jkfnNUMGQSfLQoi
oiKlQXmlLRYU2qlMi61N2fZQd4OOYiQQChAa4Y2V3gw7H2xSyOr2fTAH/+rC8MNR3t7a0kiivtYr
ZlMLENoumXaToQXTduByvMagaB/KpPUP9JTl17xO8nuM1Nz/RbLcFch0ubacWPvsoy4h/yHpSJ0R
o1tOIXd4f1Vnrse0O01PxF4SgVrF+WalILxmRqW/kHcyXbtBoZMc1/U3mQcMn+2+GB7kev7jweYq
0C63AnbapwBN9Z3PlcEcMdkP6y2SrfcJ+n0qscsl018uHGO9e5xGAItI1xvJvVxO3VhzUWXrnWWt
t5e53mNkTHCl+ZfrjZaYqw5dbvXMMdLS6HMT1uudyB7c2WbrPeldrkyMISxY1nsUHae4q9a7Va63
rLvet+Xl6uW7Pb10lwt5Wu9mdkpc0+16Yy/r3c3ApTr1C6sgvNXr5T5owhl29XrnY2Y1jEj7Xgog
BX4msYoCwXObuI1sIWJOkgyx9FI1X8pLWdGvFYZ1KTbwFFF45GsNkgxrOZJfShNScCY4XWvBAi6G
4mW6FDLtWtOYa3UjL4VOwoCMqqf8XgMZP0oiive1QqJVT6iXkvFSPU2XUir+XlclXtWqs1plQYdm
RfPVJ7KNOm2JlJ9XU7uxB7MYH2U+Jf5nm0wYBpypV+qj86ECdCG8rd/CDNxpfa/yLzNzfwODLW+R
5OLicvtHc/eftkaWbnE7/1UdMLx/+XMV8P1Hfi6NDPpeclUsAGzQ6GydC/1nFbDyJn7e+yb3PoxX
j8GlA7nKoFj4ce9bDv+LIGLqXPZKl5Lgb0AvsIn+1gQjL1j/DPJNEG00H78JZFNlT0MtW4IC4857
nkfbYXxoaGy5l3L17VdCbKa2OdFDCyNsDDFs9SXptsCZyn1vduLaifXefIXoXhDPUkpEOBOj7shs
BcdGz9QJaY49vNJayI1KZs6TFjBgFAw+12GrcrVB5lwP+36cjXNvdc1bPcTDHUkrMVZ3rV4H4ouk
8xLYE3ZZZRcHT+agh2QB/8FD7rF3wTM1YZtyoQFxgHOz0WZrurfn2XN36YSF8oCaduk3wLn1T3mP
aSEs56L4InAPkC3qDBUusmq6i2MGjzSeMf92PNIYDaGtF96xmaXNrsHo2cDwXeX/Wivm+QS9csav
6Ij5CMecOHhSmCb8n7xA+GIxecAhX+TKejD9tnkIMOKfl7wY7kSJGjv3SrWB1Ma0K+4alICj9A5V
UNYiyu1mSRAdKLyvfl8wgrNJLm1viLX9oNqWoMwWU6XeKHGIDSfr91VsJpa3R1VdJDtPgrrUN9DH
ZU16KZE6t3RzVW1EzES1o90ZTc/0OBEpzi2mNHVdbLPvqJKuLe3OOg8FlC3JchGlu5PFJO8UYrAD
QNykggUIyRNZ7Tj2iADtLQSPZLNpaR6zOJg1oAaN0Y204cpiDcbM3FPXUNaJx+UecL3moHejEV+Z
Mi3jjbC7Yf3geMuBNEEHd9+UE1CESnIsh5NSfd/qt8Zc5cqSoew6vPMVYxNz7IzXhA2fubzRb861
/KJGoSqiscCrl/HDPwfef9P4WMBLGYv9+wPvBZZIVie/rsl//MzPE2+d9DkWwjXdNZm1rdrwnyee
YfC/vF8nfT/PPw45g+X6T66P9cuWXF+hP956Ia+qFR8Z8t84/37T7EMrdgBvWCuNkBaIMeWfu6C4
H9F2xmK87asvpEwA3/r0y9P4/5gCfpcy//4Hfjte5WSVVTvxB/ycjELKuz54J4M2C5DhfvnrP+Xw
JH/1BeAFgJ+ELhuvBXkz/wK+nFntEl5sGze5A22O5XalMRRFhxT4ZiGcj92lbkihnCh9r38vLBpY
dJQZuqWLpPrSfB/9JKhQEGnvseTq+9mv+68Zsv+suuY0X5fS+rqgLr8vq7F7z1cuq5n4aRZql6/L
7Q4/830uGjbecx4LRHKkM8Apu+zGzcHVUHKOA2FwG6escHs/ClBjg4xcux68ZsOLqEBjuPQCSKjM
E/zA7MM8lT1hYqJfAzHmctyh3S4tnNdM3Db0V8stLkZn/IhrDCkQJsosZLgoyap0bOsOcVe7XOFr
SrXHESy1XW+tIYkD+lRV5GqKV1Vs9gN7+k+Z9B/KpHUNQDHz70+N7/uD6F0SIvlnjc2PH/1xeHj+
Hw6/ynPdy7j/F4uCb/2xEi7BduKrdi7mhR9nBwXSOsxH82IhqjAd7//ODouyiggkx0New+ifOuzv
nB3OheP8K+wz8Jih6FhxfF4HXOnfgGH4IYta5llzmIhOGUmVK6wxquss2Ke0GjtcioQD0O75DzgO
CO4woT7fouJoNgOjCX8jrZ4QkzizXtwune8b16wfh86NP1KsTBgqLWiC3rg4BwTIYDID9hlXmTY0
G+yqYIDGiQXERnFhdmGK6g4DZ6mlt4XRMCkuIYPQGolSbEWQrXmb8zwaUQGzBjP5kNffuqonxsML
ZntXwGS+S42cZEHsWliDp4FQTAESGNxPzYTfdWpqKis10yPhnC3cjpk9qiZppZQJNagHrnwaF986
kveq19upFLg0Kl7URlSx+spfQWgr7RohEmZigqD9VmTgLdxy3l6Sgaa4dqF9uKqhFtFG55DpSCKJ
CtSrbxlv+MGJnenexSGN4WHJ4i+L6wAMKYyxe8GSAPGTKqV7IZKje6lHvTjTEk/38ZSld2Mf109t
h81Xdaw+r2hRExKPe1PH75F6PnkVVWnETFwE4W1kvfgPU8HrEm7LgyTJkyUDOKwYAX4+eRAtlvaj
kfj+fVw2YxPibtaNTRyg/QX4NTY7D0Mz5bN3ZDnS3hWGCO4dLHnpdc65feh4frsBCO116WZiv6Tp
eJ32Ab1kOmBlZ9XaPBqG8B80m09LXiBnABLhHCojQZEUY+WNm8I+ArW2Thr6nyOYguaukGLQHhe7
mreulxvwisYxEmXR2xuol2xVKUUV/2bELRgLxCeqKPEm+8Z8afUZrlWwCMeNnMSByK1V9OQqVWzP
xzl4mKBzIYKyg0dTZsnDZC2sV4JJakHkDNZHk2CcjkwY+EgblWrju78UflQwxLhuW8tLcFrqwKym
vM4OsSfUckQQbc77LO61azPWhjEaTa/aWtA2a5ZaTOMUHhDOciLx2v5Mc+QU16k1BfetT0INUmTX
/VAbs32TdujzsdGUtqaHiDGaxYlcVAQW2I0ZWENIxsDYzqHGg5CH2cka/00MDbsaRXYXGG7Xinl/
tHEIqQ16MW59z4eeAr3W7A9xIzV1Um7b68dSiDl7MdsuUCdiMhzyz/j4vGLi0R7nEZmXWcRErVfD
VTao7iUV1S1wh+S67Ak5+ZyD1hsgkkJ1tbVTUukeQiCaiA/wkbNdtqzGFPBN21jOxY4LG9WRpZdH
ZArjc6bMDCV/2tx0eSq2HQOCHH4t2VAt3g4vNw0fkkw6PrtunLgHvt7aU81Uc99INkKrzbpqI0oH
YrxzE4V8MSWMCc0u+YLcxywPMyTQPkRM129mEOVXZEzlR9QgzmYOakizRJ3nHQr6weiiwG+mE3zh
futRc29tzBfglKc9IgCNhQwnDWFtGHdBsPoGOoMMJtdMs3KLbOxRLV2y8ZJxjxnLeWYmMbPHgkiI
k6W5G339jJDRDPEg87Z1Ab2CDSZhKGM6kNZNdnGN7T936iu9bruv+ezd6gvJuKhFxsM0ivKxBuZ/
l0M2jiD2sGdBRnGPgtDarbbrcMxA+9hUCZnw531pA0BIsQfsEIob4YqBhYQDDiGTsmmx/y9vTezh
mi29OxZfN2os2GiaKQGTViP3ZPHIXe5q+o2U8XjndiWa6675FHDa7qHn+dssnuNdI1WON95BfY+w
47AQShqVw4AhospIry7nIexJ+mkys9skIGGjwpvrDbPxJizZx72MuRgPepWoDwwqFR+MUdsncvrW
S7fcz2k+b5UcjafBMOOPVuHQa05xihcUxVkear6pH3u3GYuDVRFCWhP0sAsCZEU0fsibSEOzTz5K
uYjwVe+hb1NyTBeuJly6UOdZhvOpcBfvFhAG47WhwKO89UW2LgFF/BwIh6+sUwG9bfoUQJEvPtVN
0cCWpGF+bb2y2hk4ysM4M/1d1alg36AseWvpWl8CmRA5PKDXaMZ6uUVL3lzNYpQgxyr/weJ/3HTu
pN1169QuEWt0esAEGkO7eyvN2ED7NanCODlTnlwHReUHIZ4OEZUqozwsTAuikoB8toF2ghVKEUM+
mIZ1S7ATmMIqBfWhwSkkDZSoUq/1ipMmk3JDiDOATK3XnlWrdy984lgfZ/3YXun45Nw4bx6mRem3
FvlwG1+trtuSj4E97vTJ7CKovmQVmSAJBvgUgPK8/KvV2dXXHuIR7hUWLdGg4hFhoe3Op5qVD3v1
WTBbhfr2gTT54ZwGBYIvv0+2bYC9XsTmRy3ov2W0YK9Y4NABzXT0ne18qG1Hu+E7VUR4zYZwMDjn
llnEH1Ad7icr/xi7/WffFM4eWaIKl3gZIpCOrzMaBsK2GnPjeRjssM2Eg6UfC+SBW7Q77VfCl4aw
yLWGYGkrPwwmS+4Inb69XdzYuC87V24hLxYPteHe1omqr6tF9luirpELUcZnKhpTObbbzqiW22RW
8batui+oTZ/AwVBKUV9k2N3C0RrQrho5bjYEpIJdNIcrsrG1mBF+pGxWHxO33DYlbuXdLIonzXSb
jTUK/WNqetkB74L3VRqSZajxLYb/AL1FQDTx3moGuhswQhnQD907BXP8P+ydyXLjVrqtX+XEncOB
vdEP7gQgCZIiqY6SUjlBKKVM9H2Pp78fMu2qtF3XdTz3xHHiVFKUSGzgb9b61nKqVFSolla/gkmt
UHz2R/YFAffOqtoORY3JKBxQzU5zftCGiqH2Gg5hiqd4nNNTxjXvMohfacOtg1i4i7xKJSZryKpj
2U2P+hK15OKRepENhtdHyfLRUX96ndaXjyAsBy9uFz7rINfmDeOKYWuADnfnos13iNtyt1Hs9yCU
n7AiBK9qbWi3rO4IxrONe5RUXFfGey5zAZe1h36AGvMGoWF509fyq5WP0JPER2vD79wgUaw8tJDj
3q4CvEF6pW/jGsblQGKtT8ViPQiccbS6Y7KDgDPdku4X3OFdORJCv0G07MeReonmFnqEVXGJCjtk
EDjhoRSJuGhV8jSllfkQTFHvoyIwGMLJonzoI2hcSYvIDumcYYalq/NIPyl1a25ac3nukhivDKli
orgtrS709NG5kVX5jb3EvpboGiJFvSWwjwhnzJFRB0+TFLOkyj83GeuSpZ2uY9vfVaK77ZTiTLUW
s7laZs49k0IEeLDNhj5ECc4xN2wcTBsy4A1QDpZunIrEtk9mXjMyNxtXzpbRkmGXLygQi/RHRNA/
jd9/afwYJzh/OS66fB3/Z/+WV5S7zdefh0a/vvK3vu+715ydIQPyn5o+S/5iGHAyGDZgDCc7l2nK
vydGjDJYwmCfYM3OGORfE3NkY4Tp8s81jdQmHnva3+n6/jAx0qEb8IOQDK8TePo+usufUQe6Yk6Q
8JhWkhEKgY57IqkG4fNP3fB/mBqtY6efG8vvb0JwBUxF/s4/BQh15aBURMsse4BJNZcvnOHIGiwP
WFi3/eu3YpPwp7fS+VgYg8DXZlD3+7+nzNnYJaG20MOS4h1na7C3JJhQrMLhjDwTGo+GBIbF0Jkj
AQX867f/08fJAI8MKAZ6QvCl/XH9IDNAIKNJdZQU41Xm1osN2eiv32Idsf3uw1zfgubdIrKIvbP5
hy69aZS5VwNR7w0xXidDe0bFX3o92WlU3TVX6b/mGP/hmyPd589vp8PlQOGhE99MT/77D1QLa7BJ
aMf30PnqI2A+UXnQ5HIebSwrs0F/0oOxxnMc1p2KiLpMcrfGaAgjIG1YkaAsQBgsQ5bAOH3TAxGN
DnG25eDULKgzbqvsI5PClbWoVrW24zaILhAT5doXmYw++8oONpdNodd0qnyeW4d4hdnp8w2mN+0S
1T16bkYVm16dp2duls0Jof6I5gkVAmrg2smvJsCil3i2II3nDVC5sDRuja5IH0xaGXfQAZmT9RlC
9yuEyzqTTHW7h/WMnXkHD3w5sHA994kCvjfPv+lW9lDG+jsGlfsOcz0WFTs/Vur0OQRIx1sk5hZR
b+7mGtVAWi21z7wShFshNkabjF9xLQDDTaLbajYVnB24RHSZ91sUC+ZlmpBqwF8KjqxAni1FBMck
ogpBplxhhRxIwFCc60TexmYWSUKtWofXztQzr7eRWTgDbUmJgXkag2EPvTHYJkRGnnGz8ByHux0Q
7nZjQN1Mt0jIu3ld3YYOZMmkn3YxQbfX2iJHLGJX50mbdAoKg0Qla1tghCmmpjGf9MJSXqJ0aG5R
hvJz7GmS11KkOG6auN+zdERh0jSEkVCwRTfUMkj5MqyNksJkh8uSSySvsbmW5UyeayGwz/dyxwRU
fdbL1N6gL5w8JYpl/9rHao0eQZ3FiSTb8BpHCPGLuBRuANlrE9XmCsOM1xRL5jcnSuLmvloQjedN
ewqcWXsFidVd9V5L96sW8iwmzdznBdcC9sp413fF5Be59hphlcCuFffhLrG0aa+3sXOvgnXwFY2e
Cdp2eddn80ZCCTjDwayozapM3TX0Na/IUtFhwF9E/TIZsd84en8DvosKaYnMuxhuQxBo1EVBZwnA
eSHkvTTCzmu8TAPjhDxY15LjfTWnT3iQ0NUMieLreTHcwEZKCVsdsCX0GEiJABa+1DDW4hqn380p
3I2qRQBbqmtER2iUt/nMc4MrGtMekcGheq8F9fzWMktec4RRQ4WJctOFpvQZQ0TQ3pEV0CgRmAFL
zdrUas27oVItOS8gKr1SEnQWVNF8nBQ7eLXTroBjHjp+GATjzYRtBFcpeHETrquP1CTg7OfYw3VQ
0jjxUc4YKQYCMxuPi4zEabXH7oLEdJ7LskzQ1cTFxrSiN7ggL44AcxJ2nfoA0FzdS0YyFt+rYmfh
Ywr720XxxNmOlyN9ENi5IG3cRVe6TTAO6aa2Sek1l+SstHV1jzw/25AI80FwbmuDa0CZawfhcAiw
cm+Fot5Pc7/rsFPvEwU2YwmrwV9SfmwYmPVTIxQLq3M7KpuqbspdD9PurR0oe0tmLdt22tVVqF0N
o3K8QqSgWAtraO96pdIw9Kr2Ic5HzVdFRFP6XekY9Wtsl14tlyBLOxCZwP+fSmFnJ25IC0wnhzWq
NF6bko0CknLFHXEleKSjAgtRoxNmCD/iAQDoBcOXG4ZMUbNcFJc2tw/ZIJ/SHDAnHSUQChhmemPj
IMGxtwlSxT6HQfo1AAKCH73dWr3U33pVr1gfa8NthZzNcY2Ms8ctwbyNZ2Q4pO9lBzOXzR5vb7op
x2X8BLFbwzzV8M4q3DuKVZMD5K7AWtxzSvYi6GcwNiz6PRFEJjQyRqQiy5nplkamsZeIuq0JJI5z
Yk4f7JdxqNerQpwYgxSE3bMRGcV+dkAcImbKkNnqk84CmbtHZpMl1y+Wfso0dNRY0ZcBSZWt7ME4
mV5dW++W0MLOHRy+9zowkoOd2NY1ayfhE1iTg8/RZ88aZhKiUl1usQVGe5C85U059Yxk4VrcmrFI
95EShp/tVf0aM12ZIz7+IZqeBHeujSTyg5HTnF01oqQ9FnIQPJUulY96bW5NEqBeOkY2nyciIS5m
Yy4vbaFtyKEfY4r/prn0oup2aZ5w5QHWQEqfNW7GMITqvvxWpK3EWtakO/C17YHn43gYEtpLpwbS
aN50Imdfv5FZ2/+oK/4p8v9rkc8W96eq6E9BMGuRf/zatF/n31f431/2W4Wv/eLggbYctDC/iV5/
XQtbBlU+NzQLoJTKOpPi+LciX+CQRq9iy7Wcs9b9zb9kMfYvDj8OaYwj4aGrKGX/xlqYzuAPVZzD
YgckugCyQdwxx+H3VZysGx5xvdHsnUGB/IkRACVgWDbpTQTz8GZSmbc/Mi0HFa7GUX8YYMbdR5Uy
5H6aCCaJDaOB3AUBGXuYMTQ36EF+y2oKEagEenwPxlT1V+yoGzpYyxb4EpcwFfANYTgF10kWxieO
/VsG2CfkR10Hzudjhw3jvm2cK3ifxMsKGgK3NLOAfYNApYr/czn3aHgKxuE2fl0TqGhXdeonh7x1
E3xyLB+KYkyPLEIguuY2EOGKF2L7ULa6YU2XfCrbVX4uHoJFKtucHPtvrWxYjFSlBqpwYNpzCAek
JS5UXJjog+hg1LSOt+gtATLrB/U94rSxoi98/zHRXi2vHsWAUhCGpe1TrztMCvL+sKSJ7lkaxF23
NUYoTRLpXuKauZM7L0Oy1KFXZDZz9hy6u1kNbBykA10aQMseVAwmbqXn3QUId7dIYHO2ced4Ywyx
BdWiQ8YNiCiMkmNLg9MkNjWwrELlte81WK1dglzE7DVxauzWUf3RENnznGaWDTWmF5+afC2i00nl
p2VMDW/tKlO+LdHoeJNWB0dmZtGHws3yUiHx87//fu36W3Flr9Nt/nuQWceXUeC49SwTbMtObfrC
ZwMyeDghFupHPmSYNx0pD8PKe+9iyWML2lDk9l2ajieCxKJoH2QiXfaIMBttFxlWGvvaspYbCRoj
t1DK9Ljo5WFodJ6SXTJwq4wZJlUKMrQdo0Fb9blU6Ce7nGvBrtJjgstiw7vHQDBbIwYTZBiPOIOz
50bRsseoauZPdRW1Jxuv0TVZBgCXmmxM9nm1doSgE94ENRysZK5I6GKFd0PLGns2ZGD27x3VOztC
Ak8W5LjGItvCB58Nd9yosU+bDsslrJFANYpx9m2dmRo+Ie3baLLzZJiV5yUB8WRXYzmCLbNzErVj
s5mV/Cynz9itsiwFBKQjLYOOMjSllWw7kEAPQe7M53gZU0/jEbJhXhucczOPJw+yju0LTEi7Jou0
54zq389tZv+YVSJi2qcuzm0fh0n72JX6J6PL+lNuqC/Ip+bEWx08eJD7RVm2OJzPeRgsHTGaprmL
7SXAFwsrAX4lQNAA5R5kD7u5RYlU3jGiyu9bRSMEYJ6hiMe6OPZhASJB1iQ7Waa+Xyyz20pHX47Q
llPcM3LUvDEztCec+DSJ+QxYNmhMDipANFdv8cEXkihlEv3IViq6YdrKstMpZ4OE+MKxVfy60toz
lBl4RbaW3qDbNe5wJEs4LgOQaNVqVQxYecaM0FYcSgQC6frNOKnWpwE62TkQInyfmyT5WnTEvsx8
9UvlEH1ABOXIVrRkpDgnmkmYEq95W2oG1mSrNNiwwjKv0XSoVQKrTkTbPhq0mGFbsTzBr1bR7tbR
ZaBJIPm5Kp/Bcs++rC2VGAdo2B2RWxXWqWJekJ8NGSY3GRXtVusLg6kxNwpBVvSobgbTnG/GAGFd
NC3ti8Pfr5Fdh4zsUOXlmjG0hM2xB3xM/2uuqXcjlbibr1F8rlr3RFNEVklUZFE1XpPJ6GoSIIH2
P8OnTU5WcjPADZy9oWFTrSbSjCnJK6aSzjD5kRoW3jjnb4Qx1tsmniWMvdq6lHOvXKHGcvPvZbTs
nHFKNN4i64De2EuDng8GgoVJnPqQmzkgG+5KrdkHr9/vLHXaBd+cKU+PWckJJdBJYAFbTxHbSuNx
Ahz13Iw5keAKjD5wXiXkdWIwAASSj+PjBWsOCKSlznEY5QMwIt4I5/m0KSSgIRZQ6XImcQyXbzQq
TnFBJT1f2gaq6KYsl24LZG85NzZSg+81wD/l0n8plzRNXUuYfw2R/lQuXb8Wxde2/cqkiaMEuubw
8X//z6+v+rVassUvpmFZ5Cf/MMT+Wik5Kp4iJoSmtAUhePz3X6USSE7TFownmUWt5dA6WPtNQaz/
guQORwfKO+Nv0zp16w8KYt0myBf1r64Cm1GZSv5hImoRxKBEo1EcFHwqovIHtuLJsMXTT6gBzxtb
YG615HjqJO1P3tbzBkc7nQ2bpn2d67EbGEGbb5HyiEvL9OzK0ibdmuhINmFoMoYZGwKbQnP6hNcR
OfJMFM6bExbiICuVKY5jIHWIQn0LbYQohao7DFob+gZLsw3On9oTQRp5IAp7fx5UFcmLppfu4kzt
zmBTTxllc89NSNDSq5qkzqbNDz0HCba7uetby9qo3aB6QxKHt/Br7X0xx9lVRhhK1lUfBh6yBstP
kehrXw7KcqTlXRfY0jS/kChWRe6UVzADcuKmzmUzd09Izmy8Uov60I+N3BSZdT/0wjmD5K43dk4v
BTghch02ezwb+mGTxuyfgkRt/AYX536M4VoD/rsvq9I6NDwKdjAEWACyCbstLOcYFikQ9Cm9Y/zA
QiagBhLzaG8zEIduz3DtsVnpHmOtq56KPwUG2tQeCE9V9oGyIB8hnOaYtUVFKmxNSBqZWZs2Uctz
bUZWtK3JNV9zN/or1BV9K4UBlzLIDV+vRL6TNcgxdWmX+2qQ7dmCEOamvbyaUz69zyiQtu2YIL2x
0vZ+IR3XxQqR7cy+nDZKNc0PepxYX3pWOlUxfwaQ1vqiYhPZDyHzF+kEz4MdlzvsJ+YH6XTpfEZP
kpxDg2DDDCdG5JG0nm/tPBs2MTKrPRvLZleb6ChmdaUTGIZcncckssyN8wVi9viNkZ6zW7Bm2cgX
8mLLudHv9Xlss9OcVE9RL5InWN7zm2KSBO4WgGnPFF3Dja2wJiwJcYzc2ImqbcXgxKVkYx6IDOYY
QFi41cRQnrNRPBFYW0HQ1/R6bxO3cT+VNVrxgnGCzBvnRq/JeAW4qhPIFaPCsfa90sfzrmnhoYDx
1NPUA+MzHllt75JCku+1TGs9qFe2J1kcrmoMme/nnkidYnHgkiFAIxw5kzxitBEz+yapIX6ymY3d
SS75naIQ3mwQWBmB3zw3pnwrs9oKTrWWTdENKcgvZtxYDzkRBIFiC+XQxr0eSD/rWIJbzA3Gwnlf
9LmOt3BDF4y2U3vX9tLO32H6sHWFjuMWdtc/GdWkrVr2iF1xllpXPWhBgza92IZZ4RzH0pK56wQt
A8MqMquHalJysluxAYf7SscI/SSzUYdqCbWcHEDKEKu0jgxp7VYhu5JiG8eyyeeeD5TVoFCQk20Z
66o8Vuux89RKCS/wU1kx4FGmv9u2xizuC2zowQciVWyHa1AGdzjctLqib1UWt1y5RorlKwee7jS6
SJlLZYjm1M5JvkCqmZW9XQxqeTDKDDwgM3CIOwPGhNBdt6P6eWQ2/gwv3nhLcXlwpTCWDQ8i6tTB
LWpypwrIRB8IsLrUR0hFyh5hS6iDaDpxHndIz5xtYaS85ZKFDQmSsCevGtGeOQqrjBgtFfikz72P
d+xSwgSZgq3JuMxhEs0dSDoi28KeZWl6M8ZnrbtJs9FQedIPCpSPyQq3alSYt8xepp2xwoVVNRuA
ihp8xmipgvmareRiPP9t8z0sQCXPyxn9NUPrXDh6fUhjh3M/GcHG+I5Dlj0+hF7IyGe4Z/vlyk0u
ACgv31HKjTBKTIbrkLuqrF05dkCXM7Zua3peDIy5X7nMXWLK1UThGyuzmbOK61GQGLBtwlJTdiQu
qI8EfCdbU7aL8EggUla8c3Gx2EE/2INlXjoTBaLxHRktNedm1mzaFMx+m3TSQ79rkE6Q/9Fnqpu3
y/xez/UXnlHNBcEphbq1xhEOSBBBEtfqY7iIYEcSjP1kEKtwrxOJx8OhyBg3We1t2dkK5vJZPQ6F
Grwv0jTu5kBsWssMD9w6gz1aZfVTaol4w9TQfh0Esym3C2QFVbiebiwyhs66IW2XrIR0U41zgsJB
Q+BSl8NFx07IvlsH+6QuCYqCiLI4wWKzTdA13JkOECLmDH7LOOBpscruMFNT+mssso+xxcD0KBAD
Li35kyOQg1vQ8mimm0naN7HGLd6RmrFBYgr+kfd/nBzdIKSNmjek9bwjAxHIzLI6IxMn9OnN7R1R
GgMmdkhj3BoX/ZMG4IZnoeFUb4MtuzOcBPEVTVlJyjhhiwDSBL1rrb0ACapodMpwUzG03yVAXbZN
QRJMqo71c885PCN1au4MA/mgjWOPEr1ITnTasQ9kYrikzH0ZAmTmHlDN59rW49MM7+wlQLJ2CQLh
8ENak0qATtbtbQb4Za6plxYwf+fFnPw7I7Emn1lS82ZbBUsiM91oyHrum9aY2MrltnnIkaKQvBot
NwLuxZexDWEyTrm6TdkZHKj8X4KmMBFZoEzK0PEwV5m1LYOGxnZVoXyaikDd6nQxZyOO1RtNadeE
tSZkZcFqZKMjFEpcqKZPiuw7e9NDuWld3Zq2jjKy3hsmEwwF8ykPWdUMBTqUbLNyBlWmq6Y/8trU
H/Ft0D8GspyC2HiTE/qGSUd5Qq5Iwp2gaVL2RgXBaZH1qDH9CHnkoYsPo2trAtT7xyLzoxz/L/U9
53Bdmv//6/t1HHr+OsXv5c8F/q8v+7XAp2jA1qebhuYgY1hlD/92yaggI8muoIxn7LmK3f9d5Fu8
iNkl/o3Vxfe7eSijUsy3pq0JHP6SzuHvzEONP6zpKet5e4OlNgcPVYL+h3FoDWlwGUNOYiOpSN50
SHd4M3QANDw/iJZlWTWy15v3MVDUXDmUMqqMhoxhq9iXY6z6PD/mj4aIHUzSamV4E97a5WbiKf6V
pYW1weNsNku9L9iyAd9zeUzN+iNJJgtiuFWeivb2IyOKj859DlEzMGRcksi5VWOlo3ouqXw1WuSu
qeZHrWgCokzGoVNfiYjPYipjnbPmNVGpFvkxhmDtTbbFxo3747wA3ViMdIpOQGXryn5EXbaUY4Js
lt5uK3K9YzufFMjYri2dldjaPP4y9SWurW7p/aLippd7rZoX6k0sYogxzATeIx6ZO6uu5jvuVwWH
eR4TXmrOyvK5KniGnf9psP83HjWpY179qwN4m2ZvBEu//e74/XjRr8fP0X+Bnwpnk1OJugfE0E/H
bz2ZJvmoTG3Xc8T/9JvTZD1+PxlQfuuvNYIy0IDbmHdZSawGlL+xiuCA/X4VIVSQIA49Nk0UIlXx
x/66GVK7mExRH3XEehtNz3YdEzyEFZ19b0SkwR8MB/Op23FYOBaN2StPEa4ojospgXBOSsN+38tz
Jw581K1ac4WCmN2wj46Tu45wos9MuKxXYzGLYyTC7KYbE7lxlLRhsx3H+ZFtNuu11IGLh3HklFS1
gkk3qsozMoRq8fNZ+CHthRcukaxwZo2N8zrE1Fx76LEhOpR6Nj8N49TbdzNtPnqL1Q2xTiy3GmcO
7jp4hPhtWPnO8KxAPZdNiZG1WmM1Tp2hRh2q9SxHO8qINY4m8jRiWyNlO9IJMdmx51yqC/My/txo
ahuLgduc6MEeLQAoiG0OSRAFTsH9DZgnzCBHGhAzQZVebAnXeXQDvGRws+KZUr/2AsNRSacasPV4
IgqE+j6OWUuEVRrFxkhqFn0Ht4SC+PLUy/sG2jmLhIIKCi2zksPSc8gXxe+3EDa4gfCgL1hbhrCo
PKoCGYH5QT1SLsnHEsxzawDWICrOYO2ATAbxD6AQX6ZT0FzYfCgHdUSeQfUZMLRQyIdFf+MmbVRQ
XCqDH2JEfkwVs2c82aoLUuBivBeU+TvTqeY3MK0IV7I+Qxc/4xsAWr2DqJKekIJrfolA+VCWjEbS
YoBfVReliYQ16w/2MMG/jpCf5AWqWzMKb1m+FPAGs2ljQh/Y6J2hIZENy327kNDa5GOOaFohtC0l
b9pdlKG6zRLzKS3z8B5dVHs3RoN1DzFyeMX1PBGUiVanqaLpnuuh3M1DGT+zTgnuiG6fgUxWivTG
vh/gwMhgg1XTujhOGjxH9JL7KTKVW2UKps4ldMDZDVajnQIzyHwlQWC8ERBm52cGOuSsBZn5VJui
eMSIgN4/D6Jw8oir1SYvJkJ78soZzVLRMLFxnY5ZFMkK3WHE2eOPWRo+a+y+bpwFPKcrKmO86o7A
QW5XDSiOPm2yb5TCJmgOawG+EZZFwdikXIj6kAbZxTiBmtG4JihFWtBdGuzUyToJAoNDeCRLRrpw
0w+3fRjKG+Dl5R6nak8PhPaZQXfb3EeZWTw37VT4Q2BVX0YZvYiaeIwus+0j33S+ZQmje3NbERYz
Z9N9gJ/sWOhTcw3ZonzqtSXP10m0fE/KRr1RlsJKQK5p1nHMJmenJ9VX5GXBXhjMslGCMypHvf6I
GL3/RMJq9jIj/3/Rxi5e4dF2+lLzyAd8zAkzla7xVXrbrWON3S6uABqXoNlYLWZ+wozqtnAK4zhO
LVqNgoSZCu2Do5CCEOMVMHiGE56uxndFkEyoZaqJMHKUNFzFdLcR0TyZG3dKu9GVet6WY08gQcAi
hs+lA1+aRV6oqMDm2pFFrFNsgJ7KZ91SNCTCzVO8NI9JpVgfkwEMGwHGSnUxRhBMniRm/opNX7/J
1Tk4qR3xKCZOl40VhwdHb60zvp6ao9G3jwsE2I3RqOW72dMSVuNS3mmBs3ypR/JjXKGAanFyfAJh
EupPYaRjQ6oZwa9JzjOCEic861L0r50B9AbIKhFwdA5LKsTiJRMrirgK31otir9mI1VKO9Qn2Qcj
Iupx2kRDr32SURDvNcWiRZzGcT7JaY3/Tc2xdbtOKpw4HLsX2kpl15RCYXRIquV9mrRktVSdcLZZ
P4nL0MYFApggZvoQEZsw7WXUTQ/lqLc4tsJRe8SfYH9JxxzHTB/3UvNskNBbNGJM5ZTABu5bGG+9
0ZQ3jsk+yp0ZUfBPVWALoSjw6vR2hBJnJEHSIu30OgulvVih089u2JMiIjQD8UYbo+TKbcanFSlp
JwXE/4UodNZ8RAl7nTq91zzzHsRorliFoPX4oezNE/QdRIw7flfr00nBGIUjqYKEUjbGt1LRP5gf
yJNAUgQmtsb5kTnJtm6gR8c5hFVwv/aZkSpmMrUkNjhZ3qPVd1CrGVL1aXoq1eYRnovq2aKJMO4g
2YnZw+5ipKu+ynQIJX5TbhWT0a+Hwa7dh9gts3QId3ofB5umaAQ1oaH7SWioO877e7IU9kMtoSFE
dVZeQ4vWXURNdRyTFHVNExjZ2SiR6xltMZzLQg33xD/R85m52fk6POx7rtx8U6jOeBeTh/5RTy1m
N8lojrJHt59DM9CP/Ibo7EAPe6VRGYRGpkZ+lweKscvkXB4EeCRPbUkRnls1PmF2scg2L0q/66d+
o/dT9yobpJ+ZDRlvsNLPXSu+JHXFuJHH42kY8xCmTztGd7qNcrVoSwKs8kh6QDbabwI+1bYXc/+Y
wAveouhcB292utPt0t7A/woeY9xjF1O1On90mHDPbdzcoqnTBInUmIFcxJxgMJtIOYz9Dbk7kWcU
45dG1bPPBBfh/GFx95EzD9iSd8r3atufIzv72hCDeoDUZ+HyTtGyGfxfxCY67owBeI+eWT2oSaZv
hljAGexicVoqJXl3EptoFKCB2JyIp9XbILtPuoysXWLldxBJ6kNPQbLtkeXuWRWsEVJUXvTmhg+q
E49fXhIxn02MqzqhKFAkWQVPVTlsNast3jtjjD1+9yvSSOH1c2TucbvXWDvPi46lt9CZVKsVls9S
GO+1Wt33RGBhLykSDy48zj1VgWGvfBIw2NwoQnQZk2Xmmhm051QtL1bV3Ftq6+PE8pcRo5YKgXfD
IO/BRld1xAcZ7mC62C47WOmacSFJOIqOGFDw0enZWcsVBRsXQdaZ2Tt7kIThhgDweza0dzPLzh1b
m9hdSgXqbzYjVekZm8Vp5rfQtDbdAnBLD0vbNZiL+wX0UG7ClnardJOEzahY106X8X5JkOJBXvhK
kicagBmdc5wThiTjyuBBlkY8D7T+fpTCeY/zud5aCpcf+bx7EyQNWaJwtJ0OBPtg9CSOOFV/mBiT
oxQPmV3Gi33Mu/k+i43PZIs9/dNL/a96KbpX+o+/GGZgWoz+5z859+WPl/6m7zJ+0VdUr26zuAQc
uE4tft1a2uRcyNXaAXkDuIy+wj1+66jMX1DKCLI6bbiBvOynraX2C/9UkLYBreNH3Mbf6KpwNvy+
q6JCAzuOhQp2AHtS7ftW86fISiud6pxOI9mTXruWdU4aWRssqvW4kUMDu60bKrV0bdWKzEMg51A/
sGZzbMSybMg9OcLr3aFQydNtaZRhDVavFGPjVgNTQVeNtPYjjw37BGNRPxC8Ki7IOfVDhwWbwDiJ
BDpjoY9ubH2AjknGExfALIJ+Zn4nJwposFobv6S6BM12SFpWAOi+7ZOI0KEWzSAuiKQ4oGURUrRi
5LYrX2ZWxF4jVdaXaAFu8hTe3Z2sO8ai9L/SHRFWkCTT2tNDOBmsJmIxPTSJ1A6UJDzvtGqymttQ
Fml5LHnM20fTsdqP1mbtkBU5WwYRFQqTzzCLvUonDYJyU+u9tEdB6laOTk0gZdjsWRaL6zpTerPk
NN2VpdLvtSHSnpbRZuuBi3bfairtmpm34hLKmr+fqNLgOTEzfjRZPGtGhEMBQ27Q0n4kTcwnUOjk
R8eg0V8RaFPETFrDP9MnUd6wojLe5pDXoePmFzDEyG87ZrybqoUA1QNGBF5PH7MgP5r4q/WU97RT
rXrNEpW/3ckM1mz9qGoXU4/zm4JN50VLidezh0C4zRhPZ2ANw0ErHQJ9YrpHwqfXz9OcgiRkN5MT
Ws51zf/nxxeaqSE9NAFkzrPs12+YdhmuA6vR9pM5lwSJjCS4CqhUuDc25K+n8b2Sc390y5kehmsp
4r92m2XMvOng4jV3j9+RPSLPHwZkikFeghUyG+9yUqeqVc78gkxI13ZZvqBsgpb0LQrIeHHVoXCe
4aY8sPgwdnMRmbpHJRiQvNAm9xZwJ50nWq14bHDltdC5AKdoXK/anAudpUkf7OhY+EkL2+TQtSKA
kvwmXETdWv5FCHLxrXQDV4Ns1kbc0TpL+wF3sHXBMiyzrI5yNGy5+BSZRZtgYEzoWmPVfbCTWJdP
XSUu0VhzCIm+4guGVM0TzHbCdSSYsA8+Fgmp0l7qILDZDlyiAPg5lqeS2Ch9bwH9O6xee42cAI3f
G7dkDL2RsMwHDcEOHs4Rc5obiL79mKZ131UQcr/6zLlOZihir/36Fdlapx1yo69ebdHywzrmIL5D
+7sF8hCjIhicbaWL6rUh6Pv5+yUcKxafb9oijV4P+8rvfw3MYXoYtZ6PZJSAwqaQo0CiE2iwCCrn
Tpq688wYlw+uKytN86rM5oLpyQW/yQis4gpYjwR6t9gnvpIPbyaE3a8ZSh2YM9avi9U0+9qo2PiZ
vSmuOsmKz0qistyrwAUgD4TqQzwhDbBrljPJCBhU/CwyIB6Mcc6fowKQiNuJL7SmDeI8qDDPWVFz
yNnx8PkErD2vA8WTP6tkcVGqqdrBikrnNJaZc1oQBFRuF8/8hLLCzOtmit3YXm+1kQYDaGDdrDS0
3ciRFnjbWWXtTVqpnZolzonll8JiOgI3N5Upf682gUbdLe3cR6ylEk4YOix+oUXjjpXLcowe5nYi
qijpV0R0jQySKJCH1OH2bBepQjCRyPg5OlaXA0Fu9ibpuGWo+L+unVH1fIK5PrFcrvlHMkrr11QN
6j3tfOiTJSmvlsY1bzJ9/n/sndly3EbWrV/lvAAcSMw4lzWxikVSLJKiRN0gaFPCPCXGxNP/X0J2
h8T2L58+190d7ZDVoqoKBWTu3Hutb0UkQWZyeexC2uHHmbPQyV74wHOec0cZIcOeXWEZ0DjMZWmu
4xqu996uyiK5BtCZXmXmkl4NjpVj+p74loo0cl671GJpZqrKPYVKkBtceQtfq+wK99UkfC3dzhXH
pnZQgGFcNZHrIkvaSvBHuV8ENvp9XXGXTsiHmQZ7rbhL61A8lSV2Chwpjc5pC/Wd44uiVtdICfjr
LZTxbyDrU5y9QFQgQjJE1veeTF2RnZ1mkMdB+LB213vegUzfbs1en/+sVt//g++JuyEdw2fal8yp
QOHwEuME957wJFrnTEM71jfZMc5CXKnvx1BxqKT9Ej4btB+iP5e0rBNpuWv8iVvJjQI5nLKgIy6u
XY8NDcLje8fj6SqKHOPFMHF5kSLQGuL3yjFwnqeqn8V2ptZPDuvKWteJ8K6mJGifBePM6nmKY5V/
4pTPOlE4epUS45ReOfREX+GzwPIc2vIiksHaBnH1RnxpeJJNozeDFn3IRkUxK3BIlvwd7B0WMszk
PMEcZhpQEUlSieSDpRJ1ZPmxS860MUM8hqU13q6tVy/huay6PtlYfjTT+8QVVVyWDPCrmSItxqxs
xM9spZJZB8LOa6cyeWpyfT5nUoIBMGGJqTfGZAHmZa7qvdVV+VzHQl4DRBzMCdL/hE6FxuaT5QSn
OtQbUedVnDdU3JzZY4J74K1mxLM72gfZor1shejvXNOuzx3RQNuRWJSPqd+6BQ706EsLhd+w6hZK
X+huZa/PUxnPwGYoRWlMxx7NWpcMzdnPQows94SsUtmH/acKKkODl+pgoPS+b6DgZ6X/EFnAyT6h
6UFysfHJ0o1OHGRLVlWAYIzXEZLaICN3Dbj/neVZNKf9DmnqxmudbEuocHkUq5ol1cIWw8ntQ76q
XXx0L6YWwLhZghYG4isIDSTjiTooD1bHEeJ+KrdxN9CGs/wkPPe2s3wI5t6/7rKQbS6dYTevKpwS
PY6jhTmGluikWqxDk5G7VzgUJUlAvFSQoeoxGw41aF04l84jXQ07Rv/TGe78Wjh19hFByUcn89vi
pmg759LmSbU3+m4Kts4iw0Mw2uO3TiEzSrTgqJtCa7Nwk+1b1093AQKkgyIXFTJwO+6Uli2VgVYw
OQ6Kh8HusttAAvq45Xp5b4jGqsMywLhWRWru43T6GIZZc8hTlBJ+NH0Z0Uy5WjzFGF89JC40EVFA
qbVz2n1W78pLRxQ75U+FQV+LsTJUWQYJuIzyu+42SJPlUi7K3db+UB5qZThXUThiaAxTZ0//9qkN
B3RfctWAdWVbA6CIWKJw0W/dCfVTTN1wDe5CcJSWxtEN6+6UI1y6qW3aKly0Cu004rPZQ7qOlC8g
PYDpW8aKheG4zO+BjzMcCK4NmmMf2ATI0HTG6hAHhncqtOAN/cfWptF+tJiuXUHFpWZVzbib6TEd
aQ4BEIKM9NLhat5hHgoJr3IvQ1rCJqoq8yGXGU0sVfQfrdkybtSqyzNWjd5E7fp7vyr3IqiS1/1c
tVdZ2tefM8p3yrsBFQf3t5U/wfgIAHPZxp3pteaWndeHGeMcBt8lspR+DRlRvv8KXeDzbGg9twCH
goxYdgfD57bZKJ8hAk2D4crU0kRXixRZ/DmF47u9iuIECWPlvjVa1Gj1YtoKLXRktRInRU/1NZIm
vQdYpfNnKuI91bWkEtSCSaWlk/THvKeoZUVh5ZflHvMn8uvU8o+mFl6WCSKrTosx3akQmj4FPmvT
2ENG27nzAsm1Y+byME55gTyLjh15y36LrvohBb4ybERW6ti5pRuhCGmgUKLRQouGDMFzYsgRJxHj
kVpjiHoNJCJDKfWOQT5MzwZ+rYBtL7I8umuAjGTTcwIBbcQAuL5NO56LlIi15wbA7GnRMKRQY5GQ
by4IyU3+NfPJBNL4pCkGGUVPccUqpd8hS/lKXAo1fCmGwsSkrPtkJOFwLmVw6zG42bJ5RY+lxjeF
E9LAzcDZBfDISnjqVtpTmWNQuDbaFQPFqhWCiF/xUNnKioo5uIE6XRlSDcbsDQZWyFLRSpki/2XS
yKlpBVC5K43K/46mslZOVUz/DmgVHcLBfiGsjF3XGjLlbQMmWrBbp8gtybGW/D72zUXsTJdJH3eP
Fcq9O1CDJjKh2qqmjkLEGx32prRtCnVtimV+UBZIIGpR0CFaX8ZwnvrshxP/33jctaD3R0M9R2eX
gz3TTRzhHKPfCX4xRaOB69MMQlZYyF1ZYwz6tDiAST47zFHag1OGVCN1hT3S20w5m++v3wCMz397
Bwgb9BneD2zehZYr/HB4nxJP1IvVx0d3DkHQQuqJ093ANMm6o+GcxBSbUXOV2mkSn/smWiqUAV10
F1e9eArMQdxhmqaq/PW7+pvLEqIic03Kdrz/vn7TP7wpelkRnggnPlYGpV/LZCrez2lNTartlWQx
W1Q+Qwl/aGeMcfPy61fXURDvvxVe3tP/owQX7yUalfLzoRqhBruq4CiUiVbhs+zaoMz4QhKFRA6g
YGA/5YjbTkKX35WD1vQ8Om1jfQBJhDMAfVEfJ8den6CbFsHHtw7s3sNUaf7gP7zhf/8StaTd9eH6
A3IV76/XGMapYWNTPlbRiJssVPPQwWbJsYRLF1HqFsEFAYRz177CfFYPbU+vAp03HYB6lg8lmOR/
eEfvlezoZaiBHFvP9G1E8+++QcMld3qgbsAqhlMORaE3P/S0pJ47Wjww7gx9/J0sq3tz0OOfmpHz
RcUIqLgSki1523WNPoNxZX/9xuy/e2MeUVkemn4PuKX+7n+4tfzRbEBDtMkREhoVKh5XUog24TQx
u9z4qd1Vj6SCBs5J1ZStuxkRTn49Otb4MDhjyEx8nMJn08TDs4FKQV1M/E16ZaQcomJnoXxPYxj3
RaRJaVL3eqrQ5Mk2GJRSmvpyHm6ZPfRv3w+luLTnh2HRXQDSfeYHZlPM6rDrzfe6jntNq5x7awFH
xLDNbzgB/fpyaALxu1sdv4DveIK+geOFaJt+uhyJMFp0wb5xZSeIdglaXarkOkA4yD2jBbIs/OGN
sgKIiJW10DxhWMHbUumwPM6hx9WKbcHpxF3AnzEg4JdcLP45+4WK92t7yLYIG91MMqNLQ9hzDG4K
oTJ8Rr8Z4308tvK4qJJXdy3iN+DqqZE7hAPB2/ph/2ub+QdZnc0qxvf6v3eiP33t+v/znMoYaOpP
0p4/f/KvRrT/m08fmXWRKR3IV91t/qsRDRiInk3AjcRO8p009JfT2PzNs0FQ+4EfeqyoenH6S97j
/4Yr2GPJ8hDFkRYe/ifyHi9434hGMOZzI+u1kB3Nfv9sx8qZiiqLk1NXcsiogwpRRYXa7WzTqtgV
Ts/Kk9O9fegEU6EyRgCXzikJoGI65ok0SCCNBv8gsbs+hkj06bsV4XPKceOKzV+TH4ZQ+/UhsxBw
0SNhzxP31EX0jg5DNkSU7oYzoXsI3AK/bO56uzFU2Eeacj62DBdxxwywW1UsUY8G8UfYYqA1R1dG
29DLKKKmZ9EVEUsLMRYfF/KqIHsVirx5w9z1TjZc4qkW131dISkGwzLte7CD4xbOQvvg0sO54Uco
HaXpE0tbG5c0arJul8CBP0qbQ8YyqWoz0y7+RMTZeM5sUz0BgrAPSnbJPYJ3D3jcoj95AQ1gb5Ue
JaTIsJT4Om89waX3GCeue7DsuYFQxv9Nr0Ocibr9CLLQ1QLz8TZwFMe1ot8apGHuYuo6Yt1Tp3/M
AfXfR7UAg+PYJuEqHi0xTkcDn7gIjGWHgyAkqmWkVm9GsfEQV+14z+iKu57Y4RoVrmWgEo5m+9OQ
580RbfWN7yjrSgzJhzhYkPBaioHhzod6sXXcydlURbw4N2gYRs72FZHMAY0i6HH9EctF/9HpVJZt
yNwVe2OEcu1kyoYh12EaZ4Y+3DC3PfaZ+QLzkwwGPss+j/rnqEKjHk7yI0ogB6qsWX3Ros1rkTT+
Bo9pgoQflojo3V2RxfFD53DS2oHkLm45abV3RUUcBFe5THyyZ2vvQzx03n1uA8ww4FO9RDKyLgru
996NvflGLc3X3rJjDnFq8fZRm8b3y5R113PINpN5nOQCMYPBBcNXCC9C+29EF2H3n3EpVVuXNLRT
QpRMfJ56XAmXOYzr9hUTVfcFtThUxGwUF69s3HMWt/ZjTsT2DjDLcOMie/C2PVb1nolHKW8p9r9M
tLDvjAa7tTWZX52q/OJPE9zPkpBAiBEOHu/UNj/QRhDdrpQqeKFJMjwthqbajVGx94CjYBkth6E8
ms7gZrhMCI9DAT5NXxI8GSbWfaQc+w7k3Uy7mtBurDHW3vU516c6Ugid6lJsc0JUb5oWktl2xux/
GRvrfnLFy9KFL9jDN9K0w730zbI5hl4KK8Xxk1ZejQRPXJm4yj7ROHuiwP1qohLBZ44TYi/hlR1d
6KLBh6RAysKkKt1miWcdY9acB/4GWjF2l2CwS89UkdNpRr4OY8Rzknk7xN1k3XZht8RXQUQPdjvI
5qUkrWd4kEA3eEvdAeJLdD9Cg9zINm9uFa0NKB/4RgYzvMLCktBwXcb2YtFkLo9DJEi5CQaVnXPb
RIKWdthSN7NZu7eda0d7366TU0JY+L5ttCXcZ5AuOPR9Ai6l3E2/nNHIGscYWeNVDswGfJFlHNyI
lk9oqulQ6UD1eC7yzzC9yJgHlnqGvnRwyInc6LHKwOTEIUlC0gFg9pNzBgCU6U0AlYMxB5GCk/06
y21SBIcB2yL8ou0oyvh2GoFMb4dsWZ5aIEwntw/k7Wz2Bq3FXTIUZzSI8a4syMrYpMzB96j6y0PW
nD01f8bF4+1q2VmnGebm3uVPnQsX55wo7DYFZmNAH23JLTR3LnBe/4QuMGClku3FDqX9xGgU442H
vCdxBbm4qlkU3quo9ukQ5PnLog/pxOqCpHIEmFc5fgFCg1QKesBMuRXKg+V6NCqX8a5YYvVtSDjp
oLvz4QbETkG52AxXc9T94YDs2UERwmiUeJC2asscTlGpim1dayZYMXxhY8EM0xfjsVrIVkM6VBsL
QIlpQuBVpv0fjF7sgqGI392AZEKEF4vH2PcCtEolWmjTR/BYBdkVucfAMBaGfgx0NoINdg9QSjFI
NMYjAEaEGgqtZcQU9uRNzgzEOjDPXk+bhB07OHSNad0MoKCRjPvpfraKh0iTH/0u9q+mJgRWFMn0
G9p04LkKLtuGJCVnC3Si2IW21Z7aEBrpJovzdmfOGNEgwEE5t2iB8IjeJk2c3qXQKrc5TcstivBw
5xJMec3MJTpMQ3uey7Il+Gbu3txaztu4bKZ9VhTNTW/bjMQITDjJBTNh2Jen2EWmEwJMGvLp97Ik
mtwUSqApZLtBWXQKZBcfh6mwd2UU3I0ieugh3tzZpQW2Yxjdy8T48SBRTsUqexjMzrhMSXY/c12v
oxnzojSLO7KilsOMKJetkQAbk05A5x3cpSMtm3EI8dzj0G+lM6uPHJ7UZhq4rg/tkMbeNcHoioqe
ZmC9t9g5JZqM2WaMY9qK/iBTJEz6XhUshIpFYbM8lqkZGp8BdMxql8JnWYCKd0iKiIkhlwdJZVHg
vu2FUMfGTR9dX3oZkPmFUqZDpXQ35oLk29qF3k3oZVbjkpHlV1WD/tqQLtp+sMBgJLuGgcsnuxnm
T2Vtztc+MRLnoa26q1YZWPjG0p9x3ah8vAbGNrH0FxXXYEx6qF4m8bwlK2aAEvZVZUEGSG/Irkcz
HGxqdL98CJgFXpdm2e1QgO/BPE4HzgjxW2sNBsoW8AidCtoDia3iYINuZupSsbzmrc0FAg49H3D+
xM/k3jY7PyOhQhJ9TtFR2s4xlYsz7swFFupUDwI+gmcv06Z2Gvssm6FM9j2RYKTBW2oIgUVno3lw
aT5Fm0AluDU7H/XukjM8Uh3DdXpp3TiczESReZHkxsloW/SlJklLKIeI//ggXMPrt3W/tOkBpgZj
oQCE4C6xB2+XE7Pz0tEj5ySYmdklSGT7QPsbsWDoqRQaNY69Dp79gbOed1xEMo+bNqe9jbdC+vT6
8Ch/Kohh2UWwEm/KLCjdTcGX/3mxU+eAJfvK7qMBuTQtTHSwFYirNk+jbVfb45FjPeNFIyXB3cbE
eecojwkrFVBLTwo1xslJHfMTmsJsC+chQsE52KjFGkX6B7dLb0Lh7vvPLN4LhOnOOzPg+h0HaM6D
7Zqg+Km3WiRu0As3ocyT/dTTP9vIwbW2fe8tpLt5SfmharuAeUyeDPveTW6R7cK/nsr+ZqJNe6LD
T5RghRLl0hVyyHGDVsWVo02jIV8ap8mOjnxROeptjoLkS0jN/ZHsW/8cORgmtS/VZ1xCabaLYhGH
tyUenq2l/M99aXefVMTh0YtdB18gYfPW7JonaamFGGNyi19sRiXTFn2HxDDjsw4UVnhbQAf7aoGf
Y9ycilfW0/Q6nQw0b7RzP4+Y6xWm79KPDhx/k2CHG5BWQF8yQqh6+2EQta0Vo0ioaAXtcycNr+BI
DHT6x/G8+OMEyjueHjq8tJhZpnmbuWhia3rmr8C355ZzdO0cRFrDZmlEI/etNZLtXs8MbaK+RfeY
eAdrNP030lzmm4b2413QLs1jM+Gs2LKeZ98YfXdPYWUWn2NhFvEO1Vd4Xas4uk7Jqbs2m6g9+Nyv
Z+JmPIBnPfB/s6lPloZoGFAuaJU7zV5VvqD2R+7mutHAOKJPcpbmsjpMHuIx1DLVaTapxRsGek80
YOyDYcp937QZaV4STktWjncZPbozi8RI1y3hYfHxP3eMx0jRkime9hZ3u0ZPKkeUJBCPqsXJ3fGs
S7piTUqNguOgpYDqiz+S3HOXI3rjCZjy4H0b+3p680okpQztw/l2tKzZPkzSqQ//Pf//vyjRbJfm
zi/P/69AhOGL19WPvp4/f+wvW53wfgvRFHvenxn0dJL+PPwLy/nNp9OH+sviSP7XuR+vnWmhrwe5
6TmO+yNGGCwZYXx0+gW9JxpP4j859/986ifGPqSVt3YdgHSs9ryfWlhLvbSD0Q3epYTttWwrQhgu
yNE0Fmlquy8/XJh/bNivL4Z9CB8ghCWPj/uurxm7s4MyrHcuiaGal1VEpXqG+Xna0xGkEdO8xKbv
vIZjJo//Hy/NRAVWMg4+LurPrbrUyMXc18K5gNvgpckfoB2uJjQEvhasIOugn9mZEpEBLQmarr9+
+Z+b4vqTY5axhBmEASMf8f7lLTsFtJQV9qVAAQ6dyhi/KxtQbKS1frm5xDX769e0fjZs/fmi3Co0
gQWjv/dI5aqpoiFG3ntxWSif2GPsEz0J5iI+Lq/npkcV6KQ2Lz6IQXZXST/0bx7L6VWBtNzetp6O
Z/Bj5PkdUu1ovyyL8+oFFlr+yB1NcR5X1ViKQJcGP3qtZDcXFfKhX3+On7us3z+GhxUChaSLwuH9
QCFgVjDMfmJdxGBwrwyoF8ngogwKwEM+Yaqsz3NOXsyvX/VnHvWfrxryeFDg88LhuxvGM5AezK4U
l0yM9KHXUYpfJd/MbG4vSk+44IGKOw46tKZXOdSvX//fH0xa/wH0QUgP3Dfvn5UxDKucWojGgu7+
p/qBgZ2MvWFEa/PrlxJ/c6PgN+TJQu2KZfW9sy9Sfl+ZjKMu7NXzg9EkaHy+C0IjG/3onDtkDRO2
xtNpIub8rpphXj/fEwtk/MPX/Xcf3DYdVkt2a4qOd4uERYRb2FJhXoa+5SFx0IzVN1ZfmuNmbej/
+rP/3UPC7FA/l/wX4+W7EZ5okMMY9mjhu0czVKmENj2kAxINtPqtxJhDDANqOpSg3OWrGqccQ/CJ
Sg9hGUEv9dnQ+rq4dRm05aZFUk2OSkj0hHInCbg2/latonSxT07XYWKS1vHrD/Fu5rberLhCfdBH
bBUhd+zPq1tWxNEQqFBcItg87YGWqsQQxX2DkgNxoCyNbRFMrHuKiUgZoD1Ct64HRSpsj43Seto0
d4C0LtPCvEVEZvcWSHN++PX7/JtVUJvDEZQ5vFnXfPc2jdkaRmwi4uIuPhdkvcwUeM2L0Lq4tpD/
dGfrHfSHCQ2ib1NPiEHuQ54C8PT+FcsebB/w4O4yNWiOXNSpr1E463/YnAVWv5C0PSRsKFBRxJlj
RnIGxqbwMR007cSuVP9m1yN3utbRmQYPQWo7LJz6nlgvUceugfgzTcKbjhblWSErv2Fs55wsnw+k
Y4W+E8z+mP9v/LX+m22UT/D+Y/FJ+J5t7lyL3DntBf5xDrcEeUhitYovNfNyaNYU9LvMN7IP8HJU
f6xA603bzB/JtLVco+CYMDJCO4QJOJZNwd9tbtVMQ8/KLGJ0y94/MLA1+mPidVgcKhErewNyJlp2
po1rDBn5ZHxsDCKAdqZf1xJAh0rcrRP6SbczLZMnI+smyMwlyBw6jtrIFDTVBfdicg66MrvBWFPf
jRnBW7sAX8mwaawCYwknhA8CHcwfZt6JHSH01MwcTzg7Kc7Tb8ol3+26V0m1S3v272t0YSVnPDtr
7ltTC6nnBAPYxqk72lg+2jtsQ77RPA9VkU07O/L9xzBsYSuTLYAGQFromzalG8uFI2ioiHrsreB3
RN9IRWlD9jnhr0tvbdphcOTJImzLOEWBcG6seEC/0IwRR/4wJGtrFMPWxx8rL8bEFJzk9L5ywXhY
6GjKJG6aex+oodxCMUmiXZAx+KSNy7abc4/AydPnMq2EbcsEdSulASJY0dMiWwXkHfno6ZbOBxIB
Ryvzx4anGUkRP6b8TmuWtTQ2wDIEj4UZg38T5Aze2ZlFIgIQf9VA0+salRiqLc9GU2fMTGUOMTmq
CZm76cz5N07BH+Zh/weSVa8Gs5KQx5lmklZVGZNw5MiDDFOSg2uUnghyPzOsTK+tEctsQB3wu+rr
GqFX211hHI8OFiTQLzBL3M/AcdxN6zXJGzfK/DWGfUj0TxJXO3Pg69kmUV9d4UB2d6Xwxy03Vok4
Hv3EPKPJgWKyCer+zUFgvEXTEjdPhgvI+jxWQUdaVFUVRAP4xPuaEFAREdX+rvSBpEIqUig1wK4z
w0bYA6wHOKfbbDmEGgIyloK/WO6CXITNZyMZPZu3m2eV3KlWlcChTV384J19qPOcK01TsD6bcUAx
xAruvLbBhJK8KyaENXA3i4+z0fGNqQihdakUApgRq0C8CWvWilRxV2K9FmymDhntZNsJv3kJoWgB
uxULX2qa1cbWNGWwm0JkawBWOvcVuTNLdurEl4EGV79dlOe8Ri5k2Zg+JvplLRHPysl9naMlfF5l
AN2S6BQoj4XHYR3yEb7sS5kQYdTyhAb0SG3+eiKeeHOcOOrzdz03Hd9drsr6TMqy9dSarv5DWk3d
94CfAMD4Eb1WJyzjHbpNficmmAucfUrhg5aC31h8orYOAZO7V4nOtNhgX+NPyERkd5C8WGJCl3e1
DsJDv54f6AmzqRMeOcP8Yo2khgtuIpdN1M8YZUd10NGz1JdSc66eum7gl+u7Zd7BdN/Gcnlf01UH
k+/iKWlXBW+O0oRMAy1mjWMsKcPCNzI6VIZKy5BGsYR7y8rUw6odtotM+zAstucedj9aNapHQl7d
VxjdfCgeSV4ph9z/ltbcDJn+1SgVgv2YKf3JzEf3dTWkwnDo3ppCi9/DuH3BS0n1O6edelgLhQVA
Ouj9rPBeVyrOKsaXLW8G5lH2BrvD51r4tn0CwGbeYZwzEO5GYIJkkdc33EZ8d5Z+t1XdsvF02q2i
dTBmZlKE14Q37l2RI/AftFlF5ZYh9xH81lev01LnscbdcWo7bU4Z+Rl8DPWEjqA1JAqCtcAZdKmS
04h9+374sXXpQ7MEKQGJvGRTOEbeZqSbexgnJlcFN0npOq+Jb6M2YdvhDTYWBEFEKdWUkbAlot8J
/+TFq/UREsDc58M4S10GsfP0OzldAmcCohJiuOEEEVDc8a9hLNiASRNjbav1UYXAyfRKKK1C1z4D
j2/6jsBO/8THqc/2aHgPdNnpKBtJwbsdh1QeEaKIu17fnnTRxJ1JXAJ2Jiwjcp+NlKtOkNF2aSb8
sscS4whVmldx1zKbCOx9wH9IgtQSm97JuWar5mYeU/8py0E7oGfEfvHdJ1EkKOXxLnNN56bk86+L
QF7YKN8YsSGvhkd24ynXpuXPE9Z4+uXLCQUdfWfKsV40L8BrMTDHfKuU+y1DbptvlRQ+1L9s5FyH
iRI0rDDHGAkWp1nF3qsMep5XsygBVaYLRp/Y5YmXsuOdrHciCZeiO6+uCkT1LBi0vFl8iHmJu/tw
jqzpFNT6C8pah6XJghZ7RCnLqL5f5hADyGJ0+8WDWLGxAsaIuKjj8pEcZ/fVzjLxZBkBZ4Aw4xji
zIF4mnDWghywdLAq6zwjVZWGzYsXNzzorUD7t35CdiJq5E63YGUtCUTTB95lMpqXRVu0YFKgp2Lp
htDNkfZpoNv9RKYJXwvTgPl+CSa+p7ViXLdNRaNu2jWFgR0iSPjsC2EON5VF9AJi4nInh4GTjL5q
shnncJdNolh2Ur+dxONT0CV2XpuBqcm2SmIyUPOKx2pRNsZ7iNaHoSsItHQhYr21OE7TreVoe17S
SWYJCbc8OEHt5knSyLOhC/vtUaWkSO9dsNDuwyxBZWwrQIELfmLTfWX+wcrCnw6fV2lQUQwYQ4iE
rPegTKfiuhw9froYEqt9JJJ84hbRVrjtojcXoi712jdbZIugwGeRpxSB375fnJ7zCkyx+rxegO9r
kT64j5nFuqAXVlzW7DjrvRvF2mEz9/R7Zz9VvxMwGl3W+9NhhHuV0Qi4Aj3k5Lf+EHCLoFGUR8dl
0JHESgKhW28I+BrBt8Yf83FbylEejaxCtKXhglgAEZ7pu8Kbc+0mINICExsaL9FWmJFc3W1gWJHW
W3zfAlaMW7ESMecytn5r0YSQLiQK/Ll8IGMquftS6RaMjyb+P0UhJMFvWOJOOHwEbjnx5CZkSyIv
j3myfLTGD5aP3/KAjWm+H7IaX5Odig94Q5cLJ3VuahOb/7DttRdmXQGdvMfYTswmFxtBiN6+wfyh
V/EnHhu9AVUbFdtq2jZjz6JQx2ghDq0RIIOtBv1us6HXXpRW8bpxozAIKe0/bDiqPYezovBzYz43
rHVmjhOmFmOXOXLGykcttDyOIkjnY0+EUfJBaLjpCcGhuJNMtWIOjT2vEKc1d7spUDNjHxooQmIj
R0mnoYsVEBI+L2OkewfR4OMQzOUHSHpwnyIDg1rWMY9voc1KVna8iNm32Aa+6luQXG082TmAdJsH
GBLWAxw8diSVTsu2p+UZUqEo7znPcAG5acMXWrvTMgPvyeyDWQWMwOMWTnYyzuUJhF52azudEFt2
zfLEyX4+VgKvHDkoTXUb1aRkhHNBveBpKyYaJO4wBtQ9g+u5683rVi/+11kU04gMk4SaanBqTjAF
gEOjtrQa0OerI9x1Mh7jzOLrkWXDPxmqcpFsF+EfHcBpA5GH6BPEkzB2UCLsSl3StQnWrTzGQLba
CweYGUwjuAvyglV2skMe1TBp8eaZkreHLolmk1VTH5CTxTud180kSli3F3TW+deaGpPdJWxw8ug9
XEBYfI4CbcFcD4YxRr/muigyLSTtWdNqb/Yj2ByzPK7GtVS7xRga4zudsS8K/BpvBFwGO88mWJkz
GN9r5Vnsn4R7c7eWMavV4qXW0yrkXdfNMMtZHLUemPFMxTNR6HqziTDvIjRH6BshBXpCc9K8rLbe
umfdky2PUK/dfGlkEDpag+iJ9cq8LFB5tpztkqPlggFxRs/szvjVeOJ6TZh18za8Mb5XGC09EoOd
ucyrwDn5/mL6Jw5sc3/sON8wQR7kVd13w6FwLCvgrIIk08wX8RQE+GT5xKxK9Hm4JH5msG1EESav
q9VL5o3Ke0roWO+WVgtcXSwEctF2qO8lM+O3b15sMXcLcTkfCDfzg72neuvAKydPiRzmj3B5lpvE
UenHZgAS1PGEsDpz2lng7luDT+Z3aYKOcBrjXhpePW8pp6tgb0sypKzYNf4YGtt9Q+awfC2oKr/V
xdxRbk9IQKirQOQ0nXkjKMqIDAimz9CvPTyTsE/B37ZVRgpxPbfXrj0z0vfRUcSZl35CDhA/knwF
1GgosT/knWteEaut7kK7iT4mhp//UUOpkju3wstGpVyFqJUqgxMrNt4JSnxvkuAB+937rtz+r8Lz
nxSeLh7DHxpZ/wZG/1tx5/cf+kvc6f5maWgijWK6TXqU86/5TgCFzUd4Qi8EFJvOk/nXkMcOYROg
jmFNsj2GLyY96L/EnQAIGArh6qf/bK0Agv+EMiDeC7cJAKRbpOdMvAuGIO8aRsGI0YnxpzgGgaow
1I11sJXaZLdUqr1JJ3sPK/SLqtBegs7BlGcODcGo2qiHd2G4s2tCB0Jt43P9SESowtzgPtE2P6kN
f3WFfW9Dm/XURv1ThP8r0JzfV9NuGHHuJOrZjxixqmdLN0WbUtdyI4eVNzeq0ITqAsxRtOUqE4Da
dtZHMbsBobXB4oCv26uNr/nszx9JNivnrwDlQz+7Tjtnuktqfy9LyDzxnJ2RdzXkn4xRRVXqxD3I
XmNw7obeEoLshtp4MhwX8jUs13HfBCx4PoFNm65MW2dH2TDfCTmTv5wnAWKmAt5w148Bl6W2rKOY
pxjkHG0fWHAthjzLrvdRMME3Ey3xZlGX/+6US3WOJ9YpN1icnYu3/7PMOjjeInJ2BlBNqjp7el7P
ojR6YDA7HU5qMi6be0BOpo8iiqO8OY/GS98VmEm6ef6YmF0C+ISz56ZF2eY/M6RhJO6TTY2VWi4U
pnMW0fiNQs1DIMOrtz60qc2ox0CD9STbgMywxtHIAZoXL05MB9MLqZ7mydZXmVCeeIOXWjyFucsy
v56aydzkJFQ0uivQg5lEe8tY/a6zbTZhv++ohWykdBDO3ZHjeJCwFlPstuw/U0XT8/u5Y/1lQYdq
2UaNR1nUDmvJl5T8DIK5HFufdhKj/6EAo0MLesEJ2Bpc3c7oR4fKqUDVKHbrJhnUOQ2BqqeOZhyE
HU4G2vm0Ngssofsb5TCmVxOxdqS/9yHHA+23bWZskVcOAjrSKOdu4VSlWwiqZCci4pKtP3MWPtAK
i7JaPXjv84VqxAh03T6Jlt4+ozCubjlGzQusM0qCOBopHV1F3NEuQLPv7AK/9qy7aNS+7a6PzPjU
N6Mu4GpO2OvBD4IO//7ncaBuOUUXWcZJCcjN2CELXEEOTlDpisPTH54eEIUXLgeuoJxmfmfdE1dn
+TyvRx9wOJy3BoPDOi5YIp4s8z5IR+9mfUXP18Myzsv2CZsd92Y7WlzfbMLSP8mcutl2XOzxzmSN
y5WUwnk1gQHiHNW9AM+kP0+9QJ+LAQf9lTRzncvqe8/tFugj7qb/Ye9MtuM2tij7K/UD0AIC/TSB
7JnsSVGaYFGUiL7v8fW1IyW7RNqWnmvsN/FbtigQmUDEjXvP2adp16R8U5zUQtIxQj2TzQF5wMOi
ZX00JELucZG/pZMtfbjLZiMuPMak/LJmZfGUKQAxL90G3TSCmpaKu7XgFXhpPtTLHan3FI1lJr/S
720njvFqe9nNruR/0YifyYVqL91Z+j++QxoU2YJLy3M5n2PPtxG3g8mQPSYjVzVU4VjVXpdFghsS
S5HPlCZoW7PvO/kWiivVoa3lU+9FVTphyEi70e9cscAYtMZbsMfT9UDm0CedJ033VMRWDs9pkRP4
ZrjI8RzkIpXpEPsuFHrOrcDY0udFSCuxaW0JoQqOicvhgALHipCC2RqNprljm2/a6hN8ljbY2ImY
YKG5+jYZnXyzIAlA7BZKJ2nXviQKSGAgVNSOmZtNd46l5J4tGh5s0YwNN8MHcAHQV+Hu8pQIrqU0
MR5y9kHzZ7oFtR4f2UDmrmvau5HJ/UuNyFxfa0VJQUndSwUtaLnuw1DOwQr5+c5TFDw2iO8urB4s
OBfMx6tRM4013XAR4jrWR+JDQWCDmjaqPfWPvi0zJ4rA3jKykEeC24zWFIivNEODZ6eReKDXZW+U
sZm/GXauH4Kmi3fJ4GhfM9NeHp2QCfAG4mZygRE9/qZD47rvTXPeY82COphkgVfGygMlf/MYCaMl
PDLtSsBrYCZmCvOVAFVyoU3FyL+bio3q5PO6IGTnG1OUlDcArOaRBGBb+ofsGdnmEuifoAS2x25k
aOG5OBD3/dKkp9xEyk47FlwYzEfBbIWjwoUZ1peNhZjQNN2IiHqnAUw+0VY+wAlwLqHy32JhF9Ma
V5XeeKkztBpNB1bzm0VKltEHbjspYl7OcmYpbB6lxDmVYudiaFhNkD8XZyW0VhRPOqUgAq2zUprW
l35RpYUqHgLGXI9jlDV3hBRcR+ZQY8TkGDmGLUFqkGfvCjRMKyh8nXNVS602eqhqjRtbfQrFOB0N
JN2L1Hb3UuWNW6MEfj8WpQzKrLJqNzQT/UJ93DE+ooWIYrxtiQJG/R6R8ygF5YQJgfgM6k69aaOy
pNVpq+tMitCJ/WkmDosdDm1ykwrVj4Jo/ByANM887axkV8+qdowLKNwVzcjAB9Wl50xqdw8LyPkU
C1dt2QoRyPdSKp+rSrWnj89TDWfl88T2foQx2l92UmnfOPWpape5w1c+VRYw1qC7IAYr8QfDFXez
qxjHmXbZTapZ3esAp/LzfNb2T2edf3zW/HfNku5D+kNAJJonhlPBDWfTwE+lXYBScLoYOo08o5aS
xraAKLa6ctU0nbWGWIHnAGf+t6wb6bouMR4ZcxY3uLmHT0SGBH7IwOyaE6R5NfUjNLz07GxgqFld
EuuQnoCCiAKtt6rcGDhEfNvoxzUfF5EXhjUdqjYvPsc9CmOzrB6CvlIPqdo8dtJogRfalFkpnzQR
7hPsDhfKbBpP4xji0LBTZl9a0GrE40TRsQ2N8Ep3yv7U2w2ZIGOH205wsFe1nlWzrCbjYow6gztE
yygiOtd+WIm+Y/NTaPBIQwBeknx0SnkC/Rgkhr0KMwsriCgN+mBd6luERiOsx5jSCrJaosly2Slc
ZoyhUVsrFI+4Wdyzs0WISr9xQsMCEdJ0d2VjwN5uiqHkfhDQpcuEfx2rDDGI5orT3YOlYqMpAMli
wsZaExazuUEBnd9xXMR5k0gTjiiIPUCwnbTrSp2UVd9ZZr2a2yi6zifSS3AHzPeqNPbM0uKDoJ0F
CqjsiRVoANYAGNLvcvdG71TsQUXP5LMTRnXU86WGcYC8z5ulqag/+4siaTXqpekoji3VbwJrT3oE
nv80nB8gLGFTMvP+MeqjpwTAowfPBKxuOA3hw1C59cpup44dt9UPlvQ/TfgtVoYbodDvLb6Hrkmw
SuW56i6eg4IJ7aV0Uw1nY1UlPVbG2W6VRUxvazvPttUIpLFyufEBtuldkJT2pp3qIFmzHY47B7KX
D2cQIDAzH3VqNOyUVsEoJ4kMf5nD9lgamCsYBaMFnqS+kMkTUkN+ZjrZZwGizXrzNZGqROesTzxL
FSOpWqxs+qNu46JkPGsapboxkzrH5Sx5JGXWWsdSB5kQvoFZw+lPY6UJP5jxQZF4R/CQ1FBicBwu
mYlU+gP7W3rqiowsBi9HXnqddMRjtqlZ3vb5FFq3mQvuBUuZ26xIT6MsoBn7JdWEGm5ceo+8QCq1
YGppKZix6Y5oy+kC11a7ZjTrokltneCmpQw4CbpXrLyzHhL/OIAgXvSEGstwP4VIXW+XYAQlm4fR
pk77GcuPaV7WBT4Zgl9rxe9Lsz/oZdYdJ60mYRCB3bVmdu19NOaHeqyPlbNMfu2K+ipvy/bFYrXc
Ig5rDtpgBsxInUcKtXFjo6cf7Ma4SYY5I4t4YLqySSZseAdw26O2id0FNCPwiCrxyqwok1UurOW2
19Xqy5TmNC1Y8jJmBKCBkDXQnznn4qR9o+Qvs4zLUVyCcxTMEfE6rGKz/+J01X3VzwUBO833uJ1c
YXHb4yzZkuFi35bk8lTnhJ7inNajF+pzN7rVaTIp5GKHZ2GP6x6V9JLMpI2nSWTfugJlyMcYPovb
jKsmLYLrsgLdIsPwmCR4ZjV+ZJxZeobeOKF9HYqqvmb323ffITA/neT/RkvxVpJingWWZI8xYrCQ
UhqWVFr85GgO3bGfRSg7ck1DM07nJGrGkbhfmLJ/dRvtd8gA860iRV5Q0gNNQYCaalAqvJM3ZRGt
LVNty10BQ/KiiyiKWxbm51Tp0M+Jsn+JMtUwLsPB6fV904B4mD0sl1F+SswEBNHZLW3VBQNPuu80
SRWk5odGMMHBgYCqMS0pAI2lCCjbcqv9qkKKcTnQkx5wJyzJ5CPcBcE3ZqNPXcVYpzSHsbtrUeO3
GwanMFi8wsKb/pmwAtirgTNxsAsDRlmxHsquPivGfW7riAKyuf3KI1O8Yh4s7nQ3pKLv6pY/f1Zz
qkCuJmJEJ1uRa6fKAUvDWseEqW/J0uTgsHXk+GvmDzZXBuAua8vs2JrWreYAfpNn4XND8Ndfuux2
vAFHEKmLqpZxHgkSNGfefekpFTJkarUEUSDPy6BqOBv0Gv21/a8v9FanI79sLgTwjTLAABDx/uly
Gk5wWLfK3XlcSHOCqV1X1Hw/ZFJJDJecKYVQBCwm6Ygs/u3VpZ6PUDwEVy60yncSxkqZNRtzQglG
oBL31jg6foxq6FYrsmZXguNHc9vZHAK+T1p+fXHtrahQ3ruDLRnFq9Bs0Arv731MTMxiQQOUXas4
FMJwY4JspzXD7KTl2Gxokth2HtJ3ofS4q03Rc/ArQjvbhcak3Z9/of/am79pb8JDlaLGfzawX55R
qv5zWnbPP0vYf/zgjxanS0cSeirHE9TTNlpmmpV/SNhV4wOZMQ4QX9Ox+QcP2s86dhRR/GdkYCY+
9j9bnIb5ASW0SqYEkkhdgAr5Nzp2w+b6P73UKDhtllR09DZtHgf56LuFlXD3qmXAIi4WlXCsZYvv
Z+4C6SbEUtyelM6AlZjbGSnzDsj9FZTX5ZNCghMFbazt2qFSLgLas8xRlBydFOcOGwHGqQyLXdTo
/cGpR5okmWsdSwzCd/jBKkk9VY5dTLRkZeTW3QA06yHBfFdAQmVWq1V1Sa5XUntWC6ifv0/bCJSk
xcodAg71tYt3nZ9ZYYnckSeBUitvDoxXmDTXwc2II21qSybSmroy8krb1W2lY8F2Us/OrINmBD5Q
TdePwvprb2pERSQVTuKhSTxitOZTgEkZW5LqT4PKPJAebp21yho2kLYBo0guV1kjcwrFVinM4qM7
D8m6rWRcMT66bGquiC4w1uBGOuQ9HTBPGz42YG+ma7nF9XOcZHxSht8VjrubaWXe2mFUourSFiig
ggzscoYQWlXYsbrkqpldFY1cuqzpyZCeC9VgZaiVvo5wLQEoRTUGRnqiPZ21B3Bip0jD4g9Y6dZV
c+nXt7du3pPDN6YkZWBTpAOE6RxtgS8CFZBIonlmND+a3UBcbidvoko7v+sZ62dzH3qNqVjrzOm/
5K3r69OUHyqOBceqiWePeeX63IWIyXU2l7ogUgEeWAwxgdaXtXMDFykiSV5OKhhELYHyOOsQ8mCi
mesWQugKnfq0EUborshfn/cCDM+9Tbr0nt1s8G17rCm5Nfz/7Ph+O6mGX7Bq0ysOt1Nv0dxlULF2
teRzNVXGkRHznrZ67gkTVnnfUi3pULmw1tnUlnC3skxZp0l9X7bWozMtBJmMnLoGy9goBVw2TV2i
rV3lz4uZfE7qDhw86zHo1rFYq26iHGrhfjPAjvrd4Jq+1HYQeoExmUfCacIbt0zKDaOz2YPehVs8
xPnokBRgtITV4c3f1yLRPs8GwXdp0x4nJf2yzFhm8SJRyDM53pkF1M8F9PxKwVjmwRWvfTusjF20
YEY1UGd44DdrH1fmk9J2OVX+FPicOgYcfHO91Ry+wVJ3sfqR874J9OShEVZ4KtQo3+jOl9Bt1cMU
0p6hi6jcZxwmWg9SPs38LI5vcxJrvKK1VLh50bytYre5l9Gavma76e2CO9dv2+VElnm2cZJ0XBMz
Z20WyF2YblV7XUwaaYZCUa/pBCy4bkHlo4CMvB7Dmh8RPbki7tvaa3DYvDh0cBBz1O7MgbmBova+
AlX2AW81n6IT6L6Az+dZVJx0j8AXqGaJANtM1Ic5MNRVp2h4mWl3kqpT4bHuF/QBS1rcpYo+XwdV
rx40eH4mulUrAsCrYDjEnT0SF55bXk/ndK3PRBfwq/YXtlLo/EHloihJvyhT6xJ64Rc6wpGXFE62
Z4aA+tkZFN9e+DyrpTUZSWfJisbKK1WX409A5g/VgLMvsbo71Yn3QJ2sg7PY6LYb89YKGHCOzIfW
kYtlbxkzyzcMMlBE7b70XYY2ixm61l9naIAJrY61LVrab7mxzJusWY7AHRk7ycwUu9iSryABe0Wx
sUOlQVTSVv4cwLFBZuYwVoqf6zJE/+gsd22JqgDpSUifmNys0cFcjH1iRgxVCpIPah6p0GpOs7A3
fS6e3Ro/sUMIJa7d1rwLRBR6uU0rdlZWKq/adjLqbwOSzpW9zMGl2ST6Vs007RA4GQesDH10KoV/
c5dWqDRzZxfReyoz8dmy2gtiNpI9eX2PztgyUI6xwmazbu17QhnvXXf4mAUNKqXK/mZFRB8OQdx5
Y0hmr9YfbaNrLitHYABq8pWJkhswMX0QtbnOoqBA4IunL6jr16bpVT8myGdlLn25Nch48GkjESmB
I/5izsZmS+cKsRJRILsMu3Cr4xOdHfd+NuYdZ0HtuFhJvxnEXG86Bxvi5HDFQmIFSK2/bok2SjQ2
oUkJwEWMLu8z6UsbjKy4onPzTuKcfWSb8XGu233Y1JRtgw77vusFPW+2F3Ac1qcsnZ7GoO939mx/
LXuB2z/Mok0vunE7FSSCwD2GDoh74gon/7Ua2gzKqdL5xcdTVbeB15lk1+fBbYmpYj0SNzDVMbNK
y8iIKlU+9m5FWowyfdXjigqaNt/eGRakfXHcrOcgsHasv/EhGoxxGyqscqMDmLpvnHzlIIHbxotu
bkJ71Dec6dFp4t/ZhnbycRxic78ozv3ctcc25eheKeGrrlT2AekJNlc7Y2JTWdrGLNEZaAwQDg4g
AGzV7OQLq+qG1m/pj8686MWXDLBT92DEHRNBnlmldovdNCJ2rchjqp1yfOwAjdm8irXVJkhUePpy
5yowG3eEQh2B6uUlK5PcbPVdLcp4YOhfkeX7oPcA0FA1z4wQnHBttmj14HPifR0JsSmQLt7qRk4T
8hOOhWIpDg3WFdv1ktLB+kJMVBYjllwRMw/A5r/Ut2//iz+UsMtfqwduo/Lrt/+zb7Pn4uub8vr7
D/6hINA+0HsSFNecF8X3GvpHeW1rHxzX4AjHtkSIGA2FP4pr8YGf4GRpQWP7wY36oR8w+Otoo3Bk
ZyRk/pvCGo/km8JaChocB0MW2yxFNvX6u8K6bsK+yV233CmEihBPHpUEMomOLhGBxKSNmk9jPgyn
TKnAkvbVU8YMba+O9iXNjIxYMiJb/Yp4L/I78oL9QH00GYzCFM/qZFManEoXwuD2DXBSz5gVewPq
DA0XQ7IqG1ImN9p1Mo3NM3qxkzWSGqKMMLKrwO/A84FmlkyAoXdWgwRvqH18yfpuebVdUYSjm0bw
58CGMMW4itUFE796bWkt22MzPpfTCKskZfUw5hSRVvzaZknq5/Tt1+BfL2192o6Id4DFF69uWpxG
bbgFfQGbIu43QLVP/bxcAz3CJSARI4kCmDl+nquu9Mt6eTFJQckG7aW0rad6bplhUkg1eaR/DGoJ
a3DAUqoMBks8p7gNHFRW+hORts82wM0Ncp9blTan/AS6vJdBS9lrUkkkOsX0BqsPeWg5pXAvl9Jh
HO5DfbyVIX2eQ5m0bzL3ZQxI5CXnFV38fCT8vNwvUiqujC0fjKp6homhIwJBPaXTvUW80lgZT5Ge
HiDaoBNLnsvFJM1Yl70Co10b3BBUEPz187WR8V3Nerep3apeUWAcqOqYWncRm4tgUihKPigRAZdg
betW4BejdYwAy+ulr6Kr4hkZo/wso/y51+YR6gMQ3o4jgyevVRn8AaVersdWve7EuEWlfdQcSkpl
UHEwlIo3pNGrjgN0bWrxKU2nI9Qbc+eUHCuSmDukZf2IgBYTQ2dl7KG6guCKCw30Jv3INZYL9KZw
AZbHxkAOCZT8Hn6CP83FiCy46UDbxs/FgF8O6sSLUy7HQYSSZ9TEl2ltP8WT+sWp9St3jEE80IWd
RbcDvoEfYBrul9rcMQ/n/NHou5AVf6WoDoV0N3TAXpcjQmagESPfJwdl/eDaPAm4jwi/E7m+Ql32
WITai0vcGZkODWJZmr3YZe7rpr83puw1x9vjqRYSSVre9zrOnxVO6oqspRJZiKVEnqbFZFPJz10r
LDLrjKcSZdoGxONlZRo2+Tr8HPdJfgKlx6hbTyCcZ3JveBwVbbqEUlV9TtDJezazaZ8IpeFGx1Pg
Z1MYkG1FwNjsdsOutufhUNNHBB5nOftpUJQrSu5szdYEAUOp5o0aZcMhx5LiCSXTX+AzfJ6HxrrQ
HECbPDWl1OCgvKkS381r3bfTZXwO7LKhzsArZm0Toy4e6RY/5hMZg/5itFiTcrK3mEdfomT/3Ojz
4KVTxgHEmj0IIX7VzTQ7jQkASWNZRG3FIKUOWIuSlWWDEVOi66I0KDUU47FUmKcC7CY4qsdaU8zN
S1EIVN5KEq0zyG6OPUM6W1xrk8d575NnFVxzCupWqDxlg1u8lFpZATrNObwPqmdNAn6LTZQQvwXt
xYXHkKk4Z3Gk5Ff0JfvtJDW4KGCebMW67EU97oOheWUKfjSs9PBTT+d/aHRjghTI5Qm6ETIL9D3e
L04so08QUuyMAZ8UFOFONnYvY7M+LYFmrX59tfddbnk1lw1Np8FqaNgw2VN+aqu7BsNrayZ0N+RV
9wstPQhGNSuLiK7fXOl9i5UrgclxbC6mCokWeHul0bYnPQkq5o5d+uwGrIZyOSZpnAN9u2rLPf9P
3fz67t62muSOyDVlzDVcODKP7XeN1VAvmMS1QbGbIbpQhg335cSLrQDgGRXk6vJ+yUo5Ni2r268v
/RcE6/naLiMCyawFQvKud02jdGSY4hS7Nm90PyG+jox3Cz9Aqx6TMkl3qju9jO00bNJxGA4JtDa/
cTkOIr54ifBKhsVy7JkuMMcydy7ZPV7SN2vhjMfRYvmG6iv9cjyrZXJiKEsUw3DLnOlRNSPwohNy
OidTvKks3a3J1PlTiHHfwxwx+7++0795hHS0kXj+LU01hXj3xYosxjcjDJpvot0YpXrNrJPQEnIO
f3Odv2gj+TbpF8rSip7fX9zv7qg5E/+RZ9XF3IXe7nom8GyNxQYAJqn2PgDZUxdq+Q0jy2u7U/Mb
DjYxYP3wtR5Yl2WpkgBmwm04HUOlJcJn7O8V17rUm2EbOSz3ZhUzQgkjBmeTmJ5CU8zbnMkWYOY5
huPWtLdFOj1ODdt+L2LjQE8x5wiEDQL3xCu56pwMcRchXnPK7aQkr0F5lsUwsAGANVX6DrLyjlCI
GCbYcg5QOnJAzjzRL9f2XAO8EvzdrqN8boArejZyxt98kPKp/3mqIp9M3JWuzXnbphP87gtbiE2r
DRJbdowjz+XExMpmVsICQq7vfv2l0cD+y7VMlX2Kg4tN4I387z+tL42Y0a0YcwFqf7gFmHfIy98t
mO9M1ue33IZSYmCw1oQr3mtm4wgJEY41gsPdodq08QQSM1he5ErPSXLedk1wSIWxcxVxOQZutLaL
7EAQ7EfQSl8c4oRXgk4sR89E3w0Jm3jksjrhtj9pWviKikxf20Gc7jLdwkPCIXjVq0t7kcXWmj7y
gwNCamVxztujYcdDYVK3aJre4Xaoq41oRLTS3Vps+wlFqyriVxN3/wqz0mmY0kNqhrPnWAkFKhSw
ydQqryjoGw1qd1sWIlrT/f6NLd34mzeW7wIMsso6DLRGvP1SgMV2UznnxU7LOCgM+Pe8uAMUJggg
OMEQ7KSZJ6ER61zmplV5Qduoq0XLrxA4PjpBSmKFVfSbMYBY1kFW98HsPzFd13100owdB+tSggC9
PjAvI1J50NeyElVAqOGgzY+Ypl6WVl3FdnwHeZqqquaGG2XappH6OFOIgWOMqq2ejVu3Gm9D0+pX
CQ1FzvYsfK01jCsUQQk0vMzdCnN5dKtm+H5M/kfv/t+8JOwZ8n8QfDi9vfuMxrBmAjEOxW4kMYAS
B2z2yK9j4IgPqvA334j2lyEc76TDLsyyRqoayMZ372Rt6LMujL7YNQIVsoZW0segcgjYqVyN72cp
eSSxnJDWLFimYII9xWFGPgEFYF8iUikLt/Ji+pJr11oITsyIuy1m50ubahcEI17hxAaW7lLtT0Wp
+3rVvuCGvJ2y+ZjbcjPmMQv19DkYZZU6Ci9Z1BMSYD+ZSuFRrq5RZzibjq/0fLxcjEkH6scfBKl2
INSXn6jGAUdL362ypYv2E8rL8yEItzg9l46EuKIf7+OOg6SThpBRa4565jLeN11IuoXhQiIe7tE4
XxO2dNB1qjXN7n2cTzOdYNq0Of8mGOQDWfXDRjOQs8rXqJ3My9Ie761QHiBMLGqOBZQxq6mW1CA5
TYTD+kRgtutGMZ/qBJ85uuT6wjWnl6br/LHnA6blcmJqjmFyohQ3MuMJNzFZXIbl6aW5I6TvoAzJ
YcnretWQF7TquuzAoXibB+wsiDN5MHk7rLE7ZZr5OWrH4pBqJhG6g6+LZvbkwWhCs7Ed6wYiBZV9
1hlPgoHGb/Zj629eb2od9IuqyfBfl1Tsn9dcGptJjXYj32HveaFHf9uq7HsDx6zA5LWW9df5qF12
rrbpXCq98ztfRN1mHtsRBAM/Vue6n3ZFsnYZWzlDo9t+1oVEQwmnWLtTP+8yDZjhEKe0yEMjXtcQ
iF8ANLgnUlQifwnZFwnjxOsp0ReLrV8KhTUm6ebHQafcUhu98ghy7r0p7FATO1TWIQfDajpGOh13
EL3j3k76+47QN+RphH4wr6Pfnp2Gvr81TCnHz1AgxE2q+/W4HAE04BbPsZFpQEchUrzgrq42TdXd
2pwOmNtZeM05P2Vdf6/jb5DVPI7AH/vrfwPs3w2wAT9Rs/3zAPv6W1G0czY8vwOwwxKQP/hHh834
YLGLa+BSOAdJk86fA2xH/WACQdNQKQjr3DL7ucfGv7KIm0OBLk8anAX+8Oi4HyjBOU1pJIUi8qBA
+BceHXE+E72pn2zDkDJvFaSLpv0F6kK5iWm/Uhmb2XJpQlwWa76ZjTzhwcSJnh0PnSm42yaHhWvV
7kq0TbMn3VhTN0sNQdtDOsRZvW67zKS9YTK9bFkRqf9f8K4GV6NlsSzPnEFpX+E/XXLHJIVeQfWW
aDMyPytjsqnoyI3WjEPYMMn7JiQKDeCyxTZbPpKg1xzmpI4uNUQna1tZlodAKCR7SbLbunHVKlnD
ZanvSJycip1KscK8bVLt5yXRrYLJAkNR/HO6Rbuncum19Yz8+qhAiLzE3xRKo5dxUeLTxM88mXOZ
9L6ruAbYgSxIWLhbdkr0JqhtezMkckgZzWuyV7LjoLtAF8uoOw1jy+g9SHCcqMQMr8pumNb4x5nn
YOEYPJMPxZvIc4ZabOFwyREQrtwqUIlfNPUHp+Fj1jDicQmIKIcCa8W6sMkyEaIO18Llkwcdqh3G
xc2vO0W3NpRq+Y26ZOV10jvNVUSmnkBgmBYHjMeg3p0l8NIxsjfUmSo0XCc/QZYM1fVsw4FGBEcI
vFcgi9Nsu7voS+OpNcPuTmvbwtk6TeBmvsDKgM6wd9Jt0fT6I8BpsUkglm4J20smb1iC4EScTOzP
ukrXtSyWk2kO7a1tlU6ytqzAPNA5VV9biqy1kWu39nCdQ6r329Got0aoYh/uMWYzYdNlek3/SZur
8IHYv+lqaBPTc3NrrbRO55l5qjCn6PKtXkzZgeyd4ILRTHFjqp1xSg3xMR4N8K+lmvqz1c+bog6D
u7k367WlsH+Mao5hQkPImybJLfxWxNxKa/vBZIz70Cq3aaI769xgYobyufSDpcxxnw1lsEvcwNwQ
H5C+gvt/0QJXoYNMRugq6jLtloccVv401fuWsnJFTCJWBlT9fkoRxFzZvCl52jz67McS4Osqd2oL
Ynz7tBCRu1pQqW0iAbMazAW/ZQvhKOzpTWm9FtPGjZQnw7bDfZVF9a2JKvQ0g5k52OQG+gmogXWj
TQNJfw1prUPNc8NjS+ltIY6u5ogOEPW3n6hGkHrQNMy1o+FKnsfOXA1hbJTh1jJyLHoPTpBN8aZ1
tZHRpaktBt2uZIzCyLkdEVFTp8yK6/R3QqTmeGcy3zaNlUnim/aILT5MsBgk8dFqVPuGPMAg+jgZ
C5TgHhE0fmK3xEGUkeLJ9Yf40nVm8RHraamuskRrBq9h7tisDa2kpplcvUj2YynTUbNySbgbMFgG
6B6Cvoa7IY6N8a5L495ExRYqiX6JiHpIPqUpovkC8PIZyxyZnFDnynIXf2gluZnHLAw/5RqVJq1U
Leb7Ucqcx5POr7qe5kULI4BakgTtjLMdEgJQOA6kJL1LQ3oujvEJkfXYvdipq6XWJz4jtx8wNQCI
irtCJ3SvCNJO5x9WkO5x1JsK8Qtq3wX3RdrTHFRrxHqe6BoR8GJp0/q8/fy3U/9mp6ZqFRx4/nmn
fuieo59nYD9+4McOjQH2g2pC6IS4yMYKKe7PHZop1wcVCZkLARIll2oAifxpCoZxRTtPxv7Ymm3w
qbhqUavR63T+5QjsfNL/aWfGLsvOL8mT1L1IkvR3/T74V3FUzs58cknpXVLPGat53uTWSHB1boCq
mSYchAA5qmNrGu1XbZ4BnMSUgmdPfiNRA6IqObeQ8bY+Z11H82xeo+hqVX2FsTwOHJqyo9pjxspz
C+fVrWLPJP95vTswHXyIgsmFKo6kgd51OA7SgJoFypWbG0N+KJukacG5EW/pvOqVTcLQbqSHOA37
0Gb1CvaBTdOIEYNTD3d4MFTjTilKWzBkiQSZismIJoPP0tCvHLAmnspliRKtVIusFRHKUhwbzW2T
G5h+xiy+DPI82tZQNXRv5C27L3IR3S9dqe+4KeYDjPS+kHAQ3zugLghbzqPkZirNyw4S0B5+All9
ZdA/u5qKIbMlqRYAITBkS0Wp4ZZo3JHATIstikMSMp5HrrKk4yQYlxBReRT2khea1LJMl1GYDsoe
vYoMqU2VcL5D99ovqk/odRJuAqOCur4FLB/BNgnUsqt3mhoGGnLzPB1AbN5amRo3pwqlHREz0OEE
fZv9fyvC/zIdx9cu36Z/XhE+xu1LWbTxW3jy95/6sSw41oczgpUl4U956Y/RuCs+AIuwwNWSp8QR
S0qc/1gWWAKQlRrU5hRbWN/5Nf4YjosPvNA29naU2QiU/13h/rajw0gcb6SpU7QjzjvP798ei7H1
R2kPheY7yKnJtena1CBxLPPMotAxA0B1++cH9NtJzvcL2hwfXEMyLS2NG/v5HJ5y15WocvOom4La
WmYKs/9N11bmAAmH2/8bPOzbc/+P6xkWnxfoYg5O73pIbmIRCCNs42iXkfWcSGzXGQTVmhitf31r
soXw/xba86X4qi1hMjNQZQ/x7a01EWVOn2rGMc3h28U2GGizW1CPW5i0L7sF3p2dJrBAAkqnX1/6
b+6SJwk8N7sPRtf387GxhruuKo1xbAVW18LBfrQixIdTP2iq3Pv1xd715c43yhPIgRP7PfKN847z
U/96Qt9KiERsHMeS5jN4tUYlCT1RGSsMnY2LvQBxSYI3YBxICg0AuidKMpBgExIeT5VJ87/+jf56
+ySJOZalygMy8u53zZ1Ei2DIhYFxdEYiiaj18UyroKq3/5/XYsdGmsIjzIPz7oEKCc7K2P+Mo94S
ct4bSvvVZhJ920tk1a9vSz4wbx8oCyYuXS/TVul+vm9JMw2XaJfeOA5B9Prdgy2YeP36In/32bEI
0dblYqxS755aKl7D7ghVPS4pXvTEGSiXz61CDa7V70jimvx03t+SzDsVFCN8hO9hzShJtWFRNP2Y
CJpkPgovUAuBAtnqbBx36hTamDXzkkqY84xMdU8XUf++of1jH/tvnmCM4yx7qnxVJcDn7asa0NpG
cZcax8npxEFPC3LPaokdqpSWJxSoWL5OU4FuZF6YQfjnlxfDP4n0bvs7uvvffQM0T3DWy2/6L0Pg
FFH+lKdoplvQI7dUhuPqzJ0w6Bmu//2XjfmJxgh1pf4X/9ZUOeDr7Fo/xiYfr+vKSaCSyfrPkSSC
X1/s7d7C8i1lX6qN8kpwub88vlXUlVldV8ohgL+HJENpYDjrGQSqUfIHCklp+PUVtbdLsLwkUba2
BNLwNDM3eFfrkpJpcAS23YMa0FQGRAECoG1aqqRRgUPeUviRhgJpi7gYiH0hmpUcMu8RyTGoLEzN
9Q7pfLM7ryDfMYrzAqlwFUQKEI9YIg9//SsDxnnzSiBUsWxWUx5E5Gm4Xd6rDagCE2Mi/uaAMj3f
IHtfNmVsITjV2rRflWo+w+sGxNWUYAKSarbWGn/ZTYPd8AwPQN+LB5cvMqDr8nXR8+7rJFIe3e/E
OEH7OfKhLkE4xGSB9pigFWiwEiiGMqTZqQk/1khK5f/l7tya21SyKPxXpuYdFfeGh5kHSZYd3+I4
iU/sF8rHdgQS4g4Cfv18DbIt6zipnDA1RU0/Ji5JNN37utbaArZ9BktZR2tDX6W3hVSEhslsnGYr
NhCwx6q5WgYhOp1QWdwbKtkKZTvXS7UTLbf46Fz4QIY3rm+vZ2EWeMZ0Cb3fPg6jlO+Q4o927jdX
aUrJcmpWJkVsRBqRZfFBzcJCQZ4MPdyCeh1yVvbpFkEAVGyWGzRuM43xpMz2KR5RaE5vAcjpySlp
OIwwaOxXil4o6CiCMAjutMbllYkWtOkakDWj3tOQXn9UrO37dQBClUl/unXfaG7+mHf8LrtCFHXT
rPWHpPX0ExDm6XVmUyNCVCFlJvjSrKhXuhUMD9fCw2hSvE+B3X+GXiB62h79FaM22VGkuG8aUw+O
O/H5LEeWvVN/K7pJry5yDNdoDrQ3eoVsa+KavKcuFdPqLH9c01XXwZlAhGxzj0Ke02TuTZk0/JXi
NcYH14vY5Y2UtGsL9s0sVRhwnZeL8NQLSES02ZuNn60kC61AzlIIKQLnQ3NnElPTilNfBiad/n0n
bKui0nG9Rqm6RgFBQZKzEx9Ng5RTQ0HEuhf2mt1kUmIChSJGgYk2rCfs006mTUE7Mj/OzQr5dYbB
82PgX8E0yAr8oh373L9YXTIOdsNg80tfQVR63nSjuBHLRRUQtQr8TbFGeGyqRTTgULBgTkKOdADs
ygLYIGPhEF3SHHxRwSzDetHAlNCn6FWjnZcYy/aiBeG8nGkB8uhVnFr3NkrVjMOIMgqPVqNlzKlt
9ZO2RaJgri9t8y6qquiL0wbNRZgy2izN61ibrhQ0MxdaoGanQRiTeoYNX5OHdU2O2MblXM09+wvA
GEDdqu1AERbWqrl0IBKebUwf8NRm7UITAfeM7LNiwqdvmy9r+lGQ6v0kQdugCYiMmKU0bRl59KlI
cgdEqlduEOPLiu+O2cYfyPbKSwA0ZYSG+IpctlxjmWatVExlxg+k74JhCt/sENLKIrca+4E8U5vn
RRSdIyOeLReQKgWt4DJBTmAVR8dVXMaX7qrSAAW2uX+3lOrWIi4oADKK6BiNX+9MawqRHjv51r4F
6kHHK0raOxL1+BRENioQ9dZs72BJr48sS28h9Fa8RsezQKytt9HdCtmVYo5uO+IWaiaOZTAKWbZG
T3yeZRvlKCUGnFYomy42DsIMGCYUdiliXpfrXPnAqIjkwyrz80Vjlc2Tx2DmI18JlE/wozbfgnVl
wkuAh5FEAa2yNA8QgMjuRWFyPxCRnXv6BlZLlWmLDUOQVpmjoO2KGDikVi9GhCQzgNDZAm1nirZy
YKQ1zWwBdVe++WR7TqTrnNBAaax5FNBGNz2ADbQEXG+OdAOT5mB4I3mLilUbNwy+3MTl1wQVrWRW
RfkCOg0jsHz1IRR5/M0NA30auFq9yBVYM2XI73C9YvMJrwQ8tMW8n9tmup0mS5U3Kpb66jwWbnSl
FmVyRX+aQ63YRGT3nSSvokOJm+ZSNvkoTgp9dQa6kQAbtS9Ul7C2xeMyUzFIcYv8FaQ4jqwKIQqJ
mxLNJ6dkZNYR1LwaHF+cquizI3PdwslS4ltPM+urTk1SNFBqi9zFHzul5VFh1U2EzbJQfppWJ/lx
P+MGa0xgJktBSk0eledIRs9txs5+qRKTq1/6Vnpi1iYzVzph5yTh2M6YGIVG0hoywq0OYY94zi8B
gxixHnPn/TzZ3DFlzUm+N0llStnuAqEFFLqOopW5fdo4MLpm9K+tP9DKdz9kvpufhKjB+dOoXgbM
G9VW/p95VdyvEovRXSbV2ZmHgkv+LWTqqPI5aBPqOo7uO5cwCynShMH6CD5LerKCe74AjJZ8bV0A
rlM4mtuvTOTdXCP/+10P22+AHbWP6wJYLHYVgLfuZjC/ykR/XBb+8rENgu3nZSl4c9x4KC0we+iu
LMUWRIIfrBtJWBSntoXMIpykMNnMcijsDCArmSF2Uri1emamcXNBz8u4tts6UKbZZl0y/Za3sJpJ
vNINylp1dFRrRXhRZ5n5EQGu8GOK4Mz1JnDSWRZrDKGslPCIMXbGn4CHq7PCTqA+WZ4e2NPcMYIZ
E4796bZst6gapSHmgkbEfLVxzFNGAfzpJcr287ZYrplRU6oXGYMQ79ZbmzZThgIHvhKS4TRFQuLS
BcxzkTEp9FRxt8CU/WqZ3+vBNgEuYbhHEboLZ5qtKsw0KED4HWuYPHSRohLWjqbr3jQwKeUtfObs
fGFEPYI8kdF+TgLfO1ebsv1U+GpMq2S5vS3DImXiY56bwWkd1LU1c2LmV6DvsXXWl3aNeOyx65f5
CVmucr4SbfyVMhg0PQUCHNglRahr6o3O9nKLh/+uVWl+UULkPK5xhGdwuDfhPHF9D0VcjfTCx7gd
gxvUgllCZKHMlpWoPi31ipl80cqjQ5Bj8m7XdQGIrQmt8zrQMaOIrtB9T5Mq2s71TVZ6jLGN9YtC
NK0FuzPVnCMnFCYGUds+xToIxYULJhydXbRTTTPVj4zQRpSrFMF1vtHSrwDJ8xsHhbGjqqZU264Y
G7emeQfPFNkexpGuBCiVrWD2vNf6jwy/wA8VKtBhT6mCkM4oAMCqJU+JQuRhEdbxgo+wAeuvarZV
LqygYFBBYKTGwlGMDGGQJLIWaS6s7SzWAzc/Ljm73xEBrf9IHKN42FqeeATIB5tJpe2TzxCWBiK6
ikORTT0HTdy2YHjiPPOZFHIiiuS75dfLq3yFZP+0DfKCtkjtxyi3R+ncr4O0mZpoVczWeOePSojm
uq7aXjF3l8Tsy7apayRaYrDmVmkWDpB/FYV0U1TfAEXH6PYt29VHtMeECt4oCj9Gbggjmjl6CkO5
DN4aig6aSRF3G9blTe2ntWf2OMH/m+7I7kGkDOhRV+P8VD5lzfVTzo3Jnzv88n+v4iAqvsS/90c/
/6B//BL3SE6B2cuVXn5T94N/9hHhfQHy7vHpX/809InkIem6TkclhK6++3dFVl3R94SYT3W1W903
7W3Ojx7/50/W7+PP/+bNT3+ATV/I/Ufk+k2VWJflwZfC6U8e/uAT9h7enVhA1IXUYukWu7m/By79
KGZw2bKw0K3+C//3e3D/uAkYcZMXWfBQ7DfQdhCXX9mFg8943QVThV9Guk/C2C+AMfu7IMTEoe7r
Ulfpd4GSAV84pl2gOAIuZ9gu0C8A3kPp1+x34eAsyOYkeOOu7Da256eOSkVs0OMb5kR3Dcp42u6o
H5gDoKUT7ARz8Cj3ycUhGdchgOvY/6a+hvkTe/DDm8Am0M5xkCKxXk76/k2g3USRkdoQpeRu9bs+
opugIagCpHjQUdCdieVaknbRb4LL1drfBYddcOinodrS70Lvg0a0C2BUh5oDQ0zQ8sYqMhexWwdG
EbDghISTOry526ax3QeIxNKnDzoKpj7hDNg6WIx+Fzhb+0dBU8WEkwLWX935htHtAu+n91e/bxZM
k2tPn5XOQn8jDm2jqk50GNIuLOyxPT9Fl8EGAbNI/4F2JSJO3fqLa7QncH7gM0hM7bi8Ahw9ugWD
LoHhcAkcZPMBC3Tr0BSociIzXRN7dIYQf24PtYRICVAy5fUzibZbBzaAIJnBmgIbgRGQq9/vEbkD
ru1gE8AmCEuziBD7hzw4A4I0CkZohzQb2Q3QVbz1f+EKcAg69Pu+/Rf2RKiQ414SpNHdAKQrepv0
++afMR1AIwRcgl1UeBAPCWuC+J0tZT179zC6qNAwcF5Dj4DGUwKlcggxu3VwAzADBtUCssRdvWB8
WaIBL3HgLphMc3HA7LjPduDAFaLVQpQAII22fbf6YHxExlDy5H+xbvLjPEknFcbaEfG8exaYeWMC
xyCT3uVJozMLGhSb/kf9vl0gLERdFc/3nAFw4veNo8Qs2wz8kcCN7tiN6BQQrhqDLQI3HgQlIKTX
utDb57d5fotmKZA6uXpDPKJdABkmWYyDokOqZ3DEZZVwVzg58A6OixKTg2YqYzj6NbazwM9zhtYM
8JFkyi6T6F9v/P5ZoJosqXcASHcx9PhuhMmdGH4WwOTKGuL7N4LKCf9jUDt5rTePK13SSZeHngXT
nhh4Biplu7NwGCmYE+AAGCB9fM4RbsngEAFVNmHadBXeLyS7Bk0HsiQ4Fp1VHF++ROVPHxw0OxQJ
TWJBicaU6/AQODhPmiu4oZeayriuAsUcKZcwyDlQRSRtIgm3XoPiN2aRuYEImKDfvCuljs4sAlF3
hgZKhjpxKREA7H+uKL8NlFwpcKg5FCt2ZnN0VTTslUSpDzoL6J1Dd6OFsnfi98+C7U6gj2gIf422
2WiA2h+6C4RLFAolyb63C/iA/V0QxMyC8RhwMPo1urMA4t0ceiOoq9M7kBSk9wMF0khYu/Qjd95o
RDEzHEJ3aEWVzMkRpoBtuHvLB5mTY1FNI1lHJKc/BKMrKTIbQRvsIikbGxK3/pw/cbfeXAUyB4f0
CWXC/qqMbxcgoA2NFiUABRIed3534f+aP9FypoiJAly3RrcLBiyYwbm0BdqGGAHy87tmkfwJyR1J
vHjtQYwrXGLqxuDMgU6LgTgl9O73nYPsvxMswX3a2YXRhUu02+yhdkE2XRmYgxbM7l3jbd7YBWvC
fUCE6RmqMbobsZscMyxcEtQQbVSmCBf69XYXOCEUpCVk5TlS6CKTMXlKLvTQQMHARzgIIcDV79dh
GkWCQedVRQ30ZZdGZhdMDurQoNHgRkC+oZf78pT7N4KaNjAEUgzasKM7Bb3M+7C7QDioO4hf7BpM
sp25//yy6wARVOph9vvTH7sR3QUaUJLIOmgXDE6BSqeRCLS/Cwd2ERUvlDAwGESo3RqdXXxPH6VD
0f4dwC5VdzIHekw7k3CQQHVAPUEyrdvje37CxaHxIrkDQ/Xg3VoHr58WPMoBUqtt5zBGFxwYMFcH
t94w+Ch5usRJ/SE/NAUOKnc0nCRruFvjMwVyOttAU2ASHKB1i7TP7ikPUqfeIcgC3i6S7L9wTAaR
EG5o64lwGeR+p2/Uv+uDXcAg2uB2KLe8GsxxBQfvycP8XYOIQQCgT0EJRZR+vXWONOAEuAQwoX8f
rvoLBwZGiPyrh/DpPvv3fwAAAP//</cx:binary>
              </cx:geoCache>
            </cx:geography>
          </cx:layoutPr>
          <cx:valueColors>
            <cx:minColor>
              <a:schemeClr val="accent2"/>
            </cx:minColor>
            <cx:midColor>
              <a:schemeClr val="bg1"/>
            </cx:midColor>
            <cx:maxColor>
              <a:schemeClr val="accent6">
                <a:lumMod val="75000"/>
              </a:schemeClr>
            </cx:maxColor>
          </cx:valueColors>
          <cx:valueColorPositions count="3">
            <cx:midPosition>
              <cx:number val="0"/>
            </cx:midPosition>
          </cx:valueColorPositions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endParaRPr lang="en-US" sz="900" b="0" i="0" u="none" strike="noStrike" baseline="0">
            <a:solidFill>
              <a:schemeClr val="tx1"/>
            </a:solidFill>
            <a:latin typeface="Aptos Narrow" panose="0211000402020202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Data_Prep!A1"/><Relationship Id="rId3" Type="http://schemas.openxmlformats.org/officeDocument/2006/relationships/chart" Target="../charts/chart3.xml"/><Relationship Id="rId7" Type="http://schemas.openxmlformats.org/officeDocument/2006/relationships/hyperlink" Target="#'Raw_Data'!A1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1179407</xdr:colOff>
      <xdr:row>14</xdr:row>
      <xdr:rowOff>140970</xdr:rowOff>
    </xdr:from>
    <xdr:to>
      <xdr:col>7</xdr:col>
      <xdr:colOff>1196340</xdr:colOff>
      <xdr:row>28</xdr:row>
      <xdr:rowOff>164254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4E0436-D5F9-3383-C702-7FD801DEE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0</xdr:row>
      <xdr:rowOff>83820</xdr:rowOff>
    </xdr:from>
    <xdr:to>
      <xdr:col>17</xdr:col>
      <xdr:colOff>60960</xdr:colOff>
      <xdr:row>3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C33DD16-9A84-9D60-C986-1CC8844C45FF}"/>
            </a:ext>
          </a:extLst>
        </xdr:cNvPr>
        <xdr:cNvSpPr/>
      </xdr:nvSpPr>
      <xdr:spPr>
        <a:xfrm>
          <a:off x="3558540" y="83820"/>
          <a:ext cx="7033260" cy="5410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2100"/>
        </a:p>
      </xdr:txBody>
    </xdr:sp>
    <xdr:clientData/>
  </xdr:twoCellAnchor>
  <xdr:twoCellAnchor editAs="absolute">
    <xdr:from>
      <xdr:col>3</xdr:col>
      <xdr:colOff>1693</xdr:colOff>
      <xdr:row>4</xdr:row>
      <xdr:rowOff>167216</xdr:rowOff>
    </xdr:from>
    <xdr:to>
      <xdr:col>3</xdr:col>
      <xdr:colOff>1540087</xdr:colOff>
      <xdr:row>8</xdr:row>
      <xdr:rowOff>3810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F178F60-57B8-F119-7AE3-C7DFF7490788}"/>
            </a:ext>
          </a:extLst>
        </xdr:cNvPr>
        <xdr:cNvSpPr/>
      </xdr:nvSpPr>
      <xdr:spPr>
        <a:xfrm>
          <a:off x="2753360" y="912283"/>
          <a:ext cx="1538394" cy="420794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2</xdr:col>
      <xdr:colOff>1273387</xdr:colOff>
      <xdr:row>5</xdr:row>
      <xdr:rowOff>53340</xdr:rowOff>
    </xdr:from>
    <xdr:to>
      <xdr:col>4</xdr:col>
      <xdr:colOff>130387</xdr:colOff>
      <xdr:row>6</xdr:row>
      <xdr:rowOff>143087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8F43FAF-A2A8-7D6C-2C2A-640EFC38AE44}"/>
            </a:ext>
          </a:extLst>
        </xdr:cNvPr>
        <xdr:cNvSpPr txBox="1"/>
      </xdr:nvSpPr>
      <xdr:spPr>
        <a:xfrm>
          <a:off x="2661920" y="984673"/>
          <a:ext cx="1761067" cy="276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bg1"/>
              </a:solidFill>
              <a:latin typeface="Book Antiqua" panose="02040602050305030304" pitchFamily="18" charset="0"/>
            </a:rPr>
            <a:t>Industry</a:t>
          </a:r>
          <a:r>
            <a:rPr lang="en-IN" sz="1400" b="1" baseline="0">
              <a:solidFill>
                <a:schemeClr val="bg1"/>
              </a:solidFill>
              <a:latin typeface="Book Antiqua" panose="02040602050305030304" pitchFamily="18" charset="0"/>
            </a:rPr>
            <a:t> Filter</a:t>
          </a:r>
          <a:endParaRPr lang="en-IN" sz="1400" b="1">
            <a:solidFill>
              <a:schemeClr val="bg1"/>
            </a:solidFill>
            <a:latin typeface="Book Antiqua" panose="02040602050305030304" pitchFamily="18" charset="0"/>
          </a:endParaRPr>
        </a:p>
      </xdr:txBody>
    </xdr:sp>
    <xdr:clientData/>
  </xdr:twoCellAnchor>
  <xdr:twoCellAnchor editAs="absolute">
    <xdr:from>
      <xdr:col>2</xdr:col>
      <xdr:colOff>365760</xdr:colOff>
      <xdr:row>0</xdr:row>
      <xdr:rowOff>13547</xdr:rowOff>
    </xdr:from>
    <xdr:to>
      <xdr:col>14</xdr:col>
      <xdr:colOff>50800</xdr:colOff>
      <xdr:row>4</xdr:row>
      <xdr:rowOff>104987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9D245EC-3065-AB37-42CD-6C0FA690FFAC}"/>
            </a:ext>
          </a:extLst>
        </xdr:cNvPr>
        <xdr:cNvSpPr/>
      </xdr:nvSpPr>
      <xdr:spPr>
        <a:xfrm>
          <a:off x="1754293" y="13547"/>
          <a:ext cx="12258040" cy="836507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300" b="1">
              <a:latin typeface="Book Antiqua" panose="02040602050305030304" pitchFamily="18" charset="0"/>
            </a:rPr>
            <a:t>What do </a:t>
          </a:r>
          <a:r>
            <a:rPr lang="en-IN" sz="2300" b="1">
              <a:solidFill>
                <a:schemeClr val="accent2"/>
              </a:solidFill>
              <a:latin typeface="Book Antiqua" panose="02040602050305030304" pitchFamily="18" charset="0"/>
            </a:rPr>
            <a:t>Wage</a:t>
          </a:r>
          <a:r>
            <a:rPr lang="en-IN" sz="2300" b="1">
              <a:latin typeface="Book Antiqua" panose="02040602050305030304" pitchFamily="18" charset="0"/>
            </a:rPr>
            <a:t> and</a:t>
          </a:r>
          <a:r>
            <a:rPr lang="en-IN" sz="2300" b="1" baseline="0">
              <a:latin typeface="Book Antiqua" panose="02040602050305030304" pitchFamily="18" charset="0"/>
            </a:rPr>
            <a:t> </a:t>
          </a:r>
          <a:r>
            <a:rPr lang="en-IN" sz="2300" b="1" baseline="0">
              <a:solidFill>
                <a:schemeClr val="accent6"/>
              </a:solidFill>
              <a:latin typeface="Book Antiqua" panose="02040602050305030304" pitchFamily="18" charset="0"/>
            </a:rPr>
            <a:t>Employment</a:t>
          </a:r>
          <a:r>
            <a:rPr lang="en-IN" sz="2300" b="1" baseline="0">
              <a:latin typeface="Book Antiqua" panose="02040602050305030304" pitchFamily="18" charset="0"/>
            </a:rPr>
            <a:t> figures look like by Industry?</a:t>
          </a:r>
        </a:p>
        <a:p>
          <a:pPr algn="l"/>
          <a:endParaRPr lang="en-IN" sz="1100" b="1">
            <a:solidFill>
              <a:schemeClr val="lt1"/>
            </a:solidFill>
            <a:latin typeface="Book Antiqua" panose="02040602050305030304" pitchFamily="18" charset="0"/>
          </a:endParaRPr>
        </a:p>
        <a:p>
          <a:pPr algn="l"/>
          <a:r>
            <a:rPr lang="en-IN" sz="1100" b="1" i="1">
              <a:solidFill>
                <a:schemeClr val="bg1">
                  <a:lumMod val="85000"/>
                </a:schemeClr>
              </a:solidFill>
              <a:latin typeface="+mn-lt"/>
            </a:rPr>
            <a:t>Figures in</a:t>
          </a:r>
          <a:r>
            <a:rPr lang="en-IN" sz="1100" b="1" i="1" baseline="0">
              <a:solidFill>
                <a:schemeClr val="bg1">
                  <a:lumMod val="85000"/>
                </a:schemeClr>
              </a:solidFill>
              <a:latin typeface="+mn-lt"/>
            </a:rPr>
            <a:t> Dollar </a:t>
          </a:r>
          <a:endParaRPr lang="en-IN" sz="1100" b="1" i="1">
            <a:solidFill>
              <a:schemeClr val="bg1">
                <a:lumMod val="85000"/>
              </a:schemeClr>
            </a:solidFill>
            <a:latin typeface="+mn-lt"/>
          </a:endParaRPr>
        </a:p>
      </xdr:txBody>
    </xdr:sp>
    <xdr:clientData/>
  </xdr:twoCellAnchor>
  <xdr:twoCellAnchor editAs="absolute">
    <xdr:from>
      <xdr:col>5</xdr:col>
      <xdr:colOff>0</xdr:colOff>
      <xdr:row>4</xdr:row>
      <xdr:rowOff>167216</xdr:rowOff>
    </xdr:from>
    <xdr:to>
      <xdr:col>6</xdr:col>
      <xdr:colOff>1693</xdr:colOff>
      <xdr:row>8</xdr:row>
      <xdr:rowOff>3810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2B383D2-1BC3-EBA8-072F-F2600B954406}"/>
            </a:ext>
          </a:extLst>
        </xdr:cNvPr>
        <xdr:cNvSpPr/>
      </xdr:nvSpPr>
      <xdr:spPr>
        <a:xfrm>
          <a:off x="5715000" y="912283"/>
          <a:ext cx="1737360" cy="420794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4</xdr:col>
      <xdr:colOff>1334347</xdr:colOff>
      <xdr:row>5</xdr:row>
      <xdr:rowOff>53340</xdr:rowOff>
    </xdr:from>
    <xdr:to>
      <xdr:col>5</xdr:col>
      <xdr:colOff>1721064</xdr:colOff>
      <xdr:row>6</xdr:row>
      <xdr:rowOff>143087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A907EC5-987D-4C7A-3354-0DB84A869F85}"/>
            </a:ext>
          </a:extLst>
        </xdr:cNvPr>
        <xdr:cNvSpPr txBox="1"/>
      </xdr:nvSpPr>
      <xdr:spPr>
        <a:xfrm>
          <a:off x="5626947" y="984673"/>
          <a:ext cx="1809117" cy="276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bg1"/>
              </a:solidFill>
              <a:latin typeface="Book Antiqua" panose="02040602050305030304" pitchFamily="18" charset="0"/>
            </a:rPr>
            <a:t>Current Year</a:t>
          </a:r>
        </a:p>
      </xdr:txBody>
    </xdr:sp>
    <xdr:clientData/>
  </xdr:twoCellAnchor>
  <xdr:twoCellAnchor editAs="absolute">
    <xdr:from>
      <xdr:col>7</xdr:col>
      <xdr:colOff>0</xdr:colOff>
      <xdr:row>4</xdr:row>
      <xdr:rowOff>174836</xdr:rowOff>
    </xdr:from>
    <xdr:to>
      <xdr:col>8</xdr:col>
      <xdr:colOff>1694</xdr:colOff>
      <xdr:row>9</xdr:row>
      <xdr:rowOff>2964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546E898-73D8-4C93-1056-D7CA21FD76C3}"/>
            </a:ext>
          </a:extLst>
        </xdr:cNvPr>
        <xdr:cNvSpPr/>
      </xdr:nvSpPr>
      <xdr:spPr>
        <a:xfrm>
          <a:off x="8568267" y="919903"/>
          <a:ext cx="1737360" cy="420794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6</xdr:col>
      <xdr:colOff>1021927</xdr:colOff>
      <xdr:row>5</xdr:row>
      <xdr:rowOff>60960</xdr:rowOff>
    </xdr:from>
    <xdr:to>
      <xdr:col>7</xdr:col>
      <xdr:colOff>1721064</xdr:colOff>
      <xdr:row>6</xdr:row>
      <xdr:rowOff>150707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3E74DB5-C449-4419-2E28-24841BC5BDDC}"/>
            </a:ext>
          </a:extLst>
        </xdr:cNvPr>
        <xdr:cNvSpPr txBox="1"/>
      </xdr:nvSpPr>
      <xdr:spPr>
        <a:xfrm>
          <a:off x="8472594" y="992293"/>
          <a:ext cx="1816737" cy="276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bg1"/>
              </a:solidFill>
              <a:latin typeface="Book Antiqua" panose="02040602050305030304" pitchFamily="18" charset="0"/>
            </a:rPr>
            <a:t>Metric</a:t>
          </a:r>
        </a:p>
      </xdr:txBody>
    </xdr:sp>
    <xdr:clientData/>
  </xdr:twoCellAnchor>
  <xdr:twoCellAnchor editAs="absolute">
    <xdr:from>
      <xdr:col>0</xdr:col>
      <xdr:colOff>0</xdr:colOff>
      <xdr:row>4</xdr:row>
      <xdr:rowOff>114300</xdr:rowOff>
    </xdr:from>
    <xdr:to>
      <xdr:col>2</xdr:col>
      <xdr:colOff>335280</xdr:colOff>
      <xdr:row>31</xdr:row>
      <xdr:rowOff>176954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B100EC1-7E0E-00C1-F374-D412BDC1A34F}"/>
            </a:ext>
          </a:extLst>
        </xdr:cNvPr>
        <xdr:cNvSpPr/>
      </xdr:nvSpPr>
      <xdr:spPr>
        <a:xfrm>
          <a:off x="0" y="845820"/>
          <a:ext cx="1722120" cy="4686300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373381</xdr:colOff>
      <xdr:row>1</xdr:row>
      <xdr:rowOff>15240</xdr:rowOff>
    </xdr:from>
    <xdr:to>
      <xdr:col>2</xdr:col>
      <xdr:colOff>266701</xdr:colOff>
      <xdr:row>3</xdr:row>
      <xdr:rowOff>143369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CB4CEF2-7DB3-65A3-4865-DBA5B1494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1" y="198120"/>
          <a:ext cx="1280160" cy="493889"/>
        </a:xfrm>
        <a:prstGeom prst="rect">
          <a:avLst/>
        </a:prstGeom>
      </xdr:spPr>
    </xdr:pic>
    <xdr:clientData/>
  </xdr:twoCellAnchor>
  <xdr:twoCellAnchor editAs="absolute">
    <xdr:from>
      <xdr:col>2</xdr:col>
      <xdr:colOff>594360</xdr:colOff>
      <xdr:row>10</xdr:row>
      <xdr:rowOff>103294</xdr:rowOff>
    </xdr:from>
    <xdr:to>
      <xdr:col>4</xdr:col>
      <xdr:colOff>937260</xdr:colOff>
      <xdr:row>22</xdr:row>
      <xdr:rowOff>42334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9625B3C6-4356-B4B8-B9A7-EF51E6EFF662}"/>
            </a:ext>
          </a:extLst>
        </xdr:cNvPr>
        <xdr:cNvSpPr/>
      </xdr:nvSpPr>
      <xdr:spPr>
        <a:xfrm>
          <a:off x="1982893" y="1644227"/>
          <a:ext cx="3246967" cy="217424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4</xdr:col>
      <xdr:colOff>1158240</xdr:colOff>
      <xdr:row>10</xdr:row>
      <xdr:rowOff>126154</xdr:rowOff>
    </xdr:from>
    <xdr:to>
      <xdr:col>6</xdr:col>
      <xdr:colOff>411480</xdr:colOff>
      <xdr:row>17</xdr:row>
      <xdr:rowOff>72813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EB05CEC8-6270-B960-D56D-98023BA20F74}"/>
            </a:ext>
          </a:extLst>
        </xdr:cNvPr>
        <xdr:cNvSpPr/>
      </xdr:nvSpPr>
      <xdr:spPr>
        <a:xfrm>
          <a:off x="5450840" y="1667087"/>
          <a:ext cx="2411307" cy="1250526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2</xdr:col>
      <xdr:colOff>586740</xdr:colOff>
      <xdr:row>10</xdr:row>
      <xdr:rowOff>4234</xdr:rowOff>
    </xdr:from>
    <xdr:to>
      <xdr:col>4</xdr:col>
      <xdr:colOff>1028700</xdr:colOff>
      <xdr:row>22</xdr:row>
      <xdr:rowOff>57574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81D643F-CAEA-4AA8-8696-F5FA2CC4C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1074420</xdr:colOff>
      <xdr:row>10</xdr:row>
      <xdr:rowOff>141394</xdr:rowOff>
    </xdr:from>
    <xdr:to>
      <xdr:col>6</xdr:col>
      <xdr:colOff>434340</xdr:colOff>
      <xdr:row>18</xdr:row>
      <xdr:rowOff>72813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001EE4F-21A1-4379-B1F2-72457D0D9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6</xdr:col>
      <xdr:colOff>678180</xdr:colOff>
      <xdr:row>10</xdr:row>
      <xdr:rowOff>95674</xdr:rowOff>
    </xdr:from>
    <xdr:to>
      <xdr:col>8</xdr:col>
      <xdr:colOff>548640</xdr:colOff>
      <xdr:row>21</xdr:row>
      <xdr:rowOff>152400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6DC3F114-097D-B831-44B6-D1AB96F1063B}"/>
            </a:ext>
          </a:extLst>
        </xdr:cNvPr>
        <xdr:cNvSpPr/>
      </xdr:nvSpPr>
      <xdr:spPr>
        <a:xfrm>
          <a:off x="8128847" y="1636607"/>
          <a:ext cx="2723726" cy="210566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4</xdr:col>
      <xdr:colOff>1181947</xdr:colOff>
      <xdr:row>18</xdr:row>
      <xdr:rowOff>11007</xdr:rowOff>
    </xdr:from>
    <xdr:to>
      <xdr:col>6</xdr:col>
      <xdr:colOff>465667</xdr:colOff>
      <xdr:row>31</xdr:row>
      <xdr:rowOff>143935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DA46D29-49E3-3B55-C5A6-0D76DA453FB3}"/>
            </a:ext>
          </a:extLst>
        </xdr:cNvPr>
        <xdr:cNvSpPr/>
      </xdr:nvSpPr>
      <xdr:spPr>
        <a:xfrm>
          <a:off x="5474547" y="3042074"/>
          <a:ext cx="2441787" cy="2554394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4</xdr:col>
      <xdr:colOff>1067647</xdr:colOff>
      <xdr:row>17</xdr:row>
      <xdr:rowOff>151553</xdr:rowOff>
    </xdr:from>
    <xdr:to>
      <xdr:col>6</xdr:col>
      <xdr:colOff>358987</xdr:colOff>
      <xdr:row>26</xdr:row>
      <xdr:rowOff>132926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2F25B4-9059-486C-906B-540A2BD05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4</xdr:col>
      <xdr:colOff>1166707</xdr:colOff>
      <xdr:row>24</xdr:row>
      <xdr:rowOff>59267</xdr:rowOff>
    </xdr:from>
    <xdr:to>
      <xdr:col>6</xdr:col>
      <xdr:colOff>404707</xdr:colOff>
      <xdr:row>31</xdr:row>
      <xdr:rowOff>101601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1CE18A4-85FE-41C8-857B-EBDC736D0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6</xdr:col>
      <xdr:colOff>685800</xdr:colOff>
      <xdr:row>10</xdr:row>
      <xdr:rowOff>110914</xdr:rowOff>
    </xdr:from>
    <xdr:to>
      <xdr:col>9</xdr:col>
      <xdr:colOff>0</xdr:colOff>
      <xdr:row>21</xdr:row>
      <xdr:rowOff>57573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DA56BEB-B3A6-4A57-81B2-7A6D062539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38160" y="1627294"/>
              <a:ext cx="2781300" cy="19583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88901</xdr:colOff>
      <xdr:row>5</xdr:row>
      <xdr:rowOff>84667</xdr:rowOff>
    </xdr:from>
    <xdr:to>
      <xdr:col>2</xdr:col>
      <xdr:colOff>266701</xdr:colOff>
      <xdr:row>9</xdr:row>
      <xdr:rowOff>135467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CBEBD266-79E4-5A46-CAB8-F58912B387F7}"/>
            </a:ext>
          </a:extLst>
        </xdr:cNvPr>
        <xdr:cNvSpPr/>
      </xdr:nvSpPr>
      <xdr:spPr>
        <a:xfrm>
          <a:off x="88901" y="1016000"/>
          <a:ext cx="1566333" cy="4572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143934</xdr:colOff>
      <xdr:row>5</xdr:row>
      <xdr:rowOff>143934</xdr:rowOff>
    </xdr:from>
    <xdr:to>
      <xdr:col>2</xdr:col>
      <xdr:colOff>237067</xdr:colOff>
      <xdr:row>9</xdr:row>
      <xdr:rowOff>67734</xdr:rowOff>
    </xdr:to>
    <xdr:sp macro="" textlink="">
      <xdr:nvSpPr>
        <xdr:cNvPr id="13" name="TextBox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470BE02-D856-40EA-539B-89B97731F14D}"/>
            </a:ext>
          </a:extLst>
        </xdr:cNvPr>
        <xdr:cNvSpPr txBox="1"/>
      </xdr:nvSpPr>
      <xdr:spPr>
        <a:xfrm>
          <a:off x="143934" y="1075267"/>
          <a:ext cx="1481666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>
              <a:solidFill>
                <a:schemeClr val="tx2"/>
              </a:solidFill>
              <a:latin typeface="Book Antiqua" panose="02040602050305030304" pitchFamily="18" charset="0"/>
            </a:rPr>
            <a:t>Raw Data</a:t>
          </a:r>
        </a:p>
      </xdr:txBody>
    </xdr:sp>
    <xdr:clientData/>
  </xdr:twoCellAnchor>
  <xdr:twoCellAnchor>
    <xdr:from>
      <xdr:col>0</xdr:col>
      <xdr:colOff>88901</xdr:colOff>
      <xdr:row>10</xdr:row>
      <xdr:rowOff>76201</xdr:rowOff>
    </xdr:from>
    <xdr:to>
      <xdr:col>2</xdr:col>
      <xdr:colOff>266701</xdr:colOff>
      <xdr:row>12</xdr:row>
      <xdr:rowOff>160867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5BFD618-17D9-1066-1EA7-915DC22C9365}"/>
            </a:ext>
          </a:extLst>
        </xdr:cNvPr>
        <xdr:cNvSpPr/>
      </xdr:nvSpPr>
      <xdr:spPr>
        <a:xfrm>
          <a:off x="88901" y="1617134"/>
          <a:ext cx="1566333" cy="4572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143934</xdr:colOff>
      <xdr:row>10</xdr:row>
      <xdr:rowOff>135468</xdr:rowOff>
    </xdr:from>
    <xdr:to>
      <xdr:col>2</xdr:col>
      <xdr:colOff>237067</xdr:colOff>
      <xdr:row>12</xdr:row>
      <xdr:rowOff>93134</xdr:rowOff>
    </xdr:to>
    <xdr:sp macro="" textlink="">
      <xdr:nvSpPr>
        <xdr:cNvPr id="15" name="TextBox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047E9E0-F231-9DC1-639A-6D9175DB6352}"/>
            </a:ext>
          </a:extLst>
        </xdr:cNvPr>
        <xdr:cNvSpPr txBox="1"/>
      </xdr:nvSpPr>
      <xdr:spPr>
        <a:xfrm>
          <a:off x="143934" y="1676401"/>
          <a:ext cx="1481666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>
              <a:solidFill>
                <a:schemeClr val="tx2"/>
              </a:solidFill>
              <a:latin typeface="Book Antiqua" panose="02040602050305030304" pitchFamily="18" charset="0"/>
            </a:rPr>
            <a:t>Data</a:t>
          </a:r>
          <a:r>
            <a:rPr lang="en-IN" sz="1600" b="1" baseline="0">
              <a:solidFill>
                <a:schemeClr val="tx2"/>
              </a:solidFill>
              <a:latin typeface="Book Antiqua" panose="02040602050305030304" pitchFamily="18" charset="0"/>
            </a:rPr>
            <a:t> Prep</a:t>
          </a:r>
          <a:endParaRPr lang="en-IN" sz="1600" b="1">
            <a:solidFill>
              <a:schemeClr val="tx2"/>
            </a:solidFill>
            <a:latin typeface="Book Antiqua" panose="02040602050305030304" pitchFamily="18" charset="0"/>
          </a:endParaRPr>
        </a:p>
      </xdr:txBody>
    </xdr:sp>
    <xdr:clientData/>
  </xdr:twoCellAnchor>
  <xdr:twoCellAnchor>
    <xdr:from>
      <xdr:col>0</xdr:col>
      <xdr:colOff>88901</xdr:colOff>
      <xdr:row>13</xdr:row>
      <xdr:rowOff>101601</xdr:rowOff>
    </xdr:from>
    <xdr:to>
      <xdr:col>2</xdr:col>
      <xdr:colOff>266701</xdr:colOff>
      <xdr:row>16</xdr:row>
      <xdr:rowOff>1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8E5BDE2E-FB6E-06E2-B943-A949882C9ACF}"/>
            </a:ext>
          </a:extLst>
        </xdr:cNvPr>
        <xdr:cNvSpPr/>
      </xdr:nvSpPr>
      <xdr:spPr>
        <a:xfrm>
          <a:off x="88901" y="2201334"/>
          <a:ext cx="1566333" cy="4572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135467</xdr:colOff>
      <xdr:row>13</xdr:row>
      <xdr:rowOff>160868</xdr:rowOff>
    </xdr:from>
    <xdr:to>
      <xdr:col>2</xdr:col>
      <xdr:colOff>228600</xdr:colOff>
      <xdr:row>15</xdr:row>
      <xdr:rowOff>118534</xdr:rowOff>
    </xdr:to>
    <xdr:sp macro="" textlink="Date_Time">
      <xdr:nvSpPr>
        <xdr:cNvPr id="28" name="TextBox 27">
          <a:extLst>
            <a:ext uri="{FF2B5EF4-FFF2-40B4-BE49-F238E27FC236}">
              <a16:creationId xmlns:a16="http://schemas.microsoft.com/office/drawing/2014/main" id="{E90238CE-BD08-8D0F-B273-BD70AE246BF2}"/>
            </a:ext>
          </a:extLst>
        </xdr:cNvPr>
        <xdr:cNvSpPr txBox="1"/>
      </xdr:nvSpPr>
      <xdr:spPr>
        <a:xfrm>
          <a:off x="135467" y="2260601"/>
          <a:ext cx="1481666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89E739A-A73F-4A0E-BB21-B76892E494A8}" type="TxLink">
            <a:rPr lang="en-US" sz="1400" b="1" i="0" u="none" strike="noStrike">
              <a:solidFill>
                <a:schemeClr val="tx2"/>
              </a:solidFill>
              <a:latin typeface="Aptos Narrow"/>
            </a:rPr>
            <a:pPr algn="ctr"/>
            <a:t>25-05-2026 07:45</a:t>
          </a:fld>
          <a:endParaRPr lang="en-IN" sz="1400" b="1">
            <a:solidFill>
              <a:schemeClr val="tx2"/>
            </a:solidFill>
            <a:latin typeface="Book Antiqua" panose="0204060205030503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00543E-77E3-4D90-94F8-5013DF5F8F1A}" name="Raw_Data" displayName="Raw_Data" ref="A1:F1919" totalsRowShown="0" headerRowDxfId="9" headerRowBorderDxfId="8" tableBorderDxfId="7" totalsRowBorderDxfId="6">
  <tableColumns count="6">
    <tableColumn id="1" xr3:uid="{0548CA91-FA84-4D4E-9460-205A80DEDFF0}" name="Year" dataDxfId="5"/>
    <tableColumn id="2" xr3:uid="{C2FC60F7-4745-42C4-B10D-7B27CCDEADBC}" name="Industry" dataDxfId="4"/>
    <tableColumn id="3" xr3:uid="{592D842D-F4DC-40C6-9DB9-C17282A4F806}" name="State" dataDxfId="3"/>
    <tableColumn id="4" xr3:uid="{FE174D0E-3F37-4552-A6C2-F5BB69A22809}" name="Establishments" dataDxfId="2"/>
    <tableColumn id="5" xr3:uid="{1DBAF287-7019-4450-92D6-7648492475C8}" name="Employees" dataDxfId="1"/>
    <tableColumn id="6" xr3:uid="{78A3BCFE-D95E-4F54-9F05-15B43FE5D8A8}" name="Avg Annual Wag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55FC-9082-4669-92FD-BE3254A56176}">
  <dimension ref="A1:F1919"/>
  <sheetViews>
    <sheetView workbookViewId="0">
      <selection activeCell="D23" sqref="D23"/>
    </sheetView>
  </sheetViews>
  <sheetFormatPr defaultRowHeight="14.4" x14ac:dyDescent="0.3"/>
  <cols>
    <col min="1" max="1" width="7.109375" customWidth="1"/>
    <col min="2" max="2" width="19.33203125" bestFit="1" customWidth="1"/>
    <col min="3" max="3" width="14" bestFit="1" customWidth="1"/>
    <col min="4" max="4" width="17.109375" customWidth="1"/>
    <col min="5" max="5" width="12.88671875" customWidth="1"/>
    <col min="6" max="6" width="18.6640625" customWidth="1"/>
  </cols>
  <sheetData>
    <row r="1" spans="1:6" ht="15.6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</row>
    <row r="2" spans="1:6" x14ac:dyDescent="0.3">
      <c r="A2" s="3">
        <v>2020</v>
      </c>
      <c r="B2" s="1" t="s">
        <v>6</v>
      </c>
      <c r="C2" s="1" t="s">
        <v>7</v>
      </c>
      <c r="D2" s="2">
        <v>1829</v>
      </c>
      <c r="E2" s="2">
        <v>18051</v>
      </c>
      <c r="F2" s="4">
        <v>58872</v>
      </c>
    </row>
    <row r="3" spans="1:6" x14ac:dyDescent="0.3">
      <c r="A3" s="3">
        <v>2020</v>
      </c>
      <c r="B3" s="1" t="s">
        <v>6</v>
      </c>
      <c r="C3" s="1" t="s">
        <v>8</v>
      </c>
      <c r="D3" s="2">
        <v>1354</v>
      </c>
      <c r="E3" s="2">
        <v>35607</v>
      </c>
      <c r="F3" s="4">
        <v>55216</v>
      </c>
    </row>
    <row r="4" spans="1:6" x14ac:dyDescent="0.3">
      <c r="A4" s="3">
        <v>2020</v>
      </c>
      <c r="B4" s="1" t="s">
        <v>6</v>
      </c>
      <c r="C4" s="1" t="s">
        <v>9</v>
      </c>
      <c r="D4" s="2">
        <v>2565</v>
      </c>
      <c r="E4" s="2">
        <v>15961</v>
      </c>
      <c r="F4" s="4">
        <v>49909</v>
      </c>
    </row>
    <row r="5" spans="1:6" x14ac:dyDescent="0.3">
      <c r="A5" s="3">
        <v>2020</v>
      </c>
      <c r="B5" s="1" t="s">
        <v>6</v>
      </c>
      <c r="C5" s="1" t="s">
        <v>10</v>
      </c>
      <c r="D5" s="2">
        <v>17651</v>
      </c>
      <c r="E5" s="2">
        <v>425665</v>
      </c>
      <c r="F5" s="4">
        <v>42534</v>
      </c>
    </row>
    <row r="6" spans="1:6" x14ac:dyDescent="0.3">
      <c r="A6" s="3">
        <v>2020</v>
      </c>
      <c r="B6" s="1" t="s">
        <v>6</v>
      </c>
      <c r="C6" s="1" t="s">
        <v>11</v>
      </c>
      <c r="D6" s="2">
        <v>3312</v>
      </c>
      <c r="E6" s="2">
        <v>41633</v>
      </c>
      <c r="F6" s="4">
        <v>91879</v>
      </c>
    </row>
    <row r="7" spans="1:6" x14ac:dyDescent="0.3">
      <c r="A7" s="3">
        <v>2020</v>
      </c>
      <c r="B7" s="1" t="s">
        <v>6</v>
      </c>
      <c r="C7" s="1" t="s">
        <v>12</v>
      </c>
      <c r="D7" s="1">
        <v>467</v>
      </c>
      <c r="E7" s="2">
        <v>5260</v>
      </c>
      <c r="F7" s="4">
        <v>43142</v>
      </c>
    </row>
    <row r="8" spans="1:6" x14ac:dyDescent="0.3">
      <c r="A8" s="3">
        <v>2020</v>
      </c>
      <c r="B8" s="1" t="s">
        <v>6</v>
      </c>
      <c r="C8" s="1" t="s">
        <v>13</v>
      </c>
      <c r="D8" s="1">
        <v>186</v>
      </c>
      <c r="E8" s="2">
        <v>1317</v>
      </c>
      <c r="F8" s="4">
        <v>43290</v>
      </c>
    </row>
    <row r="9" spans="1:6" x14ac:dyDescent="0.3">
      <c r="A9" s="3">
        <v>2020</v>
      </c>
      <c r="B9" s="1" t="s">
        <v>6</v>
      </c>
      <c r="C9" s="1" t="s">
        <v>14</v>
      </c>
      <c r="D9" s="2">
        <v>5394</v>
      </c>
      <c r="E9" s="2">
        <v>71107</v>
      </c>
      <c r="F9" s="4">
        <v>37717</v>
      </c>
    </row>
    <row r="10" spans="1:6" x14ac:dyDescent="0.3">
      <c r="A10" s="3">
        <v>2020</v>
      </c>
      <c r="B10" s="1" t="s">
        <v>6</v>
      </c>
      <c r="C10" s="1" t="s">
        <v>15</v>
      </c>
      <c r="D10" s="2">
        <v>2794</v>
      </c>
      <c r="E10" s="2">
        <v>29309</v>
      </c>
      <c r="F10" s="4">
        <v>45978</v>
      </c>
    </row>
    <row r="11" spans="1:6" x14ac:dyDescent="0.3">
      <c r="A11" s="3">
        <v>2020</v>
      </c>
      <c r="B11" s="1" t="s">
        <v>6</v>
      </c>
      <c r="C11" s="1" t="s">
        <v>16</v>
      </c>
      <c r="D11" s="2">
        <v>2531</v>
      </c>
      <c r="E11" s="2">
        <v>27020</v>
      </c>
      <c r="F11" s="4">
        <v>42820</v>
      </c>
    </row>
    <row r="12" spans="1:6" x14ac:dyDescent="0.3">
      <c r="A12" s="3">
        <v>2020</v>
      </c>
      <c r="B12" s="1" t="s">
        <v>6</v>
      </c>
      <c r="C12" s="1" t="s">
        <v>17</v>
      </c>
      <c r="D12" s="2">
        <v>2818</v>
      </c>
      <c r="E12" s="2">
        <v>24933</v>
      </c>
      <c r="F12" s="4">
        <v>52259</v>
      </c>
    </row>
    <row r="13" spans="1:6" x14ac:dyDescent="0.3">
      <c r="A13" s="3">
        <v>2020</v>
      </c>
      <c r="B13" s="1" t="s">
        <v>6</v>
      </c>
      <c r="C13" s="1" t="s">
        <v>18</v>
      </c>
      <c r="D13" s="2">
        <v>2302</v>
      </c>
      <c r="E13" s="2">
        <v>20872</v>
      </c>
      <c r="F13" s="4">
        <v>50732</v>
      </c>
    </row>
    <row r="14" spans="1:6" x14ac:dyDescent="0.3">
      <c r="A14" s="3">
        <v>2020</v>
      </c>
      <c r="B14" s="1" t="s">
        <v>6</v>
      </c>
      <c r="C14" s="1" t="s">
        <v>19</v>
      </c>
      <c r="D14" s="2">
        <v>2911</v>
      </c>
      <c r="E14" s="2">
        <v>22868</v>
      </c>
      <c r="F14" s="4">
        <v>45588</v>
      </c>
    </row>
    <row r="15" spans="1:6" x14ac:dyDescent="0.3">
      <c r="A15" s="3">
        <v>2020</v>
      </c>
      <c r="B15" s="1" t="s">
        <v>6</v>
      </c>
      <c r="C15" s="1" t="s">
        <v>20</v>
      </c>
      <c r="D15" s="2">
        <v>2613</v>
      </c>
      <c r="E15" s="2">
        <v>18607</v>
      </c>
      <c r="F15" s="4">
        <v>47721</v>
      </c>
    </row>
    <row r="16" spans="1:6" x14ac:dyDescent="0.3">
      <c r="A16" s="3">
        <v>2020</v>
      </c>
      <c r="B16" s="1" t="s">
        <v>6</v>
      </c>
      <c r="C16" s="1" t="s">
        <v>21</v>
      </c>
      <c r="D16" s="2">
        <v>1632</v>
      </c>
      <c r="E16" s="2">
        <v>16061</v>
      </c>
      <c r="F16" s="4">
        <v>54605</v>
      </c>
    </row>
    <row r="17" spans="1:6" x14ac:dyDescent="0.3">
      <c r="A17" s="3">
        <v>2020</v>
      </c>
      <c r="B17" s="1" t="s">
        <v>6</v>
      </c>
      <c r="C17" s="1" t="s">
        <v>22</v>
      </c>
      <c r="D17" s="2">
        <v>3143</v>
      </c>
      <c r="E17" s="2">
        <v>37751</v>
      </c>
      <c r="F17" s="4">
        <v>86727</v>
      </c>
    </row>
    <row r="18" spans="1:6" x14ac:dyDescent="0.3">
      <c r="A18" s="3">
        <v>2020</v>
      </c>
      <c r="B18" s="1" t="s">
        <v>6</v>
      </c>
      <c r="C18" s="1" t="s">
        <v>23</v>
      </c>
      <c r="D18" s="2">
        <v>1581</v>
      </c>
      <c r="E18" s="2">
        <v>7787</v>
      </c>
      <c r="F18" s="4">
        <v>41422</v>
      </c>
    </row>
    <row r="19" spans="1:6" x14ac:dyDescent="0.3">
      <c r="A19" s="3">
        <v>2020</v>
      </c>
      <c r="B19" s="1" t="s">
        <v>6</v>
      </c>
      <c r="C19" s="1" t="s">
        <v>24</v>
      </c>
      <c r="D19" s="1">
        <v>720</v>
      </c>
      <c r="E19" s="2">
        <v>7112</v>
      </c>
      <c r="F19" s="4">
        <v>46887</v>
      </c>
    </row>
    <row r="20" spans="1:6" x14ac:dyDescent="0.3">
      <c r="A20" s="3">
        <v>2020</v>
      </c>
      <c r="B20" s="1" t="s">
        <v>6</v>
      </c>
      <c r="C20" s="1" t="s">
        <v>25</v>
      </c>
      <c r="D20" s="1">
        <v>999</v>
      </c>
      <c r="E20" s="2">
        <v>11134</v>
      </c>
      <c r="F20" s="4">
        <v>64628</v>
      </c>
    </row>
    <row r="21" spans="1:6" x14ac:dyDescent="0.3">
      <c r="A21" s="3">
        <v>2020</v>
      </c>
      <c r="B21" s="1" t="s">
        <v>6</v>
      </c>
      <c r="C21" s="1" t="s">
        <v>26</v>
      </c>
      <c r="D21" s="2">
        <v>3574</v>
      </c>
      <c r="E21" s="2">
        <v>34897</v>
      </c>
      <c r="F21" s="4">
        <v>43309</v>
      </c>
    </row>
    <row r="22" spans="1:6" x14ac:dyDescent="0.3">
      <c r="A22" s="3">
        <v>2020</v>
      </c>
      <c r="B22" s="1" t="s">
        <v>6</v>
      </c>
      <c r="C22" s="1" t="s">
        <v>27</v>
      </c>
      <c r="D22" s="2">
        <v>3175</v>
      </c>
      <c r="E22" s="2">
        <v>28204</v>
      </c>
      <c r="F22" s="4">
        <v>51276</v>
      </c>
    </row>
    <row r="23" spans="1:6" x14ac:dyDescent="0.3">
      <c r="A23" s="3">
        <v>2020</v>
      </c>
      <c r="B23" s="1" t="s">
        <v>6</v>
      </c>
      <c r="C23" s="1" t="s">
        <v>28</v>
      </c>
      <c r="D23" s="2">
        <v>2070</v>
      </c>
      <c r="E23" s="2">
        <v>14561</v>
      </c>
      <c r="F23" s="4">
        <v>50525</v>
      </c>
    </row>
    <row r="24" spans="1:6" x14ac:dyDescent="0.3">
      <c r="A24" s="3">
        <v>2020</v>
      </c>
      <c r="B24" s="1" t="s">
        <v>6</v>
      </c>
      <c r="C24" s="1" t="s">
        <v>29</v>
      </c>
      <c r="D24" s="2">
        <v>2123</v>
      </c>
      <c r="E24" s="2">
        <v>16963</v>
      </c>
      <c r="F24" s="4">
        <v>46677</v>
      </c>
    </row>
    <row r="25" spans="1:6" x14ac:dyDescent="0.3">
      <c r="A25" s="3">
        <v>2020</v>
      </c>
      <c r="B25" s="1" t="s">
        <v>6</v>
      </c>
      <c r="C25" s="1" t="s">
        <v>30</v>
      </c>
      <c r="D25" s="2">
        <v>1847</v>
      </c>
      <c r="E25" s="2">
        <v>12449</v>
      </c>
      <c r="F25" s="4">
        <v>65945</v>
      </c>
    </row>
    <row r="26" spans="1:6" x14ac:dyDescent="0.3">
      <c r="A26" s="3">
        <v>2020</v>
      </c>
      <c r="B26" s="1" t="s">
        <v>6</v>
      </c>
      <c r="C26" s="1" t="s">
        <v>31</v>
      </c>
      <c r="D26" s="2">
        <v>2469</v>
      </c>
      <c r="E26" s="2">
        <v>16054</v>
      </c>
      <c r="F26" s="4">
        <v>44449</v>
      </c>
    </row>
    <row r="27" spans="1:6" x14ac:dyDescent="0.3">
      <c r="A27" s="3">
        <v>2020</v>
      </c>
      <c r="B27" s="1" t="s">
        <v>6</v>
      </c>
      <c r="C27" s="1" t="s">
        <v>32</v>
      </c>
      <c r="D27" s="1">
        <v>598</v>
      </c>
      <c r="E27" s="2">
        <v>19509</v>
      </c>
      <c r="F27" s="4">
        <v>88060</v>
      </c>
    </row>
    <row r="28" spans="1:6" x14ac:dyDescent="0.3">
      <c r="A28" s="3">
        <v>2020</v>
      </c>
      <c r="B28" s="1" t="s">
        <v>6</v>
      </c>
      <c r="C28" s="1" t="s">
        <v>33</v>
      </c>
      <c r="D28" s="1">
        <v>350</v>
      </c>
      <c r="E28" s="2">
        <v>2671</v>
      </c>
      <c r="F28" s="4">
        <v>48051</v>
      </c>
    </row>
    <row r="29" spans="1:6" x14ac:dyDescent="0.3">
      <c r="A29" s="3">
        <v>2020</v>
      </c>
      <c r="B29" s="1" t="s">
        <v>6</v>
      </c>
      <c r="C29" s="1" t="s">
        <v>34</v>
      </c>
      <c r="D29" s="1">
        <v>999</v>
      </c>
      <c r="E29" s="2">
        <v>11868</v>
      </c>
      <c r="F29" s="4">
        <v>44634</v>
      </c>
    </row>
    <row r="30" spans="1:6" x14ac:dyDescent="0.3">
      <c r="A30" s="3">
        <v>2020</v>
      </c>
      <c r="B30" s="1" t="s">
        <v>6</v>
      </c>
      <c r="C30" s="1" t="s">
        <v>35</v>
      </c>
      <c r="D30" s="2">
        <v>2064</v>
      </c>
      <c r="E30" s="2">
        <v>30471</v>
      </c>
      <c r="F30" s="4">
        <v>65885</v>
      </c>
    </row>
    <row r="31" spans="1:6" x14ac:dyDescent="0.3">
      <c r="A31" s="3">
        <v>2020</v>
      </c>
      <c r="B31" s="1" t="s">
        <v>6</v>
      </c>
      <c r="C31" s="1" t="s">
        <v>36</v>
      </c>
      <c r="D31" s="2">
        <v>3335</v>
      </c>
      <c r="E31" s="2">
        <v>31214</v>
      </c>
      <c r="F31" s="4">
        <v>44384</v>
      </c>
    </row>
    <row r="32" spans="1:6" x14ac:dyDescent="0.3">
      <c r="A32" s="3">
        <v>2020</v>
      </c>
      <c r="B32" s="1" t="s">
        <v>6</v>
      </c>
      <c r="C32" s="1" t="s">
        <v>37</v>
      </c>
      <c r="D32" s="2">
        <v>3428</v>
      </c>
      <c r="E32" s="2">
        <v>29560</v>
      </c>
      <c r="F32" s="4">
        <v>42720</v>
      </c>
    </row>
    <row r="33" spans="1:6" x14ac:dyDescent="0.3">
      <c r="A33" s="3">
        <v>2020</v>
      </c>
      <c r="B33" s="1" t="s">
        <v>6</v>
      </c>
      <c r="C33" s="1" t="s">
        <v>38</v>
      </c>
      <c r="D33" s="2">
        <v>1830</v>
      </c>
      <c r="E33" s="2">
        <v>19954</v>
      </c>
      <c r="F33" s="4">
        <v>92355</v>
      </c>
    </row>
    <row r="34" spans="1:6" x14ac:dyDescent="0.3">
      <c r="A34" s="3">
        <v>2020</v>
      </c>
      <c r="B34" s="1" t="s">
        <v>6</v>
      </c>
      <c r="C34" s="1" t="s">
        <v>39</v>
      </c>
      <c r="D34" s="2">
        <v>2541</v>
      </c>
      <c r="E34" s="2">
        <v>25841</v>
      </c>
      <c r="F34" s="4">
        <v>51404</v>
      </c>
    </row>
    <row r="35" spans="1:6" x14ac:dyDescent="0.3">
      <c r="A35" s="3">
        <v>2020</v>
      </c>
      <c r="B35" s="1" t="s">
        <v>6</v>
      </c>
      <c r="C35" s="1" t="s">
        <v>40</v>
      </c>
      <c r="D35" s="2">
        <v>4355</v>
      </c>
      <c r="E35" s="2">
        <v>40722</v>
      </c>
      <c r="F35" s="4">
        <v>90660</v>
      </c>
    </row>
    <row r="36" spans="1:6" x14ac:dyDescent="0.3">
      <c r="A36" s="3">
        <v>2020</v>
      </c>
      <c r="B36" s="1" t="s">
        <v>6</v>
      </c>
      <c r="C36" s="1" t="s">
        <v>41</v>
      </c>
      <c r="D36" s="2">
        <v>4739</v>
      </c>
      <c r="E36" s="2">
        <v>54360</v>
      </c>
      <c r="F36" s="4">
        <v>40689</v>
      </c>
    </row>
    <row r="37" spans="1:6" x14ac:dyDescent="0.3">
      <c r="A37" s="3">
        <v>2020</v>
      </c>
      <c r="B37" s="1" t="s">
        <v>6</v>
      </c>
      <c r="C37" s="1" t="s">
        <v>42</v>
      </c>
      <c r="D37" s="2">
        <v>3629</v>
      </c>
      <c r="E37" s="2">
        <v>47789</v>
      </c>
      <c r="F37" s="4">
        <v>61949</v>
      </c>
    </row>
    <row r="38" spans="1:6" x14ac:dyDescent="0.3">
      <c r="A38" s="3">
        <v>2020</v>
      </c>
      <c r="B38" s="1" t="s">
        <v>6</v>
      </c>
      <c r="C38" s="1" t="s">
        <v>43</v>
      </c>
      <c r="D38" s="1">
        <v>205</v>
      </c>
      <c r="E38" s="2">
        <v>1128</v>
      </c>
      <c r="F38" s="4">
        <v>42071</v>
      </c>
    </row>
    <row r="39" spans="1:6" x14ac:dyDescent="0.3">
      <c r="A39" s="3">
        <v>2020</v>
      </c>
      <c r="B39" s="1" t="s">
        <v>6</v>
      </c>
      <c r="C39" s="1" t="s">
        <v>44</v>
      </c>
      <c r="D39" s="2">
        <v>1375</v>
      </c>
      <c r="E39" s="2">
        <v>12442</v>
      </c>
      <c r="F39" s="4">
        <v>44990</v>
      </c>
    </row>
    <row r="40" spans="1:6" x14ac:dyDescent="0.3">
      <c r="A40" s="3">
        <v>2020</v>
      </c>
      <c r="B40" s="1" t="s">
        <v>6</v>
      </c>
      <c r="C40" s="1" t="s">
        <v>45</v>
      </c>
      <c r="D40" s="2">
        <v>1099</v>
      </c>
      <c r="E40" s="2">
        <v>7137</v>
      </c>
      <c r="F40" s="4">
        <v>45582</v>
      </c>
    </row>
    <row r="41" spans="1:6" x14ac:dyDescent="0.3">
      <c r="A41" s="3">
        <v>2020</v>
      </c>
      <c r="B41" s="1" t="s">
        <v>6</v>
      </c>
      <c r="C41" s="1" t="s">
        <v>46</v>
      </c>
      <c r="D41" s="2">
        <v>1130</v>
      </c>
      <c r="E41" s="2">
        <v>11134</v>
      </c>
      <c r="F41" s="4">
        <v>48930</v>
      </c>
    </row>
    <row r="42" spans="1:6" x14ac:dyDescent="0.3">
      <c r="A42" s="3">
        <v>2020</v>
      </c>
      <c r="B42" s="1" t="s">
        <v>6</v>
      </c>
      <c r="C42" s="1" t="s">
        <v>47</v>
      </c>
      <c r="D42" s="2">
        <v>19698</v>
      </c>
      <c r="E42" s="2">
        <v>249859</v>
      </c>
      <c r="F42" s="4">
        <v>117086</v>
      </c>
    </row>
    <row r="43" spans="1:6" x14ac:dyDescent="0.3">
      <c r="A43" s="3">
        <v>2020</v>
      </c>
      <c r="B43" s="1" t="s">
        <v>6</v>
      </c>
      <c r="C43" s="1" t="s">
        <v>48</v>
      </c>
      <c r="D43" s="2">
        <v>1066</v>
      </c>
      <c r="E43" s="2">
        <v>14648</v>
      </c>
      <c r="F43" s="4">
        <v>65747</v>
      </c>
    </row>
    <row r="44" spans="1:6" x14ac:dyDescent="0.3">
      <c r="A44" s="3">
        <v>2020</v>
      </c>
      <c r="B44" s="1" t="s">
        <v>6</v>
      </c>
      <c r="C44" s="1" t="s">
        <v>49</v>
      </c>
      <c r="D44" s="1">
        <v>571</v>
      </c>
      <c r="E44" s="2">
        <v>4095</v>
      </c>
      <c r="F44" s="4">
        <v>41096</v>
      </c>
    </row>
    <row r="45" spans="1:6" x14ac:dyDescent="0.3">
      <c r="A45" s="3">
        <v>2020</v>
      </c>
      <c r="B45" s="1" t="s">
        <v>6</v>
      </c>
      <c r="C45" s="1" t="s">
        <v>50</v>
      </c>
      <c r="D45" s="2">
        <v>2073</v>
      </c>
      <c r="E45" s="2">
        <v>17603</v>
      </c>
      <c r="F45" s="4">
        <v>48671</v>
      </c>
    </row>
    <row r="46" spans="1:6" x14ac:dyDescent="0.3">
      <c r="A46" s="3">
        <v>2020</v>
      </c>
      <c r="B46" s="1" t="s">
        <v>6</v>
      </c>
      <c r="C46" s="1" t="s">
        <v>51</v>
      </c>
      <c r="D46" s="2">
        <v>6971</v>
      </c>
      <c r="E46" s="2">
        <v>101358</v>
      </c>
      <c r="F46" s="4">
        <v>36964</v>
      </c>
    </row>
    <row r="47" spans="1:6" x14ac:dyDescent="0.3">
      <c r="A47" s="3">
        <v>2020</v>
      </c>
      <c r="B47" s="1" t="s">
        <v>6</v>
      </c>
      <c r="C47" s="1" t="s">
        <v>52</v>
      </c>
      <c r="D47" s="2">
        <v>1117</v>
      </c>
      <c r="E47" s="2">
        <v>18455</v>
      </c>
      <c r="F47" s="4">
        <v>78059</v>
      </c>
    </row>
    <row r="48" spans="1:6" x14ac:dyDescent="0.3">
      <c r="A48" s="3">
        <v>2020</v>
      </c>
      <c r="B48" s="1" t="s">
        <v>6</v>
      </c>
      <c r="C48" s="1" t="s">
        <v>53</v>
      </c>
      <c r="D48" s="2">
        <v>2872</v>
      </c>
      <c r="E48" s="2">
        <v>30781</v>
      </c>
      <c r="F48" s="4">
        <v>41928</v>
      </c>
    </row>
    <row r="49" spans="1:6" x14ac:dyDescent="0.3">
      <c r="A49" s="3">
        <v>2020</v>
      </c>
      <c r="B49" s="1" t="s">
        <v>6</v>
      </c>
      <c r="C49" s="1" t="s">
        <v>54</v>
      </c>
      <c r="D49" s="2">
        <v>1440</v>
      </c>
      <c r="E49" s="2">
        <v>19091</v>
      </c>
      <c r="F49" s="4">
        <v>83063</v>
      </c>
    </row>
    <row r="50" spans="1:6" x14ac:dyDescent="0.3">
      <c r="A50" s="3">
        <v>2020</v>
      </c>
      <c r="B50" s="1" t="s">
        <v>55</v>
      </c>
      <c r="C50" s="1" t="s">
        <v>7</v>
      </c>
      <c r="D50" s="2">
        <v>10335</v>
      </c>
      <c r="E50" s="2">
        <v>92772</v>
      </c>
      <c r="F50" s="4">
        <v>59279</v>
      </c>
    </row>
    <row r="51" spans="1:6" x14ac:dyDescent="0.3">
      <c r="A51" s="3">
        <v>2020</v>
      </c>
      <c r="B51" s="1" t="s">
        <v>55</v>
      </c>
      <c r="C51" s="1" t="s">
        <v>8</v>
      </c>
      <c r="D51" s="2">
        <v>14006</v>
      </c>
      <c r="E51" s="2">
        <v>173852</v>
      </c>
      <c r="F51" s="4">
        <v>63056</v>
      </c>
    </row>
    <row r="52" spans="1:6" x14ac:dyDescent="0.3">
      <c r="A52" s="3">
        <v>2020</v>
      </c>
      <c r="B52" s="1" t="s">
        <v>55</v>
      </c>
      <c r="C52" s="1" t="s">
        <v>9</v>
      </c>
      <c r="D52" s="2">
        <v>7277</v>
      </c>
      <c r="E52" s="2">
        <v>53142</v>
      </c>
      <c r="F52" s="4">
        <v>52247</v>
      </c>
    </row>
    <row r="53" spans="1:6" x14ac:dyDescent="0.3">
      <c r="A53" s="3">
        <v>2020</v>
      </c>
      <c r="B53" s="1" t="s">
        <v>55</v>
      </c>
      <c r="C53" s="1" t="s">
        <v>10</v>
      </c>
      <c r="D53" s="2">
        <v>86322</v>
      </c>
      <c r="E53" s="2">
        <v>855879</v>
      </c>
      <c r="F53" s="4">
        <v>76740</v>
      </c>
    </row>
    <row r="54" spans="1:6" x14ac:dyDescent="0.3">
      <c r="A54" s="3">
        <v>2020</v>
      </c>
      <c r="B54" s="1" t="s">
        <v>55</v>
      </c>
      <c r="C54" s="1" t="s">
        <v>11</v>
      </c>
      <c r="D54" s="2">
        <v>21025</v>
      </c>
      <c r="E54" s="2">
        <v>174730</v>
      </c>
      <c r="F54" s="4">
        <v>68209</v>
      </c>
    </row>
    <row r="55" spans="1:6" x14ac:dyDescent="0.3">
      <c r="A55" s="3">
        <v>2020</v>
      </c>
      <c r="B55" s="1" t="s">
        <v>55</v>
      </c>
      <c r="C55" s="1" t="s">
        <v>12</v>
      </c>
      <c r="D55" s="2">
        <v>9415</v>
      </c>
      <c r="E55" s="2">
        <v>56915</v>
      </c>
      <c r="F55" s="4">
        <v>75591</v>
      </c>
    </row>
    <row r="56" spans="1:6" x14ac:dyDescent="0.3">
      <c r="A56" s="3">
        <v>2020</v>
      </c>
      <c r="B56" s="1" t="s">
        <v>55</v>
      </c>
      <c r="C56" s="1" t="s">
        <v>13</v>
      </c>
      <c r="D56" s="2">
        <v>3106</v>
      </c>
      <c r="E56" s="2">
        <v>22403</v>
      </c>
      <c r="F56" s="4">
        <v>64977</v>
      </c>
    </row>
    <row r="57" spans="1:6" x14ac:dyDescent="0.3">
      <c r="A57" s="3">
        <v>2020</v>
      </c>
      <c r="B57" s="1" t="s">
        <v>55</v>
      </c>
      <c r="C57" s="1" t="s">
        <v>14</v>
      </c>
      <c r="D57" s="2">
        <v>76308</v>
      </c>
      <c r="E57" s="2">
        <v>561991</v>
      </c>
      <c r="F57" s="4">
        <v>55910</v>
      </c>
    </row>
    <row r="58" spans="1:6" x14ac:dyDescent="0.3">
      <c r="A58" s="3">
        <v>2020</v>
      </c>
      <c r="B58" s="1" t="s">
        <v>55</v>
      </c>
      <c r="C58" s="1" t="s">
        <v>15</v>
      </c>
      <c r="D58" s="2">
        <v>22906</v>
      </c>
      <c r="E58" s="2">
        <v>200710</v>
      </c>
      <c r="F58" s="4">
        <v>66214</v>
      </c>
    </row>
    <row r="59" spans="1:6" x14ac:dyDescent="0.3">
      <c r="A59" s="3">
        <v>2020</v>
      </c>
      <c r="B59" s="1" t="s">
        <v>55</v>
      </c>
      <c r="C59" s="1" t="s">
        <v>16</v>
      </c>
      <c r="D59" s="2">
        <v>9159</v>
      </c>
      <c r="E59" s="2">
        <v>53385</v>
      </c>
      <c r="F59" s="4">
        <v>48649</v>
      </c>
    </row>
    <row r="60" spans="1:6" x14ac:dyDescent="0.3">
      <c r="A60" s="3">
        <v>2020</v>
      </c>
      <c r="B60" s="1" t="s">
        <v>55</v>
      </c>
      <c r="C60" s="1" t="s">
        <v>17</v>
      </c>
      <c r="D60" s="2">
        <v>32538</v>
      </c>
      <c r="E60" s="2">
        <v>216664</v>
      </c>
      <c r="F60" s="4">
        <v>76581</v>
      </c>
    </row>
    <row r="61" spans="1:6" x14ac:dyDescent="0.3">
      <c r="A61" s="3">
        <v>2020</v>
      </c>
      <c r="B61" s="1" t="s">
        <v>55</v>
      </c>
      <c r="C61" s="1" t="s">
        <v>18</v>
      </c>
      <c r="D61" s="2">
        <v>15617</v>
      </c>
      <c r="E61" s="2">
        <v>144001</v>
      </c>
      <c r="F61" s="4">
        <v>62619</v>
      </c>
    </row>
    <row r="62" spans="1:6" x14ac:dyDescent="0.3">
      <c r="A62" s="3">
        <v>2020</v>
      </c>
      <c r="B62" s="1" t="s">
        <v>55</v>
      </c>
      <c r="C62" s="1" t="s">
        <v>19</v>
      </c>
      <c r="D62" s="2">
        <v>9434</v>
      </c>
      <c r="E62" s="2">
        <v>76561</v>
      </c>
      <c r="F62" s="4">
        <v>61831</v>
      </c>
    </row>
    <row r="63" spans="1:6" x14ac:dyDescent="0.3">
      <c r="A63" s="3">
        <v>2020</v>
      </c>
      <c r="B63" s="1" t="s">
        <v>55</v>
      </c>
      <c r="C63" s="1" t="s">
        <v>20</v>
      </c>
      <c r="D63" s="2">
        <v>7355</v>
      </c>
      <c r="E63" s="2">
        <v>63118</v>
      </c>
      <c r="F63" s="4">
        <v>59126</v>
      </c>
    </row>
    <row r="64" spans="1:6" x14ac:dyDescent="0.3">
      <c r="A64" s="3">
        <v>2020</v>
      </c>
      <c r="B64" s="1" t="s">
        <v>55</v>
      </c>
      <c r="C64" s="1" t="s">
        <v>21</v>
      </c>
      <c r="D64" s="2">
        <v>9832</v>
      </c>
      <c r="E64" s="2">
        <v>77924</v>
      </c>
      <c r="F64" s="4">
        <v>58484</v>
      </c>
    </row>
    <row r="65" spans="1:6" x14ac:dyDescent="0.3">
      <c r="A65" s="3">
        <v>2020</v>
      </c>
      <c r="B65" s="1" t="s">
        <v>55</v>
      </c>
      <c r="C65" s="1" t="s">
        <v>22</v>
      </c>
      <c r="D65" s="2">
        <v>11349</v>
      </c>
      <c r="E65" s="2">
        <v>121521</v>
      </c>
      <c r="F65" s="4">
        <v>65354</v>
      </c>
    </row>
    <row r="66" spans="1:6" x14ac:dyDescent="0.3">
      <c r="A66" s="3">
        <v>2020</v>
      </c>
      <c r="B66" s="1" t="s">
        <v>55</v>
      </c>
      <c r="C66" s="1" t="s">
        <v>23</v>
      </c>
      <c r="D66" s="2">
        <v>5732</v>
      </c>
      <c r="E66" s="2">
        <v>30344</v>
      </c>
      <c r="F66" s="4">
        <v>55607</v>
      </c>
    </row>
    <row r="67" spans="1:6" x14ac:dyDescent="0.3">
      <c r="A67" s="3">
        <v>2020</v>
      </c>
      <c r="B67" s="1" t="s">
        <v>55</v>
      </c>
      <c r="C67" s="1" t="s">
        <v>24</v>
      </c>
      <c r="D67" s="2">
        <v>16346</v>
      </c>
      <c r="E67" s="2">
        <v>160039</v>
      </c>
      <c r="F67" s="4">
        <v>70642</v>
      </c>
    </row>
    <row r="68" spans="1:6" x14ac:dyDescent="0.3">
      <c r="A68" s="3">
        <v>2020</v>
      </c>
      <c r="B68" s="1" t="s">
        <v>55</v>
      </c>
      <c r="C68" s="1" t="s">
        <v>25</v>
      </c>
      <c r="D68" s="2">
        <v>21102</v>
      </c>
      <c r="E68" s="2">
        <v>152366</v>
      </c>
      <c r="F68" s="4">
        <v>84958</v>
      </c>
    </row>
    <row r="69" spans="1:6" x14ac:dyDescent="0.3">
      <c r="A69" s="3">
        <v>2020</v>
      </c>
      <c r="B69" s="1" t="s">
        <v>55</v>
      </c>
      <c r="C69" s="1" t="s">
        <v>26</v>
      </c>
      <c r="D69" s="2">
        <v>21646</v>
      </c>
      <c r="E69" s="2">
        <v>164028</v>
      </c>
      <c r="F69" s="4">
        <v>67631</v>
      </c>
    </row>
    <row r="70" spans="1:6" x14ac:dyDescent="0.3">
      <c r="A70" s="3">
        <v>2020</v>
      </c>
      <c r="B70" s="1" t="s">
        <v>55</v>
      </c>
      <c r="C70" s="1" t="s">
        <v>27</v>
      </c>
      <c r="D70" s="2">
        <v>16952</v>
      </c>
      <c r="E70" s="2">
        <v>123866</v>
      </c>
      <c r="F70" s="4">
        <v>72942</v>
      </c>
    </row>
    <row r="71" spans="1:6" x14ac:dyDescent="0.3">
      <c r="A71" s="3">
        <v>2020</v>
      </c>
      <c r="B71" s="1" t="s">
        <v>55</v>
      </c>
      <c r="C71" s="1" t="s">
        <v>28</v>
      </c>
      <c r="D71" s="2">
        <v>5839</v>
      </c>
      <c r="E71" s="2">
        <v>43888</v>
      </c>
      <c r="F71" s="4">
        <v>53779</v>
      </c>
    </row>
    <row r="72" spans="1:6" x14ac:dyDescent="0.3">
      <c r="A72" s="3">
        <v>2020</v>
      </c>
      <c r="B72" s="1" t="s">
        <v>55</v>
      </c>
      <c r="C72" s="1" t="s">
        <v>29</v>
      </c>
      <c r="D72" s="2">
        <v>15735</v>
      </c>
      <c r="E72" s="2">
        <v>126375</v>
      </c>
      <c r="F72" s="4">
        <v>64664</v>
      </c>
    </row>
    <row r="73" spans="1:6" x14ac:dyDescent="0.3">
      <c r="A73" s="3">
        <v>2020</v>
      </c>
      <c r="B73" s="1" t="s">
        <v>55</v>
      </c>
      <c r="C73" s="1" t="s">
        <v>30</v>
      </c>
      <c r="D73" s="2">
        <v>6813</v>
      </c>
      <c r="E73" s="2">
        <v>30793</v>
      </c>
      <c r="F73" s="4">
        <v>55897</v>
      </c>
    </row>
    <row r="74" spans="1:6" x14ac:dyDescent="0.3">
      <c r="A74" s="3">
        <v>2020</v>
      </c>
      <c r="B74" s="1" t="s">
        <v>55</v>
      </c>
      <c r="C74" s="1" t="s">
        <v>31</v>
      </c>
      <c r="D74" s="2">
        <v>7000</v>
      </c>
      <c r="E74" s="2">
        <v>55249</v>
      </c>
      <c r="F74" s="4">
        <v>56548</v>
      </c>
    </row>
    <row r="75" spans="1:6" x14ac:dyDescent="0.3">
      <c r="A75" s="3">
        <v>2020</v>
      </c>
      <c r="B75" s="1" t="s">
        <v>55</v>
      </c>
      <c r="C75" s="1" t="s">
        <v>32</v>
      </c>
      <c r="D75" s="2">
        <v>5757</v>
      </c>
      <c r="E75" s="2">
        <v>93450</v>
      </c>
      <c r="F75" s="4">
        <v>67902</v>
      </c>
    </row>
    <row r="76" spans="1:6" x14ac:dyDescent="0.3">
      <c r="A76" s="3">
        <v>2020</v>
      </c>
      <c r="B76" s="1" t="s">
        <v>55</v>
      </c>
      <c r="C76" s="1" t="s">
        <v>33</v>
      </c>
      <c r="D76" s="2">
        <v>4901</v>
      </c>
      <c r="E76" s="2">
        <v>27866</v>
      </c>
      <c r="F76" s="4">
        <v>68870</v>
      </c>
    </row>
    <row r="77" spans="1:6" x14ac:dyDescent="0.3">
      <c r="A77" s="3">
        <v>2020</v>
      </c>
      <c r="B77" s="1" t="s">
        <v>55</v>
      </c>
      <c r="C77" s="1" t="s">
        <v>34</v>
      </c>
      <c r="D77" s="2">
        <v>22711</v>
      </c>
      <c r="E77" s="2">
        <v>151469</v>
      </c>
      <c r="F77" s="4">
        <v>77924</v>
      </c>
    </row>
    <row r="78" spans="1:6" x14ac:dyDescent="0.3">
      <c r="A78" s="3">
        <v>2020</v>
      </c>
      <c r="B78" s="1" t="s">
        <v>55</v>
      </c>
      <c r="C78" s="1" t="s">
        <v>35</v>
      </c>
      <c r="D78" s="2">
        <v>5485</v>
      </c>
      <c r="E78" s="2">
        <v>48577</v>
      </c>
      <c r="F78" s="4">
        <v>53439</v>
      </c>
    </row>
    <row r="79" spans="1:6" x14ac:dyDescent="0.3">
      <c r="A79" s="3">
        <v>2020</v>
      </c>
      <c r="B79" s="1" t="s">
        <v>55</v>
      </c>
      <c r="C79" s="1" t="s">
        <v>36</v>
      </c>
      <c r="D79" s="2">
        <v>50929</v>
      </c>
      <c r="E79" s="2">
        <v>361821</v>
      </c>
      <c r="F79" s="4">
        <v>78199</v>
      </c>
    </row>
    <row r="80" spans="1:6" x14ac:dyDescent="0.3">
      <c r="A80" s="3">
        <v>2020</v>
      </c>
      <c r="B80" s="1" t="s">
        <v>55</v>
      </c>
      <c r="C80" s="1" t="s">
        <v>37</v>
      </c>
      <c r="D80" s="2">
        <v>29231</v>
      </c>
      <c r="E80" s="2">
        <v>229369</v>
      </c>
      <c r="F80" s="4">
        <v>59177</v>
      </c>
    </row>
    <row r="81" spans="1:6" x14ac:dyDescent="0.3">
      <c r="A81" s="3">
        <v>2020</v>
      </c>
      <c r="B81" s="1" t="s">
        <v>55</v>
      </c>
      <c r="C81" s="1" t="s">
        <v>38</v>
      </c>
      <c r="D81" s="2">
        <v>3669</v>
      </c>
      <c r="E81" s="2">
        <v>25364</v>
      </c>
      <c r="F81" s="4">
        <v>66729</v>
      </c>
    </row>
    <row r="82" spans="1:6" x14ac:dyDescent="0.3">
      <c r="A82" s="3">
        <v>2020</v>
      </c>
      <c r="B82" s="1" t="s">
        <v>55</v>
      </c>
      <c r="C82" s="1" t="s">
        <v>39</v>
      </c>
      <c r="D82" s="2">
        <v>23650</v>
      </c>
      <c r="E82" s="2">
        <v>218531</v>
      </c>
      <c r="F82" s="4">
        <v>65104</v>
      </c>
    </row>
    <row r="83" spans="1:6" x14ac:dyDescent="0.3">
      <c r="A83" s="3">
        <v>2020</v>
      </c>
      <c r="B83" s="1" t="s">
        <v>55</v>
      </c>
      <c r="C83" s="1" t="s">
        <v>40</v>
      </c>
      <c r="D83" s="2">
        <v>9855</v>
      </c>
      <c r="E83" s="2">
        <v>78772</v>
      </c>
      <c r="F83" s="4">
        <v>55099</v>
      </c>
    </row>
    <row r="84" spans="1:6" x14ac:dyDescent="0.3">
      <c r="A84" s="3">
        <v>2020</v>
      </c>
      <c r="B84" s="1" t="s">
        <v>55</v>
      </c>
      <c r="C84" s="1" t="s">
        <v>41</v>
      </c>
      <c r="D84" s="2">
        <v>14899</v>
      </c>
      <c r="E84" s="2">
        <v>107568</v>
      </c>
      <c r="F84" s="4">
        <v>66876</v>
      </c>
    </row>
    <row r="85" spans="1:6" x14ac:dyDescent="0.3">
      <c r="A85" s="3">
        <v>2020</v>
      </c>
      <c r="B85" s="1" t="s">
        <v>55</v>
      </c>
      <c r="C85" s="1" t="s">
        <v>42</v>
      </c>
      <c r="D85" s="2">
        <v>29345</v>
      </c>
      <c r="E85" s="2">
        <v>241570</v>
      </c>
      <c r="F85" s="4">
        <v>70639</v>
      </c>
    </row>
    <row r="86" spans="1:6" x14ac:dyDescent="0.3">
      <c r="A86" s="3">
        <v>2020</v>
      </c>
      <c r="B86" s="1" t="s">
        <v>55</v>
      </c>
      <c r="C86" s="1" t="s">
        <v>43</v>
      </c>
      <c r="D86" s="2">
        <v>3878</v>
      </c>
      <c r="E86" s="2">
        <v>18924</v>
      </c>
      <c r="F86" s="4">
        <v>66955</v>
      </c>
    </row>
    <row r="87" spans="1:6" x14ac:dyDescent="0.3">
      <c r="A87" s="3">
        <v>2020</v>
      </c>
      <c r="B87" s="1" t="s">
        <v>55</v>
      </c>
      <c r="C87" s="1" t="s">
        <v>44</v>
      </c>
      <c r="D87" s="2">
        <v>13348</v>
      </c>
      <c r="E87" s="2">
        <v>103647</v>
      </c>
      <c r="F87" s="4">
        <v>57906</v>
      </c>
    </row>
    <row r="88" spans="1:6" x14ac:dyDescent="0.3">
      <c r="A88" s="3">
        <v>2020</v>
      </c>
      <c r="B88" s="1" t="s">
        <v>55</v>
      </c>
      <c r="C88" s="1" t="s">
        <v>45</v>
      </c>
      <c r="D88" s="2">
        <v>3954</v>
      </c>
      <c r="E88" s="2">
        <v>24410</v>
      </c>
      <c r="F88" s="4">
        <v>54005</v>
      </c>
    </row>
    <row r="89" spans="1:6" x14ac:dyDescent="0.3">
      <c r="A89" s="3">
        <v>2020</v>
      </c>
      <c r="B89" s="1" t="s">
        <v>55</v>
      </c>
      <c r="C89" s="1" t="s">
        <v>46</v>
      </c>
      <c r="D89" s="2">
        <v>12894</v>
      </c>
      <c r="E89" s="2">
        <v>130050</v>
      </c>
      <c r="F89" s="4">
        <v>62259</v>
      </c>
    </row>
    <row r="90" spans="1:6" x14ac:dyDescent="0.3">
      <c r="A90" s="3">
        <v>2020</v>
      </c>
      <c r="B90" s="1" t="s">
        <v>55</v>
      </c>
      <c r="C90" s="1" t="s">
        <v>47</v>
      </c>
      <c r="D90" s="2">
        <v>55014</v>
      </c>
      <c r="E90" s="2">
        <v>737125</v>
      </c>
      <c r="F90" s="4">
        <v>68929</v>
      </c>
    </row>
    <row r="91" spans="1:6" x14ac:dyDescent="0.3">
      <c r="A91" s="3">
        <v>2020</v>
      </c>
      <c r="B91" s="1" t="s">
        <v>55</v>
      </c>
      <c r="C91" s="1" t="s">
        <v>48</v>
      </c>
      <c r="D91" s="2">
        <v>12932</v>
      </c>
      <c r="E91" s="2">
        <v>115416</v>
      </c>
      <c r="F91" s="4">
        <v>57474</v>
      </c>
    </row>
    <row r="92" spans="1:6" x14ac:dyDescent="0.3">
      <c r="A92" s="3">
        <v>2020</v>
      </c>
      <c r="B92" s="1" t="s">
        <v>55</v>
      </c>
      <c r="C92" s="1" t="s">
        <v>49</v>
      </c>
      <c r="D92" s="2">
        <v>2839</v>
      </c>
      <c r="E92" s="2">
        <v>14269</v>
      </c>
      <c r="F92" s="4">
        <v>55130</v>
      </c>
    </row>
    <row r="93" spans="1:6" x14ac:dyDescent="0.3">
      <c r="A93" s="3">
        <v>2020</v>
      </c>
      <c r="B93" s="1" t="s">
        <v>55</v>
      </c>
      <c r="C93" s="1" t="s">
        <v>50</v>
      </c>
      <c r="D93" s="2">
        <v>21412</v>
      </c>
      <c r="E93" s="2">
        <v>201137</v>
      </c>
      <c r="F93" s="4">
        <v>63521</v>
      </c>
    </row>
    <row r="94" spans="1:6" x14ac:dyDescent="0.3">
      <c r="A94" s="3">
        <v>2020</v>
      </c>
      <c r="B94" s="1" t="s">
        <v>55</v>
      </c>
      <c r="C94" s="1" t="s">
        <v>51</v>
      </c>
      <c r="D94" s="2">
        <v>27072</v>
      </c>
      <c r="E94" s="2">
        <v>199964</v>
      </c>
      <c r="F94" s="4">
        <v>69827</v>
      </c>
    </row>
    <row r="95" spans="1:6" x14ac:dyDescent="0.3">
      <c r="A95" s="3">
        <v>2020</v>
      </c>
      <c r="B95" s="1" t="s">
        <v>55</v>
      </c>
      <c r="C95" s="1" t="s">
        <v>52</v>
      </c>
      <c r="D95" s="2">
        <v>4300</v>
      </c>
      <c r="E95" s="2">
        <v>29583</v>
      </c>
      <c r="F95" s="4">
        <v>60489</v>
      </c>
    </row>
    <row r="96" spans="1:6" x14ac:dyDescent="0.3">
      <c r="A96" s="3">
        <v>2020</v>
      </c>
      <c r="B96" s="1" t="s">
        <v>55</v>
      </c>
      <c r="C96" s="1" t="s">
        <v>53</v>
      </c>
      <c r="D96" s="2">
        <v>14760</v>
      </c>
      <c r="E96" s="2">
        <v>123846</v>
      </c>
      <c r="F96" s="4">
        <v>66423</v>
      </c>
    </row>
    <row r="97" spans="1:6" x14ac:dyDescent="0.3">
      <c r="A97" s="3">
        <v>2020</v>
      </c>
      <c r="B97" s="1" t="s">
        <v>55</v>
      </c>
      <c r="C97" s="1" t="s">
        <v>54</v>
      </c>
      <c r="D97" s="2">
        <v>3478</v>
      </c>
      <c r="E97" s="2">
        <v>21200</v>
      </c>
      <c r="F97" s="4">
        <v>56640</v>
      </c>
    </row>
    <row r="98" spans="1:6" x14ac:dyDescent="0.3">
      <c r="A98" s="3">
        <v>2020</v>
      </c>
      <c r="B98" s="1" t="s">
        <v>56</v>
      </c>
      <c r="C98" s="1" t="s">
        <v>7</v>
      </c>
      <c r="D98" s="2">
        <v>5773</v>
      </c>
      <c r="E98" s="2">
        <v>258328</v>
      </c>
      <c r="F98" s="4">
        <v>60387</v>
      </c>
    </row>
    <row r="99" spans="1:6" x14ac:dyDescent="0.3">
      <c r="A99" s="3">
        <v>2020</v>
      </c>
      <c r="B99" s="1" t="s">
        <v>56</v>
      </c>
      <c r="C99" s="1" t="s">
        <v>8</v>
      </c>
      <c r="D99" s="2">
        <v>5213</v>
      </c>
      <c r="E99" s="2">
        <v>177110</v>
      </c>
      <c r="F99" s="4">
        <v>82375</v>
      </c>
    </row>
    <row r="100" spans="1:6" x14ac:dyDescent="0.3">
      <c r="A100" s="3">
        <v>2020</v>
      </c>
      <c r="B100" s="1" t="s">
        <v>56</v>
      </c>
      <c r="C100" s="1" t="s">
        <v>9</v>
      </c>
      <c r="D100" s="2">
        <v>2961</v>
      </c>
      <c r="E100" s="2">
        <v>154922</v>
      </c>
      <c r="F100" s="4">
        <v>51570</v>
      </c>
    </row>
    <row r="101" spans="1:6" x14ac:dyDescent="0.3">
      <c r="A101" s="3">
        <v>2020</v>
      </c>
      <c r="B101" s="1" t="s">
        <v>56</v>
      </c>
      <c r="C101" s="1" t="s">
        <v>10</v>
      </c>
      <c r="D101" s="2">
        <v>44156</v>
      </c>
      <c r="E101" s="2">
        <v>1263780</v>
      </c>
      <c r="F101" s="4">
        <v>109888</v>
      </c>
    </row>
    <row r="102" spans="1:6" x14ac:dyDescent="0.3">
      <c r="A102" s="3">
        <v>2020</v>
      </c>
      <c r="B102" s="1" t="s">
        <v>56</v>
      </c>
      <c r="C102" s="1" t="s">
        <v>11</v>
      </c>
      <c r="D102" s="2">
        <v>5888</v>
      </c>
      <c r="E102" s="2">
        <v>146473</v>
      </c>
      <c r="F102" s="4">
        <v>77207</v>
      </c>
    </row>
    <row r="103" spans="1:6" x14ac:dyDescent="0.3">
      <c r="A103" s="3">
        <v>2020</v>
      </c>
      <c r="B103" s="1" t="s">
        <v>56</v>
      </c>
      <c r="C103" s="1" t="s">
        <v>12</v>
      </c>
      <c r="D103" s="2">
        <v>4386</v>
      </c>
      <c r="E103" s="2">
        <v>153812</v>
      </c>
      <c r="F103" s="4">
        <v>87706</v>
      </c>
    </row>
    <row r="104" spans="1:6" x14ac:dyDescent="0.3">
      <c r="A104" s="3">
        <v>2020</v>
      </c>
      <c r="B104" s="1" t="s">
        <v>56</v>
      </c>
      <c r="C104" s="1" t="s">
        <v>13</v>
      </c>
      <c r="D104" s="1">
        <v>678</v>
      </c>
      <c r="E104" s="2">
        <v>25520</v>
      </c>
      <c r="F104" s="4">
        <v>68049</v>
      </c>
    </row>
    <row r="105" spans="1:6" x14ac:dyDescent="0.3">
      <c r="A105" s="3">
        <v>2020</v>
      </c>
      <c r="B105" s="1" t="s">
        <v>56</v>
      </c>
      <c r="C105" s="1" t="s">
        <v>14</v>
      </c>
      <c r="D105" s="2">
        <v>21275</v>
      </c>
      <c r="E105" s="2">
        <v>376070</v>
      </c>
      <c r="F105" s="4">
        <v>66758</v>
      </c>
    </row>
    <row r="106" spans="1:6" x14ac:dyDescent="0.3">
      <c r="A106" s="3">
        <v>2020</v>
      </c>
      <c r="B106" s="1" t="s">
        <v>56</v>
      </c>
      <c r="C106" s="1" t="s">
        <v>15</v>
      </c>
      <c r="D106" s="2">
        <v>10646</v>
      </c>
      <c r="E106" s="2">
        <v>382938</v>
      </c>
      <c r="F106" s="4">
        <v>60184</v>
      </c>
    </row>
    <row r="107" spans="1:6" x14ac:dyDescent="0.3">
      <c r="A107" s="3">
        <v>2020</v>
      </c>
      <c r="B107" s="1" t="s">
        <v>56</v>
      </c>
      <c r="C107" s="1" t="s">
        <v>16</v>
      </c>
      <c r="D107" s="2">
        <v>2886</v>
      </c>
      <c r="E107" s="2">
        <v>67700</v>
      </c>
      <c r="F107" s="4">
        <v>65603</v>
      </c>
    </row>
    <row r="108" spans="1:6" x14ac:dyDescent="0.3">
      <c r="A108" s="3">
        <v>2020</v>
      </c>
      <c r="B108" s="1" t="s">
        <v>56</v>
      </c>
      <c r="C108" s="1" t="s">
        <v>17</v>
      </c>
      <c r="D108" s="2">
        <v>18033</v>
      </c>
      <c r="E108" s="2">
        <v>554712</v>
      </c>
      <c r="F108" s="4">
        <v>74855</v>
      </c>
    </row>
    <row r="109" spans="1:6" x14ac:dyDescent="0.3">
      <c r="A109" s="3">
        <v>2020</v>
      </c>
      <c r="B109" s="1" t="s">
        <v>56</v>
      </c>
      <c r="C109" s="1" t="s">
        <v>18</v>
      </c>
      <c r="D109" s="2">
        <v>9255</v>
      </c>
      <c r="E109" s="2">
        <v>504460</v>
      </c>
      <c r="F109" s="4">
        <v>65092</v>
      </c>
    </row>
    <row r="110" spans="1:6" x14ac:dyDescent="0.3">
      <c r="A110" s="3">
        <v>2020</v>
      </c>
      <c r="B110" s="1" t="s">
        <v>56</v>
      </c>
      <c r="C110" s="1" t="s">
        <v>19</v>
      </c>
      <c r="D110" s="2">
        <v>4099</v>
      </c>
      <c r="E110" s="2">
        <v>216615</v>
      </c>
      <c r="F110" s="4">
        <v>63103</v>
      </c>
    </row>
    <row r="111" spans="1:6" x14ac:dyDescent="0.3">
      <c r="A111" s="3">
        <v>2020</v>
      </c>
      <c r="B111" s="1" t="s">
        <v>56</v>
      </c>
      <c r="C111" s="1" t="s">
        <v>20</v>
      </c>
      <c r="D111" s="2">
        <v>3109</v>
      </c>
      <c r="E111" s="2">
        <v>158784</v>
      </c>
      <c r="F111" s="4">
        <v>62958</v>
      </c>
    </row>
    <row r="112" spans="1:6" x14ac:dyDescent="0.3">
      <c r="A112" s="3">
        <v>2020</v>
      </c>
      <c r="B112" s="1" t="s">
        <v>56</v>
      </c>
      <c r="C112" s="1" t="s">
        <v>21</v>
      </c>
      <c r="D112" s="2">
        <v>4978</v>
      </c>
      <c r="E112" s="2">
        <v>235564</v>
      </c>
      <c r="F112" s="4">
        <v>62902</v>
      </c>
    </row>
    <row r="113" spans="1:6" x14ac:dyDescent="0.3">
      <c r="A113" s="3">
        <v>2020</v>
      </c>
      <c r="B113" s="1" t="s">
        <v>56</v>
      </c>
      <c r="C113" s="1" t="s">
        <v>22</v>
      </c>
      <c r="D113" s="2">
        <v>4501</v>
      </c>
      <c r="E113" s="2">
        <v>131430</v>
      </c>
      <c r="F113" s="4">
        <v>78183</v>
      </c>
    </row>
    <row r="114" spans="1:6" x14ac:dyDescent="0.3">
      <c r="A114" s="3">
        <v>2020</v>
      </c>
      <c r="B114" s="1" t="s">
        <v>56</v>
      </c>
      <c r="C114" s="1" t="s">
        <v>23</v>
      </c>
      <c r="D114" s="2">
        <v>1863</v>
      </c>
      <c r="E114" s="2">
        <v>50166</v>
      </c>
      <c r="F114" s="4">
        <v>61682</v>
      </c>
    </row>
    <row r="115" spans="1:6" x14ac:dyDescent="0.3">
      <c r="A115" s="3">
        <v>2020</v>
      </c>
      <c r="B115" s="1" t="s">
        <v>56</v>
      </c>
      <c r="C115" s="1" t="s">
        <v>24</v>
      </c>
      <c r="D115" s="2">
        <v>4168</v>
      </c>
      <c r="E115" s="2">
        <v>108500</v>
      </c>
      <c r="F115" s="4">
        <v>85426</v>
      </c>
    </row>
    <row r="116" spans="1:6" x14ac:dyDescent="0.3">
      <c r="A116" s="3">
        <v>2020</v>
      </c>
      <c r="B116" s="1" t="s">
        <v>56</v>
      </c>
      <c r="C116" s="1" t="s">
        <v>25</v>
      </c>
      <c r="D116" s="2">
        <v>6616</v>
      </c>
      <c r="E116" s="2">
        <v>229741</v>
      </c>
      <c r="F116" s="4">
        <v>96190</v>
      </c>
    </row>
    <row r="117" spans="1:6" x14ac:dyDescent="0.3">
      <c r="A117" s="3">
        <v>2020</v>
      </c>
      <c r="B117" s="1" t="s">
        <v>56</v>
      </c>
      <c r="C117" s="1" t="s">
        <v>26</v>
      </c>
      <c r="D117" s="2">
        <v>17437</v>
      </c>
      <c r="E117" s="2">
        <v>554767</v>
      </c>
      <c r="F117" s="4">
        <v>70769</v>
      </c>
    </row>
    <row r="118" spans="1:6" x14ac:dyDescent="0.3">
      <c r="A118" s="3">
        <v>2020</v>
      </c>
      <c r="B118" s="1" t="s">
        <v>56</v>
      </c>
      <c r="C118" s="1" t="s">
        <v>27</v>
      </c>
      <c r="D118" s="2">
        <v>8284</v>
      </c>
      <c r="E118" s="2">
        <v>309006</v>
      </c>
      <c r="F118" s="4">
        <v>70870</v>
      </c>
    </row>
    <row r="119" spans="1:6" x14ac:dyDescent="0.3">
      <c r="A119" s="3">
        <v>2020</v>
      </c>
      <c r="B119" s="1" t="s">
        <v>56</v>
      </c>
      <c r="C119" s="1" t="s">
        <v>28</v>
      </c>
      <c r="D119" s="2">
        <v>2375</v>
      </c>
      <c r="E119" s="2">
        <v>139480</v>
      </c>
      <c r="F119" s="4">
        <v>51918</v>
      </c>
    </row>
    <row r="120" spans="1:6" x14ac:dyDescent="0.3">
      <c r="A120" s="3">
        <v>2020</v>
      </c>
      <c r="B120" s="1" t="s">
        <v>56</v>
      </c>
      <c r="C120" s="1" t="s">
        <v>29</v>
      </c>
      <c r="D120" s="2">
        <v>6859</v>
      </c>
      <c r="E120" s="2">
        <v>266452</v>
      </c>
      <c r="F120" s="4">
        <v>61836</v>
      </c>
    </row>
    <row r="121" spans="1:6" x14ac:dyDescent="0.3">
      <c r="A121" s="3">
        <v>2020</v>
      </c>
      <c r="B121" s="1" t="s">
        <v>56</v>
      </c>
      <c r="C121" s="1" t="s">
        <v>30</v>
      </c>
      <c r="D121" s="2">
        <v>1672</v>
      </c>
      <c r="E121" s="2">
        <v>20421</v>
      </c>
      <c r="F121" s="4">
        <v>54178</v>
      </c>
    </row>
    <row r="122" spans="1:6" x14ac:dyDescent="0.3">
      <c r="A122" s="3">
        <v>2020</v>
      </c>
      <c r="B122" s="1" t="s">
        <v>56</v>
      </c>
      <c r="C122" s="1" t="s">
        <v>31</v>
      </c>
      <c r="D122" s="2">
        <v>1949</v>
      </c>
      <c r="E122" s="2">
        <v>97530</v>
      </c>
      <c r="F122" s="4">
        <v>56492</v>
      </c>
    </row>
    <row r="123" spans="1:6" x14ac:dyDescent="0.3">
      <c r="A123" s="3">
        <v>2020</v>
      </c>
      <c r="B123" s="1" t="s">
        <v>56</v>
      </c>
      <c r="C123" s="1" t="s">
        <v>32</v>
      </c>
      <c r="D123" s="2">
        <v>2054</v>
      </c>
      <c r="E123" s="2">
        <v>55673</v>
      </c>
      <c r="F123" s="4">
        <v>66821</v>
      </c>
    </row>
    <row r="124" spans="1:6" x14ac:dyDescent="0.3">
      <c r="A124" s="3">
        <v>2020</v>
      </c>
      <c r="B124" s="1" t="s">
        <v>56</v>
      </c>
      <c r="C124" s="1" t="s">
        <v>33</v>
      </c>
      <c r="D124" s="2">
        <v>2001</v>
      </c>
      <c r="E124" s="2">
        <v>67282</v>
      </c>
      <c r="F124" s="4">
        <v>77769</v>
      </c>
    </row>
    <row r="125" spans="1:6" x14ac:dyDescent="0.3">
      <c r="A125" s="3">
        <v>2020</v>
      </c>
      <c r="B125" s="1" t="s">
        <v>56</v>
      </c>
      <c r="C125" s="1" t="s">
        <v>34</v>
      </c>
      <c r="D125" s="2">
        <v>8964</v>
      </c>
      <c r="E125" s="2">
        <v>235850</v>
      </c>
      <c r="F125" s="4">
        <v>86277</v>
      </c>
    </row>
    <row r="126" spans="1:6" x14ac:dyDescent="0.3">
      <c r="A126" s="3">
        <v>2020</v>
      </c>
      <c r="B126" s="1" t="s">
        <v>56</v>
      </c>
      <c r="C126" s="1" t="s">
        <v>35</v>
      </c>
      <c r="D126" s="2">
        <v>1776</v>
      </c>
      <c r="E126" s="2">
        <v>27201</v>
      </c>
      <c r="F126" s="4">
        <v>58794</v>
      </c>
    </row>
    <row r="127" spans="1:6" x14ac:dyDescent="0.3">
      <c r="A127" s="3">
        <v>2020</v>
      </c>
      <c r="B127" s="1" t="s">
        <v>56</v>
      </c>
      <c r="C127" s="1" t="s">
        <v>36</v>
      </c>
      <c r="D127" s="2">
        <v>16292</v>
      </c>
      <c r="E127" s="2">
        <v>399337</v>
      </c>
      <c r="F127" s="4">
        <v>73103</v>
      </c>
    </row>
    <row r="128" spans="1:6" x14ac:dyDescent="0.3">
      <c r="A128" s="3">
        <v>2020</v>
      </c>
      <c r="B128" s="1" t="s">
        <v>56</v>
      </c>
      <c r="C128" s="1" t="s">
        <v>37</v>
      </c>
      <c r="D128" s="2">
        <v>10303</v>
      </c>
      <c r="E128" s="2">
        <v>452637</v>
      </c>
      <c r="F128" s="4">
        <v>63281</v>
      </c>
    </row>
    <row r="129" spans="1:6" x14ac:dyDescent="0.3">
      <c r="A129" s="3">
        <v>2020</v>
      </c>
      <c r="B129" s="1" t="s">
        <v>56</v>
      </c>
      <c r="C129" s="1" t="s">
        <v>38</v>
      </c>
      <c r="D129" s="1">
        <v>799</v>
      </c>
      <c r="E129" s="2">
        <v>25259</v>
      </c>
      <c r="F129" s="4">
        <v>57695</v>
      </c>
    </row>
    <row r="130" spans="1:6" x14ac:dyDescent="0.3">
      <c r="A130" s="3">
        <v>2020</v>
      </c>
      <c r="B130" s="1" t="s">
        <v>56</v>
      </c>
      <c r="C130" s="1" t="s">
        <v>39</v>
      </c>
      <c r="D130" s="2">
        <v>15453</v>
      </c>
      <c r="E130" s="2">
        <v>653028</v>
      </c>
      <c r="F130" s="4">
        <v>64995</v>
      </c>
    </row>
    <row r="131" spans="1:6" x14ac:dyDescent="0.3">
      <c r="A131" s="3">
        <v>2020</v>
      </c>
      <c r="B131" s="1" t="s">
        <v>56</v>
      </c>
      <c r="C131" s="1" t="s">
        <v>40</v>
      </c>
      <c r="D131" s="2">
        <v>4178</v>
      </c>
      <c r="E131" s="2">
        <v>131206</v>
      </c>
      <c r="F131" s="4">
        <v>60915</v>
      </c>
    </row>
    <row r="132" spans="1:6" x14ac:dyDescent="0.3">
      <c r="A132" s="3">
        <v>2020</v>
      </c>
      <c r="B132" s="1" t="s">
        <v>56</v>
      </c>
      <c r="C132" s="1" t="s">
        <v>41</v>
      </c>
      <c r="D132" s="2">
        <v>6354</v>
      </c>
      <c r="E132" s="2">
        <v>184947</v>
      </c>
      <c r="F132" s="4">
        <v>74927</v>
      </c>
    </row>
    <row r="133" spans="1:6" x14ac:dyDescent="0.3">
      <c r="A133" s="3">
        <v>2020</v>
      </c>
      <c r="B133" s="1" t="s">
        <v>56</v>
      </c>
      <c r="C133" s="1" t="s">
        <v>42</v>
      </c>
      <c r="D133" s="2">
        <v>14363</v>
      </c>
      <c r="E133" s="2">
        <v>537402</v>
      </c>
      <c r="F133" s="4">
        <v>66931</v>
      </c>
    </row>
    <row r="134" spans="1:6" x14ac:dyDescent="0.3">
      <c r="A134" s="3">
        <v>2020</v>
      </c>
      <c r="B134" s="1" t="s">
        <v>56</v>
      </c>
      <c r="C134" s="1" t="s">
        <v>43</v>
      </c>
      <c r="D134" s="2">
        <v>1516</v>
      </c>
      <c r="E134" s="2">
        <v>37411</v>
      </c>
      <c r="F134" s="4">
        <v>63645</v>
      </c>
    </row>
    <row r="135" spans="1:6" x14ac:dyDescent="0.3">
      <c r="A135" s="3">
        <v>2020</v>
      </c>
      <c r="B135" s="1" t="s">
        <v>56</v>
      </c>
      <c r="C135" s="1" t="s">
        <v>44</v>
      </c>
      <c r="D135" s="2">
        <v>6655</v>
      </c>
      <c r="E135" s="2">
        <v>244395</v>
      </c>
      <c r="F135" s="4">
        <v>61779</v>
      </c>
    </row>
    <row r="136" spans="1:6" x14ac:dyDescent="0.3">
      <c r="A136" s="3">
        <v>2020</v>
      </c>
      <c r="B136" s="1" t="s">
        <v>56</v>
      </c>
      <c r="C136" s="1" t="s">
        <v>45</v>
      </c>
      <c r="D136" s="2">
        <v>1072</v>
      </c>
      <c r="E136" s="2">
        <v>43135</v>
      </c>
      <c r="F136" s="4">
        <v>53285</v>
      </c>
    </row>
    <row r="137" spans="1:6" x14ac:dyDescent="0.3">
      <c r="A137" s="3">
        <v>2020</v>
      </c>
      <c r="B137" s="1" t="s">
        <v>56</v>
      </c>
      <c r="C137" s="1" t="s">
        <v>46</v>
      </c>
      <c r="D137" s="2">
        <v>7620</v>
      </c>
      <c r="E137" s="2">
        <v>334972</v>
      </c>
      <c r="F137" s="4">
        <v>63122</v>
      </c>
    </row>
    <row r="138" spans="1:6" x14ac:dyDescent="0.3">
      <c r="A138" s="3">
        <v>2020</v>
      </c>
      <c r="B138" s="1" t="s">
        <v>56</v>
      </c>
      <c r="C138" s="1" t="s">
        <v>47</v>
      </c>
      <c r="D138" s="2">
        <v>26257</v>
      </c>
      <c r="E138" s="2">
        <v>867807</v>
      </c>
      <c r="F138" s="4">
        <v>81206</v>
      </c>
    </row>
    <row r="139" spans="1:6" x14ac:dyDescent="0.3">
      <c r="A139" s="3">
        <v>2020</v>
      </c>
      <c r="B139" s="1" t="s">
        <v>56</v>
      </c>
      <c r="C139" s="1" t="s">
        <v>48</v>
      </c>
      <c r="D139" s="2">
        <v>4616</v>
      </c>
      <c r="E139" s="2">
        <v>135571</v>
      </c>
      <c r="F139" s="4">
        <v>61796</v>
      </c>
    </row>
    <row r="140" spans="1:6" x14ac:dyDescent="0.3">
      <c r="A140" s="3">
        <v>2020</v>
      </c>
      <c r="B140" s="1" t="s">
        <v>56</v>
      </c>
      <c r="C140" s="1" t="s">
        <v>49</v>
      </c>
      <c r="D140" s="2">
        <v>1107</v>
      </c>
      <c r="E140" s="2">
        <v>28176</v>
      </c>
      <c r="F140" s="4">
        <v>62352</v>
      </c>
    </row>
    <row r="141" spans="1:6" x14ac:dyDescent="0.3">
      <c r="A141" s="3">
        <v>2020</v>
      </c>
      <c r="B141" s="1" t="s">
        <v>56</v>
      </c>
      <c r="C141" s="1" t="s">
        <v>50</v>
      </c>
      <c r="D141" s="2">
        <v>7023</v>
      </c>
      <c r="E141" s="2">
        <v>232300</v>
      </c>
      <c r="F141" s="4">
        <v>63958</v>
      </c>
    </row>
    <row r="142" spans="1:6" x14ac:dyDescent="0.3">
      <c r="A142" s="3">
        <v>2020</v>
      </c>
      <c r="B142" s="1" t="s">
        <v>56</v>
      </c>
      <c r="C142" s="1" t="s">
        <v>51</v>
      </c>
      <c r="D142" s="2">
        <v>7882</v>
      </c>
      <c r="E142" s="2">
        <v>268553</v>
      </c>
      <c r="F142" s="4">
        <v>82000</v>
      </c>
    </row>
    <row r="143" spans="1:6" x14ac:dyDescent="0.3">
      <c r="A143" s="3">
        <v>2020</v>
      </c>
      <c r="B143" s="1" t="s">
        <v>56</v>
      </c>
      <c r="C143" s="1" t="s">
        <v>52</v>
      </c>
      <c r="D143" s="2">
        <v>1261</v>
      </c>
      <c r="E143" s="2">
        <v>44429</v>
      </c>
      <c r="F143" s="4">
        <v>62359</v>
      </c>
    </row>
    <row r="144" spans="1:6" x14ac:dyDescent="0.3">
      <c r="A144" s="3">
        <v>2020</v>
      </c>
      <c r="B144" s="1" t="s">
        <v>56</v>
      </c>
      <c r="C144" s="1" t="s">
        <v>53</v>
      </c>
      <c r="D144" s="2">
        <v>9214</v>
      </c>
      <c r="E144" s="2">
        <v>458262</v>
      </c>
      <c r="F144" s="4">
        <v>61039</v>
      </c>
    </row>
    <row r="145" spans="1:6" x14ac:dyDescent="0.3">
      <c r="A145" s="3">
        <v>2020</v>
      </c>
      <c r="B145" s="1" t="s">
        <v>56</v>
      </c>
      <c r="C145" s="1" t="s">
        <v>54</v>
      </c>
      <c r="D145" s="1">
        <v>620</v>
      </c>
      <c r="E145" s="2">
        <v>9580</v>
      </c>
      <c r="F145" s="4">
        <v>70308</v>
      </c>
    </row>
    <row r="146" spans="1:6" x14ac:dyDescent="0.3">
      <c r="A146" s="3">
        <v>2020</v>
      </c>
      <c r="B146" s="1" t="s">
        <v>57</v>
      </c>
      <c r="C146" s="1" t="s">
        <v>7</v>
      </c>
      <c r="D146" s="2">
        <v>32424</v>
      </c>
      <c r="E146" s="2">
        <v>372620</v>
      </c>
      <c r="F146" s="4">
        <v>45853</v>
      </c>
    </row>
    <row r="147" spans="1:6" x14ac:dyDescent="0.3">
      <c r="A147" s="3">
        <v>2020</v>
      </c>
      <c r="B147" s="1" t="s">
        <v>57</v>
      </c>
      <c r="C147" s="1" t="s">
        <v>8</v>
      </c>
      <c r="D147" s="2">
        <v>33859</v>
      </c>
      <c r="E147" s="2">
        <v>546143</v>
      </c>
      <c r="F147" s="4">
        <v>51498</v>
      </c>
    </row>
    <row r="148" spans="1:6" x14ac:dyDescent="0.3">
      <c r="A148" s="3">
        <v>2020</v>
      </c>
      <c r="B148" s="1" t="s">
        <v>57</v>
      </c>
      <c r="C148" s="1" t="s">
        <v>9</v>
      </c>
      <c r="D148" s="2">
        <v>21836</v>
      </c>
      <c r="E148" s="2">
        <v>244074</v>
      </c>
      <c r="F148" s="4">
        <v>45673</v>
      </c>
    </row>
    <row r="149" spans="1:6" x14ac:dyDescent="0.3">
      <c r="A149" s="3">
        <v>2020</v>
      </c>
      <c r="B149" s="1" t="s">
        <v>57</v>
      </c>
      <c r="C149" s="1" t="s">
        <v>10</v>
      </c>
      <c r="D149" s="2">
        <v>200632</v>
      </c>
      <c r="E149" s="2">
        <v>2888684</v>
      </c>
      <c r="F149" s="4">
        <v>58800</v>
      </c>
    </row>
    <row r="150" spans="1:6" x14ac:dyDescent="0.3">
      <c r="A150" s="3">
        <v>2020</v>
      </c>
      <c r="B150" s="1" t="s">
        <v>57</v>
      </c>
      <c r="C150" s="1" t="s">
        <v>11</v>
      </c>
      <c r="D150" s="2">
        <v>36421</v>
      </c>
      <c r="E150" s="2">
        <v>465887</v>
      </c>
      <c r="F150" s="4">
        <v>55719</v>
      </c>
    </row>
    <row r="151" spans="1:6" x14ac:dyDescent="0.3">
      <c r="A151" s="3">
        <v>2020</v>
      </c>
      <c r="B151" s="1" t="s">
        <v>57</v>
      </c>
      <c r="C151" s="1" t="s">
        <v>12</v>
      </c>
      <c r="D151" s="2">
        <v>24725</v>
      </c>
      <c r="E151" s="2">
        <v>276491</v>
      </c>
      <c r="F151" s="4">
        <v>55859</v>
      </c>
    </row>
    <row r="152" spans="1:6" x14ac:dyDescent="0.3">
      <c r="A152" s="3">
        <v>2020</v>
      </c>
      <c r="B152" s="1" t="s">
        <v>57</v>
      </c>
      <c r="C152" s="1" t="s">
        <v>13</v>
      </c>
      <c r="D152" s="2">
        <v>7050</v>
      </c>
      <c r="E152" s="2">
        <v>76267</v>
      </c>
      <c r="F152" s="4">
        <v>45667</v>
      </c>
    </row>
    <row r="153" spans="1:6" x14ac:dyDescent="0.3">
      <c r="A153" s="3">
        <v>2020</v>
      </c>
      <c r="B153" s="1" t="s">
        <v>57</v>
      </c>
      <c r="C153" s="1" t="s">
        <v>14</v>
      </c>
      <c r="D153" s="2">
        <v>142700</v>
      </c>
      <c r="E153" s="2">
        <v>1739110</v>
      </c>
      <c r="F153" s="4">
        <v>49391</v>
      </c>
    </row>
    <row r="154" spans="1:6" x14ac:dyDescent="0.3">
      <c r="A154" s="3">
        <v>2020</v>
      </c>
      <c r="B154" s="1" t="s">
        <v>57</v>
      </c>
      <c r="C154" s="1" t="s">
        <v>15</v>
      </c>
      <c r="D154" s="2">
        <v>64380</v>
      </c>
      <c r="E154" s="2">
        <v>913981</v>
      </c>
      <c r="F154" s="4">
        <v>52104</v>
      </c>
    </row>
    <row r="155" spans="1:6" x14ac:dyDescent="0.3">
      <c r="A155" s="3">
        <v>2020</v>
      </c>
      <c r="B155" s="1" t="s">
        <v>57</v>
      </c>
      <c r="C155" s="1" t="s">
        <v>16</v>
      </c>
      <c r="D155" s="2">
        <v>12742</v>
      </c>
      <c r="E155" s="2">
        <v>143264</v>
      </c>
      <c r="F155" s="4">
        <v>44610</v>
      </c>
    </row>
    <row r="156" spans="1:6" x14ac:dyDescent="0.3">
      <c r="A156" s="3">
        <v>2020</v>
      </c>
      <c r="B156" s="1" t="s">
        <v>57</v>
      </c>
      <c r="C156" s="1" t="s">
        <v>17</v>
      </c>
      <c r="D156" s="2">
        <v>78196</v>
      </c>
      <c r="E156" s="2">
        <v>1140749</v>
      </c>
      <c r="F156" s="4">
        <v>55780</v>
      </c>
    </row>
    <row r="157" spans="1:6" x14ac:dyDescent="0.3">
      <c r="A157" s="3">
        <v>2020</v>
      </c>
      <c r="B157" s="1" t="s">
        <v>57</v>
      </c>
      <c r="C157" s="1" t="s">
        <v>18</v>
      </c>
      <c r="D157" s="2">
        <v>40846</v>
      </c>
      <c r="E157" s="2">
        <v>583686</v>
      </c>
      <c r="F157" s="4">
        <v>45931</v>
      </c>
    </row>
    <row r="158" spans="1:6" x14ac:dyDescent="0.3">
      <c r="A158" s="3">
        <v>2020</v>
      </c>
      <c r="B158" s="1" t="s">
        <v>57</v>
      </c>
      <c r="C158" s="1" t="s">
        <v>19</v>
      </c>
      <c r="D158" s="2">
        <v>23479</v>
      </c>
      <c r="E158" s="2">
        <v>298376</v>
      </c>
      <c r="F158" s="4">
        <v>44146</v>
      </c>
    </row>
    <row r="159" spans="1:6" x14ac:dyDescent="0.3">
      <c r="A159" s="3">
        <v>2020</v>
      </c>
      <c r="B159" s="1" t="s">
        <v>57</v>
      </c>
      <c r="C159" s="1" t="s">
        <v>20</v>
      </c>
      <c r="D159" s="2">
        <v>19497</v>
      </c>
      <c r="E159" s="2">
        <v>255575</v>
      </c>
      <c r="F159" s="4">
        <v>46012</v>
      </c>
    </row>
    <row r="160" spans="1:6" x14ac:dyDescent="0.3">
      <c r="A160" s="3">
        <v>2020</v>
      </c>
      <c r="B160" s="1" t="s">
        <v>57</v>
      </c>
      <c r="C160" s="1" t="s">
        <v>21</v>
      </c>
      <c r="D160" s="2">
        <v>28266</v>
      </c>
      <c r="E160" s="2">
        <v>393361</v>
      </c>
      <c r="F160" s="4">
        <v>46839</v>
      </c>
    </row>
    <row r="161" spans="1:6" x14ac:dyDescent="0.3">
      <c r="A161" s="3">
        <v>2020</v>
      </c>
      <c r="B161" s="1" t="s">
        <v>57</v>
      </c>
      <c r="C161" s="1" t="s">
        <v>22</v>
      </c>
      <c r="D161" s="2">
        <v>31210</v>
      </c>
      <c r="E161" s="2">
        <v>358336</v>
      </c>
      <c r="F161" s="4">
        <v>46029</v>
      </c>
    </row>
    <row r="162" spans="1:6" x14ac:dyDescent="0.3">
      <c r="A162" s="3">
        <v>2020</v>
      </c>
      <c r="B162" s="1" t="s">
        <v>57</v>
      </c>
      <c r="C162" s="1" t="s">
        <v>23</v>
      </c>
      <c r="D162" s="2">
        <v>10546</v>
      </c>
      <c r="E162" s="2">
        <v>111483</v>
      </c>
      <c r="F162" s="4">
        <v>43084</v>
      </c>
    </row>
    <row r="163" spans="1:6" x14ac:dyDescent="0.3">
      <c r="A163" s="3">
        <v>2020</v>
      </c>
      <c r="B163" s="1" t="s">
        <v>57</v>
      </c>
      <c r="C163" s="1" t="s">
        <v>24</v>
      </c>
      <c r="D163" s="2">
        <v>31685</v>
      </c>
      <c r="E163" s="2">
        <v>441680</v>
      </c>
      <c r="F163" s="4">
        <v>50800</v>
      </c>
    </row>
    <row r="164" spans="1:6" x14ac:dyDescent="0.3">
      <c r="A164" s="3">
        <v>2020</v>
      </c>
      <c r="B164" s="1" t="s">
        <v>57</v>
      </c>
      <c r="C164" s="1" t="s">
        <v>25</v>
      </c>
      <c r="D164" s="2">
        <v>40751</v>
      </c>
      <c r="E164" s="2">
        <v>526726</v>
      </c>
      <c r="F164" s="4">
        <v>61082</v>
      </c>
    </row>
    <row r="165" spans="1:6" x14ac:dyDescent="0.3">
      <c r="A165" s="3">
        <v>2020</v>
      </c>
      <c r="B165" s="1" t="s">
        <v>57</v>
      </c>
      <c r="C165" s="1" t="s">
        <v>26</v>
      </c>
      <c r="D165" s="2">
        <v>55149</v>
      </c>
      <c r="E165" s="2">
        <v>745824</v>
      </c>
      <c r="F165" s="4">
        <v>51869</v>
      </c>
    </row>
    <row r="166" spans="1:6" x14ac:dyDescent="0.3">
      <c r="A166" s="3">
        <v>2020</v>
      </c>
      <c r="B166" s="1" t="s">
        <v>57</v>
      </c>
      <c r="C166" s="1" t="s">
        <v>27</v>
      </c>
      <c r="D166" s="2">
        <v>37255</v>
      </c>
      <c r="E166" s="2">
        <v>499190</v>
      </c>
      <c r="F166" s="4">
        <v>53843</v>
      </c>
    </row>
    <row r="167" spans="1:6" x14ac:dyDescent="0.3">
      <c r="A167" s="3">
        <v>2020</v>
      </c>
      <c r="B167" s="1" t="s">
        <v>57</v>
      </c>
      <c r="C167" s="1" t="s">
        <v>28</v>
      </c>
      <c r="D167" s="2">
        <v>19589</v>
      </c>
      <c r="E167" s="2">
        <v>226629</v>
      </c>
      <c r="F167" s="4">
        <v>40176</v>
      </c>
    </row>
    <row r="168" spans="1:6" x14ac:dyDescent="0.3">
      <c r="A168" s="3">
        <v>2020</v>
      </c>
      <c r="B168" s="1" t="s">
        <v>57</v>
      </c>
      <c r="C168" s="1" t="s">
        <v>29</v>
      </c>
      <c r="D168" s="2">
        <v>39646</v>
      </c>
      <c r="E168" s="2">
        <v>519916</v>
      </c>
      <c r="F168" s="4">
        <v>46520</v>
      </c>
    </row>
    <row r="169" spans="1:6" x14ac:dyDescent="0.3">
      <c r="A169" s="3">
        <v>2020</v>
      </c>
      <c r="B169" s="1" t="s">
        <v>57</v>
      </c>
      <c r="C169" s="1" t="s">
        <v>30</v>
      </c>
      <c r="D169" s="2">
        <v>9323</v>
      </c>
      <c r="E169" s="2">
        <v>89315</v>
      </c>
      <c r="F169" s="4">
        <v>43996</v>
      </c>
    </row>
    <row r="170" spans="1:6" x14ac:dyDescent="0.3">
      <c r="A170" s="3">
        <v>2020</v>
      </c>
      <c r="B170" s="1" t="s">
        <v>57</v>
      </c>
      <c r="C170" s="1" t="s">
        <v>31</v>
      </c>
      <c r="D170" s="2">
        <v>14748</v>
      </c>
      <c r="E170" s="2">
        <v>182745</v>
      </c>
      <c r="F170" s="4">
        <v>44095</v>
      </c>
    </row>
    <row r="171" spans="1:6" x14ac:dyDescent="0.3">
      <c r="A171" s="3">
        <v>2020</v>
      </c>
      <c r="B171" s="1" t="s">
        <v>57</v>
      </c>
      <c r="C171" s="1" t="s">
        <v>32</v>
      </c>
      <c r="D171" s="2">
        <v>15481</v>
      </c>
      <c r="E171" s="2">
        <v>252623</v>
      </c>
      <c r="F171" s="4">
        <v>48334</v>
      </c>
    </row>
    <row r="172" spans="1:6" x14ac:dyDescent="0.3">
      <c r="A172" s="3">
        <v>2020</v>
      </c>
      <c r="B172" s="1" t="s">
        <v>57</v>
      </c>
      <c r="C172" s="1" t="s">
        <v>33</v>
      </c>
      <c r="D172" s="2">
        <v>12460</v>
      </c>
      <c r="E172" s="2">
        <v>133196</v>
      </c>
      <c r="F172" s="4">
        <v>54425</v>
      </c>
    </row>
    <row r="173" spans="1:6" x14ac:dyDescent="0.3">
      <c r="A173" s="3">
        <v>2020</v>
      </c>
      <c r="B173" s="1" t="s">
        <v>57</v>
      </c>
      <c r="C173" s="1" t="s">
        <v>34</v>
      </c>
      <c r="D173" s="2">
        <v>54606</v>
      </c>
      <c r="E173" s="2">
        <v>820259</v>
      </c>
      <c r="F173" s="4">
        <v>58675</v>
      </c>
    </row>
    <row r="174" spans="1:6" x14ac:dyDescent="0.3">
      <c r="A174" s="3">
        <v>2020</v>
      </c>
      <c r="B174" s="1" t="s">
        <v>57</v>
      </c>
      <c r="C174" s="1" t="s">
        <v>35</v>
      </c>
      <c r="D174" s="2">
        <v>10949</v>
      </c>
      <c r="E174" s="2">
        <v>130261</v>
      </c>
      <c r="F174" s="4">
        <v>41086</v>
      </c>
    </row>
    <row r="175" spans="1:6" x14ac:dyDescent="0.3">
      <c r="A175" s="3">
        <v>2020</v>
      </c>
      <c r="B175" s="1" t="s">
        <v>57</v>
      </c>
      <c r="C175" s="1" t="s">
        <v>36</v>
      </c>
      <c r="D175" s="2">
        <v>118946</v>
      </c>
      <c r="E175" s="2">
        <v>1366746</v>
      </c>
      <c r="F175" s="4">
        <v>57939</v>
      </c>
    </row>
    <row r="176" spans="1:6" x14ac:dyDescent="0.3">
      <c r="A176" s="3">
        <v>2020</v>
      </c>
      <c r="B176" s="1" t="s">
        <v>57</v>
      </c>
      <c r="C176" s="1" t="s">
        <v>37</v>
      </c>
      <c r="D176" s="2">
        <v>63455</v>
      </c>
      <c r="E176" s="2">
        <v>844765</v>
      </c>
      <c r="F176" s="4">
        <v>47171</v>
      </c>
    </row>
    <row r="177" spans="1:6" x14ac:dyDescent="0.3">
      <c r="A177" s="3">
        <v>2020</v>
      </c>
      <c r="B177" s="1" t="s">
        <v>57</v>
      </c>
      <c r="C177" s="1" t="s">
        <v>38</v>
      </c>
      <c r="D177" s="2">
        <v>7745</v>
      </c>
      <c r="E177" s="2">
        <v>86570</v>
      </c>
      <c r="F177" s="4">
        <v>52657</v>
      </c>
    </row>
    <row r="178" spans="1:6" x14ac:dyDescent="0.3">
      <c r="A178" s="3">
        <v>2020</v>
      </c>
      <c r="B178" s="1" t="s">
        <v>57</v>
      </c>
      <c r="C178" s="1" t="s">
        <v>39</v>
      </c>
      <c r="D178" s="2">
        <v>68987</v>
      </c>
      <c r="E178" s="2">
        <v>998325</v>
      </c>
      <c r="F178" s="4">
        <v>48088</v>
      </c>
    </row>
    <row r="179" spans="1:6" x14ac:dyDescent="0.3">
      <c r="A179" s="3">
        <v>2020</v>
      </c>
      <c r="B179" s="1" t="s">
        <v>57</v>
      </c>
      <c r="C179" s="1" t="s">
        <v>40</v>
      </c>
      <c r="D179" s="2">
        <v>23912</v>
      </c>
      <c r="E179" s="2">
        <v>301828</v>
      </c>
      <c r="F179" s="4">
        <v>43388</v>
      </c>
    </row>
    <row r="180" spans="1:6" x14ac:dyDescent="0.3">
      <c r="A180" s="3">
        <v>2020</v>
      </c>
      <c r="B180" s="1" t="s">
        <v>57</v>
      </c>
      <c r="C180" s="1" t="s">
        <v>41</v>
      </c>
      <c r="D180" s="2">
        <v>26241</v>
      </c>
      <c r="E180" s="2">
        <v>346783</v>
      </c>
      <c r="F180" s="4">
        <v>49251</v>
      </c>
    </row>
    <row r="181" spans="1:6" x14ac:dyDescent="0.3">
      <c r="A181" s="3">
        <v>2020</v>
      </c>
      <c r="B181" s="1" t="s">
        <v>57</v>
      </c>
      <c r="C181" s="1" t="s">
        <v>42</v>
      </c>
      <c r="D181" s="2">
        <v>73985</v>
      </c>
      <c r="E181" s="2">
        <v>1054388</v>
      </c>
      <c r="F181" s="4">
        <v>49535</v>
      </c>
    </row>
    <row r="182" spans="1:6" x14ac:dyDescent="0.3">
      <c r="A182" s="3">
        <v>2020</v>
      </c>
      <c r="B182" s="1" t="s">
        <v>57</v>
      </c>
      <c r="C182" s="1" t="s">
        <v>43</v>
      </c>
      <c r="D182" s="2">
        <v>7816</v>
      </c>
      <c r="E182" s="2">
        <v>70764</v>
      </c>
      <c r="F182" s="4">
        <v>49493</v>
      </c>
    </row>
    <row r="183" spans="1:6" x14ac:dyDescent="0.3">
      <c r="A183" s="3">
        <v>2020</v>
      </c>
      <c r="B183" s="1" t="s">
        <v>57</v>
      </c>
      <c r="C183" s="1" t="s">
        <v>44</v>
      </c>
      <c r="D183" s="2">
        <v>31674</v>
      </c>
      <c r="E183" s="2">
        <v>400537</v>
      </c>
      <c r="F183" s="4">
        <v>43717</v>
      </c>
    </row>
    <row r="184" spans="1:6" x14ac:dyDescent="0.3">
      <c r="A184" s="3">
        <v>2020</v>
      </c>
      <c r="B184" s="1" t="s">
        <v>57</v>
      </c>
      <c r="C184" s="1" t="s">
        <v>45</v>
      </c>
      <c r="D184" s="2">
        <v>8068</v>
      </c>
      <c r="E184" s="2">
        <v>83179</v>
      </c>
      <c r="F184" s="4">
        <v>44162</v>
      </c>
    </row>
    <row r="185" spans="1:6" x14ac:dyDescent="0.3">
      <c r="A185" s="3">
        <v>2020</v>
      </c>
      <c r="B185" s="1" t="s">
        <v>57</v>
      </c>
      <c r="C185" s="1" t="s">
        <v>46</v>
      </c>
      <c r="D185" s="2">
        <v>40806</v>
      </c>
      <c r="E185" s="2">
        <v>627005</v>
      </c>
      <c r="F185" s="4">
        <v>50111</v>
      </c>
    </row>
    <row r="186" spans="1:6" x14ac:dyDescent="0.3">
      <c r="A186" s="3">
        <v>2020</v>
      </c>
      <c r="B186" s="1" t="s">
        <v>57</v>
      </c>
      <c r="C186" s="1" t="s">
        <v>47</v>
      </c>
      <c r="D186" s="2">
        <v>152438</v>
      </c>
      <c r="E186" s="2">
        <v>2453267</v>
      </c>
      <c r="F186" s="4">
        <v>56485</v>
      </c>
    </row>
    <row r="187" spans="1:6" x14ac:dyDescent="0.3">
      <c r="A187" s="3">
        <v>2020</v>
      </c>
      <c r="B187" s="1" t="s">
        <v>57</v>
      </c>
      <c r="C187" s="1" t="s">
        <v>48</v>
      </c>
      <c r="D187" s="2">
        <v>20535</v>
      </c>
      <c r="E187" s="2">
        <v>288623</v>
      </c>
      <c r="F187" s="4">
        <v>49353</v>
      </c>
    </row>
    <row r="188" spans="1:6" x14ac:dyDescent="0.3">
      <c r="A188" s="3">
        <v>2020</v>
      </c>
      <c r="B188" s="1" t="s">
        <v>57</v>
      </c>
      <c r="C188" s="1" t="s">
        <v>49</v>
      </c>
      <c r="D188" s="2">
        <v>5003</v>
      </c>
      <c r="E188" s="2">
        <v>49851</v>
      </c>
      <c r="F188" s="4">
        <v>45701</v>
      </c>
    </row>
    <row r="189" spans="1:6" x14ac:dyDescent="0.3">
      <c r="A189" s="3">
        <v>2020</v>
      </c>
      <c r="B189" s="1" t="s">
        <v>57</v>
      </c>
      <c r="C189" s="1" t="s">
        <v>50</v>
      </c>
      <c r="D189" s="2">
        <v>42564</v>
      </c>
      <c r="E189" s="2">
        <v>627729</v>
      </c>
      <c r="F189" s="4">
        <v>48371</v>
      </c>
    </row>
    <row r="190" spans="1:6" x14ac:dyDescent="0.3">
      <c r="A190" s="3">
        <v>2020</v>
      </c>
      <c r="B190" s="1" t="s">
        <v>57</v>
      </c>
      <c r="C190" s="1" t="s">
        <v>51</v>
      </c>
      <c r="D190" s="2">
        <v>38688</v>
      </c>
      <c r="E190" s="2">
        <v>615415</v>
      </c>
      <c r="F190" s="4">
        <v>74160</v>
      </c>
    </row>
    <row r="191" spans="1:6" x14ac:dyDescent="0.3">
      <c r="A191" s="3">
        <v>2020</v>
      </c>
      <c r="B191" s="1" t="s">
        <v>57</v>
      </c>
      <c r="C191" s="1" t="s">
        <v>52</v>
      </c>
      <c r="D191" s="2">
        <v>10611</v>
      </c>
      <c r="E191" s="2">
        <v>118677</v>
      </c>
      <c r="F191" s="4">
        <v>42085</v>
      </c>
    </row>
    <row r="192" spans="1:6" x14ac:dyDescent="0.3">
      <c r="A192" s="3">
        <v>2020</v>
      </c>
      <c r="B192" s="1" t="s">
        <v>57</v>
      </c>
      <c r="C192" s="1" t="s">
        <v>53</v>
      </c>
      <c r="D192" s="2">
        <v>35812</v>
      </c>
      <c r="E192" s="2">
        <v>517930</v>
      </c>
      <c r="F192" s="4">
        <v>45165</v>
      </c>
    </row>
    <row r="193" spans="1:6" x14ac:dyDescent="0.3">
      <c r="A193" s="3">
        <v>2020</v>
      </c>
      <c r="B193" s="1" t="s">
        <v>57</v>
      </c>
      <c r="C193" s="1" t="s">
        <v>54</v>
      </c>
      <c r="D193" s="2">
        <v>4840</v>
      </c>
      <c r="E193" s="2">
        <v>48509</v>
      </c>
      <c r="F193" s="4">
        <v>44879</v>
      </c>
    </row>
    <row r="194" spans="1:6" x14ac:dyDescent="0.3">
      <c r="A194" s="3">
        <v>2020</v>
      </c>
      <c r="B194" s="1" t="s">
        <v>58</v>
      </c>
      <c r="C194" s="1" t="s">
        <v>7</v>
      </c>
      <c r="D194" s="2">
        <v>2566</v>
      </c>
      <c r="E194" s="2">
        <v>19310</v>
      </c>
      <c r="F194" s="4">
        <v>69393</v>
      </c>
    </row>
    <row r="195" spans="1:6" x14ac:dyDescent="0.3">
      <c r="A195" s="3">
        <v>2020</v>
      </c>
      <c r="B195" s="1" t="s">
        <v>58</v>
      </c>
      <c r="C195" s="1" t="s">
        <v>8</v>
      </c>
      <c r="D195" s="2">
        <v>4017</v>
      </c>
      <c r="E195" s="2">
        <v>45513</v>
      </c>
      <c r="F195" s="4">
        <v>90871</v>
      </c>
    </row>
    <row r="196" spans="1:6" x14ac:dyDescent="0.3">
      <c r="A196" s="3">
        <v>2020</v>
      </c>
      <c r="B196" s="1" t="s">
        <v>58</v>
      </c>
      <c r="C196" s="1" t="s">
        <v>9</v>
      </c>
      <c r="D196" s="2">
        <v>1536</v>
      </c>
      <c r="E196" s="2">
        <v>11509</v>
      </c>
      <c r="F196" s="4">
        <v>69820</v>
      </c>
    </row>
    <row r="197" spans="1:6" x14ac:dyDescent="0.3">
      <c r="A197" s="3">
        <v>2020</v>
      </c>
      <c r="B197" s="1" t="s">
        <v>58</v>
      </c>
      <c r="C197" s="1" t="s">
        <v>10</v>
      </c>
      <c r="D197" s="2">
        <v>29491</v>
      </c>
      <c r="E197" s="2">
        <v>527549</v>
      </c>
      <c r="F197" s="4">
        <v>217892</v>
      </c>
    </row>
    <row r="198" spans="1:6" x14ac:dyDescent="0.3">
      <c r="A198" s="3">
        <v>2020</v>
      </c>
      <c r="B198" s="1" t="s">
        <v>58</v>
      </c>
      <c r="C198" s="1" t="s">
        <v>11</v>
      </c>
      <c r="D198" s="2">
        <v>4548</v>
      </c>
      <c r="E198" s="2">
        <v>74867</v>
      </c>
      <c r="F198" s="4">
        <v>123495</v>
      </c>
    </row>
    <row r="199" spans="1:6" x14ac:dyDescent="0.3">
      <c r="A199" s="3">
        <v>2020</v>
      </c>
      <c r="B199" s="1" t="s">
        <v>58</v>
      </c>
      <c r="C199" s="1" t="s">
        <v>12</v>
      </c>
      <c r="D199" s="2">
        <v>2880</v>
      </c>
      <c r="E199" s="2">
        <v>29237</v>
      </c>
      <c r="F199" s="4">
        <v>138917</v>
      </c>
    </row>
    <row r="200" spans="1:6" x14ac:dyDescent="0.3">
      <c r="A200" s="3">
        <v>2020</v>
      </c>
      <c r="B200" s="1" t="s">
        <v>58</v>
      </c>
      <c r="C200" s="1" t="s">
        <v>13</v>
      </c>
      <c r="D200" s="1">
        <v>549</v>
      </c>
      <c r="E200" s="2">
        <v>3622</v>
      </c>
      <c r="F200" s="4">
        <v>78966</v>
      </c>
    </row>
    <row r="201" spans="1:6" x14ac:dyDescent="0.3">
      <c r="A201" s="3">
        <v>2020</v>
      </c>
      <c r="B201" s="1" t="s">
        <v>58</v>
      </c>
      <c r="C201" s="1" t="s">
        <v>14</v>
      </c>
      <c r="D201" s="2">
        <v>12659</v>
      </c>
      <c r="E201" s="2">
        <v>130298</v>
      </c>
      <c r="F201" s="4">
        <v>93350</v>
      </c>
    </row>
    <row r="202" spans="1:6" x14ac:dyDescent="0.3">
      <c r="A202" s="3">
        <v>2020</v>
      </c>
      <c r="B202" s="1" t="s">
        <v>58</v>
      </c>
      <c r="C202" s="1" t="s">
        <v>15</v>
      </c>
      <c r="D202" s="2">
        <v>6010</v>
      </c>
      <c r="E202" s="2">
        <v>109190</v>
      </c>
      <c r="F202" s="4">
        <v>108735</v>
      </c>
    </row>
    <row r="203" spans="1:6" x14ac:dyDescent="0.3">
      <c r="A203" s="3">
        <v>2020</v>
      </c>
      <c r="B203" s="1" t="s">
        <v>58</v>
      </c>
      <c r="C203" s="1" t="s">
        <v>16</v>
      </c>
      <c r="D203" s="2">
        <v>1385</v>
      </c>
      <c r="E203" s="2">
        <v>7346</v>
      </c>
      <c r="F203" s="4">
        <v>64408</v>
      </c>
    </row>
    <row r="204" spans="1:6" x14ac:dyDescent="0.3">
      <c r="A204" s="3">
        <v>2020</v>
      </c>
      <c r="B204" s="1" t="s">
        <v>58</v>
      </c>
      <c r="C204" s="1" t="s">
        <v>17</v>
      </c>
      <c r="D204" s="2">
        <v>7162</v>
      </c>
      <c r="E204" s="2">
        <v>87520</v>
      </c>
      <c r="F204" s="4">
        <v>110059</v>
      </c>
    </row>
    <row r="205" spans="1:6" x14ac:dyDescent="0.3">
      <c r="A205" s="3">
        <v>2020</v>
      </c>
      <c r="B205" s="1" t="s">
        <v>58</v>
      </c>
      <c r="C205" s="1" t="s">
        <v>18</v>
      </c>
      <c r="D205" s="2">
        <v>2521</v>
      </c>
      <c r="E205" s="2">
        <v>26075</v>
      </c>
      <c r="F205" s="4">
        <v>67191</v>
      </c>
    </row>
    <row r="206" spans="1:6" x14ac:dyDescent="0.3">
      <c r="A206" s="3">
        <v>2020</v>
      </c>
      <c r="B206" s="1" t="s">
        <v>58</v>
      </c>
      <c r="C206" s="1" t="s">
        <v>19</v>
      </c>
      <c r="D206" s="2">
        <v>1811</v>
      </c>
      <c r="E206" s="2">
        <v>19135</v>
      </c>
      <c r="F206" s="4">
        <v>66858</v>
      </c>
    </row>
    <row r="207" spans="1:6" x14ac:dyDescent="0.3">
      <c r="A207" s="3">
        <v>2020</v>
      </c>
      <c r="B207" s="1" t="s">
        <v>58</v>
      </c>
      <c r="C207" s="1" t="s">
        <v>20</v>
      </c>
      <c r="D207" s="2">
        <v>1561</v>
      </c>
      <c r="E207" s="2">
        <v>16734</v>
      </c>
      <c r="F207" s="4">
        <v>73749</v>
      </c>
    </row>
    <row r="208" spans="1:6" x14ac:dyDescent="0.3">
      <c r="A208" s="3">
        <v>2020</v>
      </c>
      <c r="B208" s="1" t="s">
        <v>58</v>
      </c>
      <c r="C208" s="1" t="s">
        <v>21</v>
      </c>
      <c r="D208" s="2">
        <v>2111</v>
      </c>
      <c r="E208" s="2">
        <v>20268</v>
      </c>
      <c r="F208" s="4">
        <v>63462</v>
      </c>
    </row>
    <row r="209" spans="1:6" x14ac:dyDescent="0.3">
      <c r="A209" s="3">
        <v>2020</v>
      </c>
      <c r="B209" s="1" t="s">
        <v>58</v>
      </c>
      <c r="C209" s="1" t="s">
        <v>22</v>
      </c>
      <c r="D209" s="2">
        <v>1935</v>
      </c>
      <c r="E209" s="2">
        <v>18712</v>
      </c>
      <c r="F209" s="4">
        <v>65700</v>
      </c>
    </row>
    <row r="210" spans="1:6" x14ac:dyDescent="0.3">
      <c r="A210" s="3">
        <v>2020</v>
      </c>
      <c r="B210" s="1" t="s">
        <v>58</v>
      </c>
      <c r="C210" s="1" t="s">
        <v>23</v>
      </c>
      <c r="D210" s="1">
        <v>916</v>
      </c>
      <c r="E210" s="2">
        <v>6415</v>
      </c>
      <c r="F210" s="4">
        <v>64265</v>
      </c>
    </row>
    <row r="211" spans="1:6" x14ac:dyDescent="0.3">
      <c r="A211" s="3">
        <v>2020</v>
      </c>
      <c r="B211" s="1" t="s">
        <v>58</v>
      </c>
      <c r="C211" s="1" t="s">
        <v>24</v>
      </c>
      <c r="D211" s="2">
        <v>2855</v>
      </c>
      <c r="E211" s="2">
        <v>33029</v>
      </c>
      <c r="F211" s="4">
        <v>110569</v>
      </c>
    </row>
    <row r="212" spans="1:6" x14ac:dyDescent="0.3">
      <c r="A212" s="3">
        <v>2020</v>
      </c>
      <c r="B212" s="1" t="s">
        <v>58</v>
      </c>
      <c r="C212" s="1" t="s">
        <v>25</v>
      </c>
      <c r="D212" s="2">
        <v>6073</v>
      </c>
      <c r="E212" s="2">
        <v>89231</v>
      </c>
      <c r="F212" s="4">
        <v>146746</v>
      </c>
    </row>
    <row r="213" spans="1:6" x14ac:dyDescent="0.3">
      <c r="A213" s="3">
        <v>2020</v>
      </c>
      <c r="B213" s="1" t="s">
        <v>58</v>
      </c>
      <c r="C213" s="1" t="s">
        <v>26</v>
      </c>
      <c r="D213" s="2">
        <v>7671</v>
      </c>
      <c r="E213" s="2">
        <v>50511</v>
      </c>
      <c r="F213" s="4">
        <v>88745</v>
      </c>
    </row>
    <row r="214" spans="1:6" x14ac:dyDescent="0.3">
      <c r="A214" s="3">
        <v>2020</v>
      </c>
      <c r="B214" s="1" t="s">
        <v>58</v>
      </c>
      <c r="C214" s="1" t="s">
        <v>27</v>
      </c>
      <c r="D214" s="2">
        <v>4304</v>
      </c>
      <c r="E214" s="2">
        <v>43145</v>
      </c>
      <c r="F214" s="4">
        <v>92292</v>
      </c>
    </row>
    <row r="215" spans="1:6" x14ac:dyDescent="0.3">
      <c r="A215" s="3">
        <v>2020</v>
      </c>
      <c r="B215" s="1" t="s">
        <v>58</v>
      </c>
      <c r="C215" s="1" t="s">
        <v>28</v>
      </c>
      <c r="D215" s="1">
        <v>964</v>
      </c>
      <c r="E215" s="2">
        <v>9629</v>
      </c>
      <c r="F215" s="4">
        <v>54301</v>
      </c>
    </row>
    <row r="216" spans="1:6" x14ac:dyDescent="0.3">
      <c r="A216" s="3">
        <v>2020</v>
      </c>
      <c r="B216" s="1" t="s">
        <v>58</v>
      </c>
      <c r="C216" s="1" t="s">
        <v>29</v>
      </c>
      <c r="D216" s="2">
        <v>3562</v>
      </c>
      <c r="E216" s="2">
        <v>43675</v>
      </c>
      <c r="F216" s="4">
        <v>89327</v>
      </c>
    </row>
    <row r="217" spans="1:6" x14ac:dyDescent="0.3">
      <c r="A217" s="3">
        <v>2020</v>
      </c>
      <c r="B217" s="1" t="s">
        <v>58</v>
      </c>
      <c r="C217" s="1" t="s">
        <v>30</v>
      </c>
      <c r="D217" s="1">
        <v>856</v>
      </c>
      <c r="E217" s="2">
        <v>5797</v>
      </c>
      <c r="F217" s="4">
        <v>65673</v>
      </c>
    </row>
    <row r="218" spans="1:6" x14ac:dyDescent="0.3">
      <c r="A218" s="3">
        <v>2020</v>
      </c>
      <c r="B218" s="1" t="s">
        <v>58</v>
      </c>
      <c r="C218" s="1" t="s">
        <v>31</v>
      </c>
      <c r="D218" s="2">
        <v>1071</v>
      </c>
      <c r="E218" s="2">
        <v>16165</v>
      </c>
      <c r="F218" s="4">
        <v>76361</v>
      </c>
    </row>
    <row r="219" spans="1:6" x14ac:dyDescent="0.3">
      <c r="A219" s="3">
        <v>2020</v>
      </c>
      <c r="B219" s="1" t="s">
        <v>58</v>
      </c>
      <c r="C219" s="1" t="s">
        <v>32</v>
      </c>
      <c r="D219" s="2">
        <v>1609</v>
      </c>
      <c r="E219" s="2">
        <v>13306</v>
      </c>
      <c r="F219" s="4">
        <v>88353</v>
      </c>
    </row>
    <row r="220" spans="1:6" x14ac:dyDescent="0.3">
      <c r="A220" s="3">
        <v>2020</v>
      </c>
      <c r="B220" s="1" t="s">
        <v>58</v>
      </c>
      <c r="C220" s="1" t="s">
        <v>33</v>
      </c>
      <c r="D220" s="2">
        <v>1168</v>
      </c>
      <c r="E220" s="2">
        <v>11735</v>
      </c>
      <c r="F220" s="4">
        <v>107194</v>
      </c>
    </row>
    <row r="221" spans="1:6" x14ac:dyDescent="0.3">
      <c r="A221" s="3">
        <v>2020</v>
      </c>
      <c r="B221" s="1" t="s">
        <v>58</v>
      </c>
      <c r="C221" s="1" t="s">
        <v>34</v>
      </c>
      <c r="D221" s="2">
        <v>3965</v>
      </c>
      <c r="E221" s="2">
        <v>67885</v>
      </c>
      <c r="F221" s="4">
        <v>130541</v>
      </c>
    </row>
    <row r="222" spans="1:6" x14ac:dyDescent="0.3">
      <c r="A222" s="3">
        <v>2020</v>
      </c>
      <c r="B222" s="1" t="s">
        <v>58</v>
      </c>
      <c r="C222" s="1" t="s">
        <v>35</v>
      </c>
      <c r="D222" s="2">
        <v>1108</v>
      </c>
      <c r="E222" s="2">
        <v>9076</v>
      </c>
      <c r="F222" s="4">
        <v>62393</v>
      </c>
    </row>
    <row r="223" spans="1:6" x14ac:dyDescent="0.3">
      <c r="A223" s="3">
        <v>2020</v>
      </c>
      <c r="B223" s="1" t="s">
        <v>58</v>
      </c>
      <c r="C223" s="1" t="s">
        <v>36</v>
      </c>
      <c r="D223" s="2">
        <v>14380</v>
      </c>
      <c r="E223" s="2">
        <v>267749</v>
      </c>
      <c r="F223" s="4">
        <v>154357</v>
      </c>
    </row>
    <row r="224" spans="1:6" x14ac:dyDescent="0.3">
      <c r="A224" s="3">
        <v>2020</v>
      </c>
      <c r="B224" s="1" t="s">
        <v>58</v>
      </c>
      <c r="C224" s="1" t="s">
        <v>37</v>
      </c>
      <c r="D224" s="2">
        <v>6302</v>
      </c>
      <c r="E224" s="2">
        <v>73440</v>
      </c>
      <c r="F224" s="4">
        <v>96207</v>
      </c>
    </row>
    <row r="225" spans="1:6" x14ac:dyDescent="0.3">
      <c r="A225" s="3">
        <v>2020</v>
      </c>
      <c r="B225" s="1" t="s">
        <v>58</v>
      </c>
      <c r="C225" s="1" t="s">
        <v>38</v>
      </c>
      <c r="D225" s="1">
        <v>417</v>
      </c>
      <c r="E225" s="2">
        <v>5780</v>
      </c>
      <c r="F225" s="4">
        <v>79624</v>
      </c>
    </row>
    <row r="226" spans="1:6" x14ac:dyDescent="0.3">
      <c r="A226" s="3">
        <v>2020</v>
      </c>
      <c r="B226" s="1" t="s">
        <v>58</v>
      </c>
      <c r="C226" s="1" t="s">
        <v>39</v>
      </c>
      <c r="D226" s="2">
        <v>5303</v>
      </c>
      <c r="E226" s="2">
        <v>63865</v>
      </c>
      <c r="F226" s="4">
        <v>80052</v>
      </c>
    </row>
    <row r="227" spans="1:6" x14ac:dyDescent="0.3">
      <c r="A227" s="3">
        <v>2020</v>
      </c>
      <c r="B227" s="1" t="s">
        <v>58</v>
      </c>
      <c r="C227" s="1" t="s">
        <v>40</v>
      </c>
      <c r="D227" s="2">
        <v>1572</v>
      </c>
      <c r="E227" s="2">
        <v>18256</v>
      </c>
      <c r="F227" s="4">
        <v>63710</v>
      </c>
    </row>
    <row r="228" spans="1:6" x14ac:dyDescent="0.3">
      <c r="A228" s="3">
        <v>2020</v>
      </c>
      <c r="B228" s="1" t="s">
        <v>58</v>
      </c>
      <c r="C228" s="1" t="s">
        <v>41</v>
      </c>
      <c r="D228" s="2">
        <v>4605</v>
      </c>
      <c r="E228" s="2">
        <v>33218</v>
      </c>
      <c r="F228" s="4">
        <v>101737</v>
      </c>
    </row>
    <row r="229" spans="1:6" x14ac:dyDescent="0.3">
      <c r="A229" s="3">
        <v>2020</v>
      </c>
      <c r="B229" s="1" t="s">
        <v>58</v>
      </c>
      <c r="C229" s="1" t="s">
        <v>42</v>
      </c>
      <c r="D229" s="2">
        <v>5891</v>
      </c>
      <c r="E229" s="2">
        <v>82872</v>
      </c>
      <c r="F229" s="4">
        <v>107388</v>
      </c>
    </row>
    <row r="230" spans="1:6" x14ac:dyDescent="0.3">
      <c r="A230" s="3">
        <v>2020</v>
      </c>
      <c r="B230" s="1" t="s">
        <v>58</v>
      </c>
      <c r="C230" s="1" t="s">
        <v>43</v>
      </c>
      <c r="D230" s="1">
        <v>762</v>
      </c>
      <c r="E230" s="2">
        <v>5243</v>
      </c>
      <c r="F230" s="4">
        <v>87286</v>
      </c>
    </row>
    <row r="231" spans="1:6" x14ac:dyDescent="0.3">
      <c r="A231" s="3">
        <v>2020</v>
      </c>
      <c r="B231" s="1" t="s">
        <v>58</v>
      </c>
      <c r="C231" s="1" t="s">
        <v>44</v>
      </c>
      <c r="D231" s="2">
        <v>3216</v>
      </c>
      <c r="E231" s="2">
        <v>24744</v>
      </c>
      <c r="F231" s="4">
        <v>73562</v>
      </c>
    </row>
    <row r="232" spans="1:6" x14ac:dyDescent="0.3">
      <c r="A232" s="3">
        <v>2020</v>
      </c>
      <c r="B232" s="1" t="s">
        <v>58</v>
      </c>
      <c r="C232" s="1" t="s">
        <v>45</v>
      </c>
      <c r="D232" s="1">
        <v>606</v>
      </c>
      <c r="E232" s="2">
        <v>5074</v>
      </c>
      <c r="F232" s="4">
        <v>58069</v>
      </c>
    </row>
    <row r="233" spans="1:6" x14ac:dyDescent="0.3">
      <c r="A233" s="3">
        <v>2020</v>
      </c>
      <c r="B233" s="1" t="s">
        <v>58</v>
      </c>
      <c r="C233" s="1" t="s">
        <v>46</v>
      </c>
      <c r="D233" s="2">
        <v>4525</v>
      </c>
      <c r="E233" s="2">
        <v>42929</v>
      </c>
      <c r="F233" s="4">
        <v>81293</v>
      </c>
    </row>
    <row r="234" spans="1:6" x14ac:dyDescent="0.3">
      <c r="A234" s="3">
        <v>2020</v>
      </c>
      <c r="B234" s="1" t="s">
        <v>58</v>
      </c>
      <c r="C234" s="1" t="s">
        <v>47</v>
      </c>
      <c r="D234" s="2">
        <v>11822</v>
      </c>
      <c r="E234" s="2">
        <v>198521</v>
      </c>
      <c r="F234" s="4">
        <v>102835</v>
      </c>
    </row>
    <row r="235" spans="1:6" x14ac:dyDescent="0.3">
      <c r="A235" s="3">
        <v>2020</v>
      </c>
      <c r="B235" s="1" t="s">
        <v>58</v>
      </c>
      <c r="C235" s="1" t="s">
        <v>48</v>
      </c>
      <c r="D235" s="2">
        <v>3177</v>
      </c>
      <c r="E235" s="2">
        <v>37222</v>
      </c>
      <c r="F235" s="4">
        <v>96974</v>
      </c>
    </row>
    <row r="236" spans="1:6" x14ac:dyDescent="0.3">
      <c r="A236" s="3">
        <v>2020</v>
      </c>
      <c r="B236" s="1" t="s">
        <v>58</v>
      </c>
      <c r="C236" s="1" t="s">
        <v>49</v>
      </c>
      <c r="D236" s="1">
        <v>584</v>
      </c>
      <c r="E236" s="2">
        <v>3961</v>
      </c>
      <c r="F236" s="4">
        <v>68605</v>
      </c>
    </row>
    <row r="237" spans="1:6" x14ac:dyDescent="0.3">
      <c r="A237" s="3">
        <v>2020</v>
      </c>
      <c r="B237" s="1" t="s">
        <v>58</v>
      </c>
      <c r="C237" s="1" t="s">
        <v>50</v>
      </c>
      <c r="D237" s="2">
        <v>4875</v>
      </c>
      <c r="E237" s="2">
        <v>64840</v>
      </c>
      <c r="F237" s="4">
        <v>117848</v>
      </c>
    </row>
    <row r="238" spans="1:6" x14ac:dyDescent="0.3">
      <c r="A238" s="3">
        <v>2020</v>
      </c>
      <c r="B238" s="1" t="s">
        <v>58</v>
      </c>
      <c r="C238" s="1" t="s">
        <v>51</v>
      </c>
      <c r="D238" s="2">
        <v>5419</v>
      </c>
      <c r="E238" s="2">
        <v>148556</v>
      </c>
      <c r="F238" s="4">
        <v>242273</v>
      </c>
    </row>
    <row r="239" spans="1:6" x14ac:dyDescent="0.3">
      <c r="A239" s="3">
        <v>2020</v>
      </c>
      <c r="B239" s="1" t="s">
        <v>58</v>
      </c>
      <c r="C239" s="1" t="s">
        <v>52</v>
      </c>
      <c r="D239" s="1">
        <v>825</v>
      </c>
      <c r="E239" s="2">
        <v>7215</v>
      </c>
      <c r="F239" s="4">
        <v>58063</v>
      </c>
    </row>
    <row r="240" spans="1:6" x14ac:dyDescent="0.3">
      <c r="A240" s="3">
        <v>2020</v>
      </c>
      <c r="B240" s="1" t="s">
        <v>58</v>
      </c>
      <c r="C240" s="1" t="s">
        <v>53</v>
      </c>
      <c r="D240" s="2">
        <v>2400</v>
      </c>
      <c r="E240" s="2">
        <v>44846</v>
      </c>
      <c r="F240" s="4">
        <v>88336</v>
      </c>
    </row>
    <row r="241" spans="1:6" x14ac:dyDescent="0.3">
      <c r="A241" s="3">
        <v>2020</v>
      </c>
      <c r="B241" s="1" t="s">
        <v>58</v>
      </c>
      <c r="C241" s="1" t="s">
        <v>54</v>
      </c>
      <c r="D241" s="1">
        <v>428</v>
      </c>
      <c r="E241" s="2">
        <v>3000</v>
      </c>
      <c r="F241" s="4">
        <v>54299</v>
      </c>
    </row>
    <row r="242" spans="1:6" x14ac:dyDescent="0.3">
      <c r="A242" s="3">
        <v>2020</v>
      </c>
      <c r="B242" s="1" t="s">
        <v>59</v>
      </c>
      <c r="C242" s="1" t="s">
        <v>7</v>
      </c>
      <c r="D242" s="2">
        <v>13880</v>
      </c>
      <c r="E242" s="2">
        <v>94715</v>
      </c>
      <c r="F242" s="4">
        <v>75982</v>
      </c>
    </row>
    <row r="243" spans="1:6" x14ac:dyDescent="0.3">
      <c r="A243" s="3">
        <v>2020</v>
      </c>
      <c r="B243" s="1" t="s">
        <v>59</v>
      </c>
      <c r="C243" s="1" t="s">
        <v>8</v>
      </c>
      <c r="D243" s="2">
        <v>20707</v>
      </c>
      <c r="E243" s="2">
        <v>225922</v>
      </c>
      <c r="F243" s="4">
        <v>82956</v>
      </c>
    </row>
    <row r="244" spans="1:6" x14ac:dyDescent="0.3">
      <c r="A244" s="3">
        <v>2020</v>
      </c>
      <c r="B244" s="1" t="s">
        <v>59</v>
      </c>
      <c r="C244" s="1" t="s">
        <v>9</v>
      </c>
      <c r="D244" s="2">
        <v>8906</v>
      </c>
      <c r="E244" s="2">
        <v>51950</v>
      </c>
      <c r="F244" s="4">
        <v>65321</v>
      </c>
    </row>
    <row r="245" spans="1:6" x14ac:dyDescent="0.3">
      <c r="A245" s="3">
        <v>2020</v>
      </c>
      <c r="B245" s="1" t="s">
        <v>59</v>
      </c>
      <c r="C245" s="1" t="s">
        <v>10</v>
      </c>
      <c r="D245" s="2">
        <v>112775</v>
      </c>
      <c r="E245" s="2">
        <v>817007</v>
      </c>
      <c r="F245" s="4">
        <v>124107</v>
      </c>
    </row>
    <row r="246" spans="1:6" x14ac:dyDescent="0.3">
      <c r="A246" s="3">
        <v>2020</v>
      </c>
      <c r="B246" s="1" t="s">
        <v>59</v>
      </c>
      <c r="C246" s="1" t="s">
        <v>11</v>
      </c>
      <c r="D246" s="2">
        <v>25139</v>
      </c>
      <c r="E246" s="2">
        <v>165271</v>
      </c>
      <c r="F246" s="4">
        <v>97276</v>
      </c>
    </row>
    <row r="247" spans="1:6" x14ac:dyDescent="0.3">
      <c r="A247" s="3">
        <v>2020</v>
      </c>
      <c r="B247" s="1" t="s">
        <v>59</v>
      </c>
      <c r="C247" s="1" t="s">
        <v>12</v>
      </c>
      <c r="D247" s="2">
        <v>11223</v>
      </c>
      <c r="E247" s="2">
        <v>118168</v>
      </c>
      <c r="F247" s="4">
        <v>165086</v>
      </c>
    </row>
    <row r="248" spans="1:6" x14ac:dyDescent="0.3">
      <c r="A248" s="3">
        <v>2020</v>
      </c>
      <c r="B248" s="1" t="s">
        <v>59</v>
      </c>
      <c r="C248" s="1" t="s">
        <v>13</v>
      </c>
      <c r="D248" s="2">
        <v>3005</v>
      </c>
      <c r="E248" s="2">
        <v>47390</v>
      </c>
      <c r="F248" s="4">
        <v>103154</v>
      </c>
    </row>
    <row r="249" spans="1:6" x14ac:dyDescent="0.3">
      <c r="A249" s="3">
        <v>2020</v>
      </c>
      <c r="B249" s="1" t="s">
        <v>59</v>
      </c>
      <c r="C249" s="1" t="s">
        <v>14</v>
      </c>
      <c r="D249" s="2">
        <v>80956</v>
      </c>
      <c r="E249" s="2">
        <v>586706</v>
      </c>
      <c r="F249" s="4">
        <v>84307</v>
      </c>
    </row>
    <row r="250" spans="1:6" x14ac:dyDescent="0.3">
      <c r="A250" s="3">
        <v>2020</v>
      </c>
      <c r="B250" s="1" t="s">
        <v>59</v>
      </c>
      <c r="C250" s="1" t="s">
        <v>15</v>
      </c>
      <c r="D250" s="2">
        <v>28810</v>
      </c>
      <c r="E250" s="2">
        <v>242175</v>
      </c>
      <c r="F250" s="4">
        <v>93145</v>
      </c>
    </row>
    <row r="251" spans="1:6" x14ac:dyDescent="0.3">
      <c r="A251" s="3">
        <v>2020</v>
      </c>
      <c r="B251" s="1" t="s">
        <v>59</v>
      </c>
      <c r="C251" s="1" t="s">
        <v>16</v>
      </c>
      <c r="D251" s="2">
        <v>6508</v>
      </c>
      <c r="E251" s="2">
        <v>34249</v>
      </c>
      <c r="F251" s="4">
        <v>68833</v>
      </c>
    </row>
    <row r="252" spans="1:6" x14ac:dyDescent="0.3">
      <c r="A252" s="3">
        <v>2020</v>
      </c>
      <c r="B252" s="1" t="s">
        <v>59</v>
      </c>
      <c r="C252" s="1" t="s">
        <v>17</v>
      </c>
      <c r="D252" s="2">
        <v>33063</v>
      </c>
      <c r="E252" s="2">
        <v>376539</v>
      </c>
      <c r="F252" s="4">
        <v>121634</v>
      </c>
    </row>
    <row r="253" spans="1:6" x14ac:dyDescent="0.3">
      <c r="A253" s="3">
        <v>2020</v>
      </c>
      <c r="B253" s="1" t="s">
        <v>59</v>
      </c>
      <c r="C253" s="1" t="s">
        <v>18</v>
      </c>
      <c r="D253" s="2">
        <v>17574</v>
      </c>
      <c r="E253" s="2">
        <v>133449</v>
      </c>
      <c r="F253" s="4">
        <v>72283</v>
      </c>
    </row>
    <row r="254" spans="1:6" x14ac:dyDescent="0.3">
      <c r="A254" s="3">
        <v>2020</v>
      </c>
      <c r="B254" s="1" t="s">
        <v>59</v>
      </c>
      <c r="C254" s="1" t="s">
        <v>19</v>
      </c>
      <c r="D254" s="2">
        <v>10731</v>
      </c>
      <c r="E254" s="2">
        <v>109283</v>
      </c>
      <c r="F254" s="4">
        <v>81131</v>
      </c>
    </row>
    <row r="255" spans="1:6" x14ac:dyDescent="0.3">
      <c r="A255" s="3">
        <v>2020</v>
      </c>
      <c r="B255" s="1" t="s">
        <v>59</v>
      </c>
      <c r="C255" s="1" t="s">
        <v>20</v>
      </c>
      <c r="D255" s="2">
        <v>8752</v>
      </c>
      <c r="E255" s="2">
        <v>73310</v>
      </c>
      <c r="F255" s="4">
        <v>75889</v>
      </c>
    </row>
    <row r="256" spans="1:6" x14ac:dyDescent="0.3">
      <c r="A256" s="3">
        <v>2020</v>
      </c>
      <c r="B256" s="1" t="s">
        <v>59</v>
      </c>
      <c r="C256" s="1" t="s">
        <v>21</v>
      </c>
      <c r="D256" s="2">
        <v>11729</v>
      </c>
      <c r="E256" s="2">
        <v>92079</v>
      </c>
      <c r="F256" s="4">
        <v>75177</v>
      </c>
    </row>
    <row r="257" spans="1:6" x14ac:dyDescent="0.3">
      <c r="A257" s="3">
        <v>2020</v>
      </c>
      <c r="B257" s="1" t="s">
        <v>59</v>
      </c>
      <c r="C257" s="1" t="s">
        <v>22</v>
      </c>
      <c r="D257" s="2">
        <v>14229</v>
      </c>
      <c r="E257" s="2">
        <v>81149</v>
      </c>
      <c r="F257" s="4">
        <v>69409</v>
      </c>
    </row>
    <row r="258" spans="1:6" x14ac:dyDescent="0.3">
      <c r="A258" s="3">
        <v>2020</v>
      </c>
      <c r="B258" s="1" t="s">
        <v>59</v>
      </c>
      <c r="C258" s="1" t="s">
        <v>23</v>
      </c>
      <c r="D258" s="2">
        <v>3926</v>
      </c>
      <c r="E258" s="2">
        <v>30107</v>
      </c>
      <c r="F258" s="4">
        <v>75870</v>
      </c>
    </row>
    <row r="259" spans="1:6" x14ac:dyDescent="0.3">
      <c r="A259" s="3">
        <v>2020</v>
      </c>
      <c r="B259" s="1" t="s">
        <v>59</v>
      </c>
      <c r="C259" s="1" t="s">
        <v>24</v>
      </c>
      <c r="D259" s="2">
        <v>15692</v>
      </c>
      <c r="E259" s="2">
        <v>129771</v>
      </c>
      <c r="F259" s="4">
        <v>110159</v>
      </c>
    </row>
    <row r="260" spans="1:6" x14ac:dyDescent="0.3">
      <c r="A260" s="3">
        <v>2020</v>
      </c>
      <c r="B260" s="1" t="s">
        <v>59</v>
      </c>
      <c r="C260" s="1" t="s">
        <v>25</v>
      </c>
      <c r="D260" s="2">
        <v>18137</v>
      </c>
      <c r="E260" s="2">
        <v>212062</v>
      </c>
      <c r="F260" s="4">
        <v>159120</v>
      </c>
    </row>
    <row r="261" spans="1:6" x14ac:dyDescent="0.3">
      <c r="A261" s="3">
        <v>2020</v>
      </c>
      <c r="B261" s="1" t="s">
        <v>59</v>
      </c>
      <c r="C261" s="1" t="s">
        <v>26</v>
      </c>
      <c r="D261" s="2">
        <v>20626</v>
      </c>
      <c r="E261" s="2">
        <v>207448</v>
      </c>
      <c r="F261" s="4">
        <v>81720</v>
      </c>
    </row>
    <row r="262" spans="1:6" x14ac:dyDescent="0.3">
      <c r="A262" s="3">
        <v>2020</v>
      </c>
      <c r="B262" s="1" t="s">
        <v>59</v>
      </c>
      <c r="C262" s="1" t="s">
        <v>27</v>
      </c>
      <c r="D262" s="2">
        <v>16134</v>
      </c>
      <c r="E262" s="2">
        <v>179728</v>
      </c>
      <c r="F262" s="4">
        <v>104989</v>
      </c>
    </row>
    <row r="263" spans="1:6" x14ac:dyDescent="0.3">
      <c r="A263" s="3">
        <v>2020</v>
      </c>
      <c r="B263" s="1" t="s">
        <v>59</v>
      </c>
      <c r="C263" s="1" t="s">
        <v>28</v>
      </c>
      <c r="D263" s="2">
        <v>7984</v>
      </c>
      <c r="E263" s="2">
        <v>41912</v>
      </c>
      <c r="F263" s="4">
        <v>59263</v>
      </c>
    </row>
    <row r="264" spans="1:6" x14ac:dyDescent="0.3">
      <c r="A264" s="3">
        <v>2020</v>
      </c>
      <c r="B264" s="1" t="s">
        <v>59</v>
      </c>
      <c r="C264" s="1" t="s">
        <v>29</v>
      </c>
      <c r="D264" s="2">
        <v>18815</v>
      </c>
      <c r="E264" s="2">
        <v>165564</v>
      </c>
      <c r="F264" s="4">
        <v>82664</v>
      </c>
    </row>
    <row r="265" spans="1:6" x14ac:dyDescent="0.3">
      <c r="A265" s="3">
        <v>2020</v>
      </c>
      <c r="B265" s="1" t="s">
        <v>59</v>
      </c>
      <c r="C265" s="1" t="s">
        <v>30</v>
      </c>
      <c r="D265" s="2">
        <v>4557</v>
      </c>
      <c r="E265" s="2">
        <v>21986</v>
      </c>
      <c r="F265" s="4">
        <v>67330</v>
      </c>
    </row>
    <row r="266" spans="1:6" x14ac:dyDescent="0.3">
      <c r="A266" s="3">
        <v>2020</v>
      </c>
      <c r="B266" s="1" t="s">
        <v>59</v>
      </c>
      <c r="C266" s="1" t="s">
        <v>31</v>
      </c>
      <c r="D266" s="2">
        <v>7000</v>
      </c>
      <c r="E266" s="2">
        <v>66588</v>
      </c>
      <c r="F266" s="4">
        <v>74942</v>
      </c>
    </row>
    <row r="267" spans="1:6" x14ac:dyDescent="0.3">
      <c r="A267" s="3">
        <v>2020</v>
      </c>
      <c r="B267" s="1" t="s">
        <v>59</v>
      </c>
      <c r="C267" s="1" t="s">
        <v>32</v>
      </c>
      <c r="D267" s="2">
        <v>9293</v>
      </c>
      <c r="E267" s="2">
        <v>62325</v>
      </c>
      <c r="F267" s="4">
        <v>79236</v>
      </c>
    </row>
    <row r="268" spans="1:6" x14ac:dyDescent="0.3">
      <c r="A268" s="3">
        <v>2020</v>
      </c>
      <c r="B268" s="1" t="s">
        <v>59</v>
      </c>
      <c r="C268" s="1" t="s">
        <v>33</v>
      </c>
      <c r="D268" s="2">
        <v>3946</v>
      </c>
      <c r="E268" s="2">
        <v>33027</v>
      </c>
      <c r="F268" s="4">
        <v>109751</v>
      </c>
    </row>
    <row r="269" spans="1:6" x14ac:dyDescent="0.3">
      <c r="A269" s="3">
        <v>2020</v>
      </c>
      <c r="B269" s="1" t="s">
        <v>59</v>
      </c>
      <c r="C269" s="1" t="s">
        <v>34</v>
      </c>
      <c r="D269" s="2">
        <v>20469</v>
      </c>
      <c r="E269" s="2">
        <v>235676</v>
      </c>
      <c r="F269" s="4">
        <v>127870</v>
      </c>
    </row>
    <row r="270" spans="1:6" x14ac:dyDescent="0.3">
      <c r="A270" s="3">
        <v>2020</v>
      </c>
      <c r="B270" s="1" t="s">
        <v>59</v>
      </c>
      <c r="C270" s="1" t="s">
        <v>35</v>
      </c>
      <c r="D270" s="2">
        <v>5600</v>
      </c>
      <c r="E270" s="2">
        <v>32608</v>
      </c>
      <c r="F270" s="4">
        <v>62343</v>
      </c>
    </row>
    <row r="271" spans="1:6" x14ac:dyDescent="0.3">
      <c r="A271" s="3">
        <v>2020</v>
      </c>
      <c r="B271" s="1" t="s">
        <v>59</v>
      </c>
      <c r="C271" s="1" t="s">
        <v>36</v>
      </c>
      <c r="D271" s="2">
        <v>63948</v>
      </c>
      <c r="E271" s="2">
        <v>700031</v>
      </c>
      <c r="F271" s="4">
        <v>207014</v>
      </c>
    </row>
    <row r="272" spans="1:6" x14ac:dyDescent="0.3">
      <c r="A272" s="3">
        <v>2020</v>
      </c>
      <c r="B272" s="1" t="s">
        <v>59</v>
      </c>
      <c r="C272" s="1" t="s">
        <v>37</v>
      </c>
      <c r="D272" s="2">
        <v>30275</v>
      </c>
      <c r="E272" s="2">
        <v>251672</v>
      </c>
      <c r="F272" s="4">
        <v>97234</v>
      </c>
    </row>
    <row r="273" spans="1:6" x14ac:dyDescent="0.3">
      <c r="A273" s="3">
        <v>2020</v>
      </c>
      <c r="B273" s="1" t="s">
        <v>59</v>
      </c>
      <c r="C273" s="1" t="s">
        <v>38</v>
      </c>
      <c r="D273" s="2">
        <v>3042</v>
      </c>
      <c r="E273" s="2">
        <v>22496</v>
      </c>
      <c r="F273" s="4">
        <v>69243</v>
      </c>
    </row>
    <row r="274" spans="1:6" x14ac:dyDescent="0.3">
      <c r="A274" s="3">
        <v>2020</v>
      </c>
      <c r="B274" s="1" t="s">
        <v>59</v>
      </c>
      <c r="C274" s="1" t="s">
        <v>39</v>
      </c>
      <c r="D274" s="2">
        <v>29307</v>
      </c>
      <c r="E274" s="2">
        <v>287990</v>
      </c>
      <c r="F274" s="4">
        <v>82336</v>
      </c>
    </row>
    <row r="275" spans="1:6" x14ac:dyDescent="0.3">
      <c r="A275" s="3">
        <v>2020</v>
      </c>
      <c r="B275" s="1" t="s">
        <v>59</v>
      </c>
      <c r="C275" s="1" t="s">
        <v>40</v>
      </c>
      <c r="D275" s="2">
        <v>11701</v>
      </c>
      <c r="E275" s="2">
        <v>74614</v>
      </c>
      <c r="F275" s="4">
        <v>64030</v>
      </c>
    </row>
    <row r="276" spans="1:6" x14ac:dyDescent="0.3">
      <c r="A276" s="3">
        <v>2020</v>
      </c>
      <c r="B276" s="1" t="s">
        <v>59</v>
      </c>
      <c r="C276" s="1" t="s">
        <v>41</v>
      </c>
      <c r="D276" s="2">
        <v>13352</v>
      </c>
      <c r="E276" s="2">
        <v>83937</v>
      </c>
      <c r="F276" s="4">
        <v>80727</v>
      </c>
    </row>
    <row r="277" spans="1:6" x14ac:dyDescent="0.3">
      <c r="A277" s="3">
        <v>2020</v>
      </c>
      <c r="B277" s="1" t="s">
        <v>59</v>
      </c>
      <c r="C277" s="1" t="s">
        <v>42</v>
      </c>
      <c r="D277" s="2">
        <v>29714</v>
      </c>
      <c r="E277" s="2">
        <v>325571</v>
      </c>
      <c r="F277" s="4">
        <v>97231</v>
      </c>
    </row>
    <row r="278" spans="1:6" x14ac:dyDescent="0.3">
      <c r="A278" s="3">
        <v>2020</v>
      </c>
      <c r="B278" s="1" t="s">
        <v>59</v>
      </c>
      <c r="C278" s="1" t="s">
        <v>43</v>
      </c>
      <c r="D278" s="2">
        <v>3038</v>
      </c>
      <c r="E278" s="2">
        <v>31304</v>
      </c>
      <c r="F278" s="4">
        <v>100316</v>
      </c>
    </row>
    <row r="279" spans="1:6" x14ac:dyDescent="0.3">
      <c r="A279" s="3">
        <v>2020</v>
      </c>
      <c r="B279" s="1" t="s">
        <v>59</v>
      </c>
      <c r="C279" s="1" t="s">
        <v>44</v>
      </c>
      <c r="D279" s="2">
        <v>15078</v>
      </c>
      <c r="E279" s="2">
        <v>101637</v>
      </c>
      <c r="F279" s="4">
        <v>71361</v>
      </c>
    </row>
    <row r="280" spans="1:6" x14ac:dyDescent="0.3">
      <c r="A280" s="3">
        <v>2020</v>
      </c>
      <c r="B280" s="1" t="s">
        <v>59</v>
      </c>
      <c r="C280" s="1" t="s">
        <v>45</v>
      </c>
      <c r="D280" s="2">
        <v>3397</v>
      </c>
      <c r="E280" s="2">
        <v>27809</v>
      </c>
      <c r="F280" s="4">
        <v>69345</v>
      </c>
    </row>
    <row r="281" spans="1:6" x14ac:dyDescent="0.3">
      <c r="A281" s="3">
        <v>2020</v>
      </c>
      <c r="B281" s="1" t="s">
        <v>59</v>
      </c>
      <c r="C281" s="1" t="s">
        <v>46</v>
      </c>
      <c r="D281" s="2">
        <v>16893</v>
      </c>
      <c r="E281" s="2">
        <v>155926</v>
      </c>
      <c r="F281" s="4">
        <v>85116</v>
      </c>
    </row>
    <row r="282" spans="1:6" x14ac:dyDescent="0.3">
      <c r="A282" s="3">
        <v>2020</v>
      </c>
      <c r="B282" s="1" t="s">
        <v>59</v>
      </c>
      <c r="C282" s="1" t="s">
        <v>47</v>
      </c>
      <c r="D282" s="2">
        <v>78940</v>
      </c>
      <c r="E282" s="2">
        <v>778554</v>
      </c>
      <c r="F282" s="4">
        <v>92477</v>
      </c>
    </row>
    <row r="283" spans="1:6" x14ac:dyDescent="0.3">
      <c r="A283" s="3">
        <v>2020</v>
      </c>
      <c r="B283" s="1" t="s">
        <v>59</v>
      </c>
      <c r="C283" s="1" t="s">
        <v>48</v>
      </c>
      <c r="D283" s="2">
        <v>12580</v>
      </c>
      <c r="E283" s="2">
        <v>93379</v>
      </c>
      <c r="F283" s="4">
        <v>79806</v>
      </c>
    </row>
    <row r="284" spans="1:6" x14ac:dyDescent="0.3">
      <c r="A284" s="3">
        <v>2020</v>
      </c>
      <c r="B284" s="1" t="s">
        <v>59</v>
      </c>
      <c r="C284" s="1" t="s">
        <v>49</v>
      </c>
      <c r="D284" s="2">
        <v>1719</v>
      </c>
      <c r="E284" s="2">
        <v>11578</v>
      </c>
      <c r="F284" s="4">
        <v>80135</v>
      </c>
    </row>
    <row r="285" spans="1:6" x14ac:dyDescent="0.3">
      <c r="A285" s="3">
        <v>2020</v>
      </c>
      <c r="B285" s="1" t="s">
        <v>59</v>
      </c>
      <c r="C285" s="1" t="s">
        <v>50</v>
      </c>
      <c r="D285" s="2">
        <v>22750</v>
      </c>
      <c r="E285" s="2">
        <v>195671</v>
      </c>
      <c r="F285" s="4">
        <v>97246</v>
      </c>
    </row>
    <row r="286" spans="1:6" x14ac:dyDescent="0.3">
      <c r="A286" s="3">
        <v>2020</v>
      </c>
      <c r="B286" s="1" t="s">
        <v>59</v>
      </c>
      <c r="C286" s="1" t="s">
        <v>51</v>
      </c>
      <c r="D286" s="2">
        <v>18828</v>
      </c>
      <c r="E286" s="2">
        <v>147772</v>
      </c>
      <c r="F286" s="4">
        <v>95674</v>
      </c>
    </row>
    <row r="287" spans="1:6" x14ac:dyDescent="0.3">
      <c r="A287" s="3">
        <v>2020</v>
      </c>
      <c r="B287" s="1" t="s">
        <v>59</v>
      </c>
      <c r="C287" s="1" t="s">
        <v>52</v>
      </c>
      <c r="D287" s="2">
        <v>4042</v>
      </c>
      <c r="E287" s="2">
        <v>24190</v>
      </c>
      <c r="F287" s="4">
        <v>56764</v>
      </c>
    </row>
    <row r="288" spans="1:6" x14ac:dyDescent="0.3">
      <c r="A288" s="3">
        <v>2020</v>
      </c>
      <c r="B288" s="1" t="s">
        <v>59</v>
      </c>
      <c r="C288" s="1" t="s">
        <v>53</v>
      </c>
      <c r="D288" s="2">
        <v>14688</v>
      </c>
      <c r="E288" s="2">
        <v>148829</v>
      </c>
      <c r="F288" s="4">
        <v>80470</v>
      </c>
    </row>
    <row r="289" spans="1:6" x14ac:dyDescent="0.3">
      <c r="A289" s="3">
        <v>2020</v>
      </c>
      <c r="B289" s="1" t="s">
        <v>59</v>
      </c>
      <c r="C289" s="1" t="s">
        <v>54</v>
      </c>
      <c r="D289" s="2">
        <v>2353</v>
      </c>
      <c r="E289" s="2">
        <v>10919</v>
      </c>
      <c r="F289" s="4">
        <v>64480</v>
      </c>
    </row>
    <row r="290" spans="1:6" x14ac:dyDescent="0.3">
      <c r="A290" s="3">
        <v>2020</v>
      </c>
      <c r="B290" s="1" t="s">
        <v>60</v>
      </c>
      <c r="C290" s="1" t="s">
        <v>7</v>
      </c>
      <c r="D290" s="2">
        <v>22875</v>
      </c>
      <c r="E290" s="2">
        <v>242419</v>
      </c>
      <c r="F290" s="4">
        <v>62111</v>
      </c>
    </row>
    <row r="291" spans="1:6" x14ac:dyDescent="0.3">
      <c r="A291" s="3">
        <v>2020</v>
      </c>
      <c r="B291" s="1" t="s">
        <v>60</v>
      </c>
      <c r="C291" s="1" t="s">
        <v>8</v>
      </c>
      <c r="D291" s="2">
        <v>40867</v>
      </c>
      <c r="E291" s="2">
        <v>431379</v>
      </c>
      <c r="F291" s="4">
        <v>63180</v>
      </c>
    </row>
    <row r="292" spans="1:6" x14ac:dyDescent="0.3">
      <c r="A292" s="3">
        <v>2020</v>
      </c>
      <c r="B292" s="1" t="s">
        <v>60</v>
      </c>
      <c r="C292" s="1" t="s">
        <v>9</v>
      </c>
      <c r="D292" s="2">
        <v>15490</v>
      </c>
      <c r="E292" s="2">
        <v>139300</v>
      </c>
      <c r="F292" s="4">
        <v>68067</v>
      </c>
    </row>
    <row r="293" spans="1:6" x14ac:dyDescent="0.3">
      <c r="A293" s="3">
        <v>2020</v>
      </c>
      <c r="B293" s="1" t="s">
        <v>60</v>
      </c>
      <c r="C293" s="1" t="s">
        <v>10</v>
      </c>
      <c r="D293" s="2">
        <v>221985</v>
      </c>
      <c r="E293" s="2">
        <v>2600604</v>
      </c>
      <c r="F293" s="4">
        <v>106486</v>
      </c>
    </row>
    <row r="294" spans="1:6" x14ac:dyDescent="0.3">
      <c r="A294" s="3">
        <v>2020</v>
      </c>
      <c r="B294" s="1" t="s">
        <v>60</v>
      </c>
      <c r="C294" s="1" t="s">
        <v>11</v>
      </c>
      <c r="D294" s="2">
        <v>58286</v>
      </c>
      <c r="E294" s="2">
        <v>430367</v>
      </c>
      <c r="F294" s="4">
        <v>90744</v>
      </c>
    </row>
    <row r="295" spans="1:6" x14ac:dyDescent="0.3">
      <c r="A295" s="3">
        <v>2020</v>
      </c>
      <c r="B295" s="1" t="s">
        <v>60</v>
      </c>
      <c r="C295" s="1" t="s">
        <v>12</v>
      </c>
      <c r="D295" s="2">
        <v>24131</v>
      </c>
      <c r="E295" s="2">
        <v>206629</v>
      </c>
      <c r="F295" s="4">
        <v>95714</v>
      </c>
    </row>
    <row r="296" spans="1:6" x14ac:dyDescent="0.3">
      <c r="A296" s="3">
        <v>2020</v>
      </c>
      <c r="B296" s="1" t="s">
        <v>60</v>
      </c>
      <c r="C296" s="1" t="s">
        <v>13</v>
      </c>
      <c r="D296" s="2">
        <v>9766</v>
      </c>
      <c r="E296" s="2">
        <v>61669</v>
      </c>
      <c r="F296" s="4">
        <v>85651</v>
      </c>
    </row>
    <row r="297" spans="1:6" x14ac:dyDescent="0.3">
      <c r="A297" s="3">
        <v>2020</v>
      </c>
      <c r="B297" s="1" t="s">
        <v>60</v>
      </c>
      <c r="C297" s="1" t="s">
        <v>14</v>
      </c>
      <c r="D297" s="2">
        <v>179893</v>
      </c>
      <c r="E297" s="2">
        <v>1358317</v>
      </c>
      <c r="F297" s="4">
        <v>68223</v>
      </c>
    </row>
    <row r="298" spans="1:6" x14ac:dyDescent="0.3">
      <c r="A298" s="3">
        <v>2020</v>
      </c>
      <c r="B298" s="1" t="s">
        <v>60</v>
      </c>
      <c r="C298" s="1" t="s">
        <v>15</v>
      </c>
      <c r="D298" s="2">
        <v>60683</v>
      </c>
      <c r="E298" s="2">
        <v>692452</v>
      </c>
      <c r="F298" s="4">
        <v>76331</v>
      </c>
    </row>
    <row r="299" spans="1:6" x14ac:dyDescent="0.3">
      <c r="A299" s="3">
        <v>2020</v>
      </c>
      <c r="B299" s="1" t="s">
        <v>60</v>
      </c>
      <c r="C299" s="1" t="s">
        <v>16</v>
      </c>
      <c r="D299" s="2">
        <v>12911</v>
      </c>
      <c r="E299" s="2">
        <v>97097</v>
      </c>
      <c r="F299" s="4">
        <v>59743</v>
      </c>
    </row>
    <row r="300" spans="1:6" x14ac:dyDescent="0.3">
      <c r="A300" s="3">
        <v>2020</v>
      </c>
      <c r="B300" s="1" t="s">
        <v>60</v>
      </c>
      <c r="C300" s="1" t="s">
        <v>17</v>
      </c>
      <c r="D300" s="2">
        <v>75904</v>
      </c>
      <c r="E300" s="2">
        <v>892150</v>
      </c>
      <c r="F300" s="4">
        <v>83889</v>
      </c>
    </row>
    <row r="301" spans="1:6" x14ac:dyDescent="0.3">
      <c r="A301" s="3">
        <v>2020</v>
      </c>
      <c r="B301" s="1" t="s">
        <v>60</v>
      </c>
      <c r="C301" s="1" t="s">
        <v>18</v>
      </c>
      <c r="D301" s="2">
        <v>32143</v>
      </c>
      <c r="E301" s="2">
        <v>326745</v>
      </c>
      <c r="F301" s="4">
        <v>58578</v>
      </c>
    </row>
    <row r="302" spans="1:6" x14ac:dyDescent="0.3">
      <c r="A302" s="3">
        <v>2020</v>
      </c>
      <c r="B302" s="1" t="s">
        <v>60</v>
      </c>
      <c r="C302" s="1" t="s">
        <v>19</v>
      </c>
      <c r="D302" s="2">
        <v>16706</v>
      </c>
      <c r="E302" s="2">
        <v>134822</v>
      </c>
      <c r="F302" s="4">
        <v>61793</v>
      </c>
    </row>
    <row r="303" spans="1:6" x14ac:dyDescent="0.3">
      <c r="A303" s="3">
        <v>2020</v>
      </c>
      <c r="B303" s="1" t="s">
        <v>60</v>
      </c>
      <c r="C303" s="1" t="s">
        <v>20</v>
      </c>
      <c r="D303" s="2">
        <v>16823</v>
      </c>
      <c r="E303" s="2">
        <v>168813</v>
      </c>
      <c r="F303" s="4">
        <v>69538</v>
      </c>
    </row>
    <row r="304" spans="1:6" x14ac:dyDescent="0.3">
      <c r="A304" s="3">
        <v>2020</v>
      </c>
      <c r="B304" s="1" t="s">
        <v>60</v>
      </c>
      <c r="C304" s="1" t="s">
        <v>21</v>
      </c>
      <c r="D304" s="2">
        <v>22329</v>
      </c>
      <c r="E304" s="2">
        <v>207575</v>
      </c>
      <c r="F304" s="4">
        <v>55987</v>
      </c>
    </row>
    <row r="305" spans="1:6" x14ac:dyDescent="0.3">
      <c r="A305" s="3">
        <v>2020</v>
      </c>
      <c r="B305" s="1" t="s">
        <v>60</v>
      </c>
      <c r="C305" s="1" t="s">
        <v>22</v>
      </c>
      <c r="D305" s="2">
        <v>26262</v>
      </c>
      <c r="E305" s="2">
        <v>204729</v>
      </c>
      <c r="F305" s="4">
        <v>60136</v>
      </c>
    </row>
    <row r="306" spans="1:6" x14ac:dyDescent="0.3">
      <c r="A306" s="3">
        <v>2020</v>
      </c>
      <c r="B306" s="1" t="s">
        <v>60</v>
      </c>
      <c r="C306" s="1" t="s">
        <v>23</v>
      </c>
      <c r="D306" s="2">
        <v>11267</v>
      </c>
      <c r="E306" s="2">
        <v>68952</v>
      </c>
      <c r="F306" s="4">
        <v>66178</v>
      </c>
    </row>
    <row r="307" spans="1:6" x14ac:dyDescent="0.3">
      <c r="A307" s="3">
        <v>2020</v>
      </c>
      <c r="B307" s="1" t="s">
        <v>60</v>
      </c>
      <c r="C307" s="1" t="s">
        <v>24</v>
      </c>
      <c r="D307" s="2">
        <v>44172</v>
      </c>
      <c r="E307" s="2">
        <v>441860</v>
      </c>
      <c r="F307" s="4">
        <v>88391</v>
      </c>
    </row>
    <row r="308" spans="1:6" x14ac:dyDescent="0.3">
      <c r="A308" s="3">
        <v>2020</v>
      </c>
      <c r="B308" s="1" t="s">
        <v>60</v>
      </c>
      <c r="C308" s="1" t="s">
        <v>25</v>
      </c>
      <c r="D308" s="2">
        <v>48428</v>
      </c>
      <c r="E308" s="2">
        <v>583792</v>
      </c>
      <c r="F308" s="4">
        <v>124638</v>
      </c>
    </row>
    <row r="309" spans="1:6" x14ac:dyDescent="0.3">
      <c r="A309" s="3">
        <v>2020</v>
      </c>
      <c r="B309" s="1" t="s">
        <v>60</v>
      </c>
      <c r="C309" s="1" t="s">
        <v>26</v>
      </c>
      <c r="D309" s="2">
        <v>46269</v>
      </c>
      <c r="E309" s="2">
        <v>599657</v>
      </c>
      <c r="F309" s="4">
        <v>76432</v>
      </c>
    </row>
    <row r="310" spans="1:6" x14ac:dyDescent="0.3">
      <c r="A310" s="3">
        <v>2020</v>
      </c>
      <c r="B310" s="1" t="s">
        <v>60</v>
      </c>
      <c r="C310" s="1" t="s">
        <v>27</v>
      </c>
      <c r="D310" s="2">
        <v>33603</v>
      </c>
      <c r="E310" s="2">
        <v>361183</v>
      </c>
      <c r="F310" s="4">
        <v>91033</v>
      </c>
    </row>
    <row r="311" spans="1:6" x14ac:dyDescent="0.3">
      <c r="A311" s="3">
        <v>2020</v>
      </c>
      <c r="B311" s="1" t="s">
        <v>60</v>
      </c>
      <c r="C311" s="1" t="s">
        <v>28</v>
      </c>
      <c r="D311" s="2">
        <v>12692</v>
      </c>
      <c r="E311" s="2">
        <v>107758</v>
      </c>
      <c r="F311" s="4">
        <v>45573</v>
      </c>
    </row>
    <row r="312" spans="1:6" x14ac:dyDescent="0.3">
      <c r="A312" s="3">
        <v>2020</v>
      </c>
      <c r="B312" s="1" t="s">
        <v>60</v>
      </c>
      <c r="C312" s="1" t="s">
        <v>29</v>
      </c>
      <c r="D312" s="2">
        <v>36089</v>
      </c>
      <c r="E312" s="2">
        <v>365657</v>
      </c>
      <c r="F312" s="4">
        <v>72666</v>
      </c>
    </row>
    <row r="313" spans="1:6" x14ac:dyDescent="0.3">
      <c r="A313" s="3">
        <v>2020</v>
      </c>
      <c r="B313" s="1" t="s">
        <v>60</v>
      </c>
      <c r="C313" s="1" t="s">
        <v>30</v>
      </c>
      <c r="D313" s="2">
        <v>10331</v>
      </c>
      <c r="E313" s="2">
        <v>43549</v>
      </c>
      <c r="F313" s="4">
        <v>59785</v>
      </c>
    </row>
    <row r="314" spans="1:6" x14ac:dyDescent="0.3">
      <c r="A314" s="3">
        <v>2020</v>
      </c>
      <c r="B314" s="1" t="s">
        <v>60</v>
      </c>
      <c r="C314" s="1" t="s">
        <v>31</v>
      </c>
      <c r="D314" s="2">
        <v>11809</v>
      </c>
      <c r="E314" s="2">
        <v>117288</v>
      </c>
      <c r="F314" s="4">
        <v>65292</v>
      </c>
    </row>
    <row r="315" spans="1:6" x14ac:dyDescent="0.3">
      <c r="A315" s="3">
        <v>2020</v>
      </c>
      <c r="B315" s="1" t="s">
        <v>60</v>
      </c>
      <c r="C315" s="1" t="s">
        <v>32</v>
      </c>
      <c r="D315" s="2">
        <v>20046</v>
      </c>
      <c r="E315" s="2">
        <v>179092</v>
      </c>
      <c r="F315" s="4">
        <v>67081</v>
      </c>
    </row>
    <row r="316" spans="1:6" x14ac:dyDescent="0.3">
      <c r="A316" s="3">
        <v>2020</v>
      </c>
      <c r="B316" s="1" t="s">
        <v>60</v>
      </c>
      <c r="C316" s="1" t="s">
        <v>33</v>
      </c>
      <c r="D316" s="2">
        <v>13616</v>
      </c>
      <c r="E316" s="2">
        <v>81639</v>
      </c>
      <c r="F316" s="4">
        <v>88167</v>
      </c>
    </row>
    <row r="317" spans="1:6" x14ac:dyDescent="0.3">
      <c r="A317" s="3">
        <v>2020</v>
      </c>
      <c r="B317" s="1" t="s">
        <v>60</v>
      </c>
      <c r="C317" s="1" t="s">
        <v>34</v>
      </c>
      <c r="D317" s="2">
        <v>53304</v>
      </c>
      <c r="E317" s="2">
        <v>643507</v>
      </c>
      <c r="F317" s="4">
        <v>102666</v>
      </c>
    </row>
    <row r="318" spans="1:6" x14ac:dyDescent="0.3">
      <c r="A318" s="3">
        <v>2020</v>
      </c>
      <c r="B318" s="1" t="s">
        <v>60</v>
      </c>
      <c r="C318" s="1" t="s">
        <v>35</v>
      </c>
      <c r="D318" s="2">
        <v>11550</v>
      </c>
      <c r="E318" s="2">
        <v>107707</v>
      </c>
      <c r="F318" s="4">
        <v>69938</v>
      </c>
    </row>
    <row r="319" spans="1:6" x14ac:dyDescent="0.3">
      <c r="A319" s="3">
        <v>2020</v>
      </c>
      <c r="B319" s="1" t="s">
        <v>60</v>
      </c>
      <c r="C319" s="1" t="s">
        <v>36</v>
      </c>
      <c r="D319" s="2">
        <v>117347</v>
      </c>
      <c r="E319" s="2">
        <v>1242471</v>
      </c>
      <c r="F319" s="4">
        <v>109413</v>
      </c>
    </row>
    <row r="320" spans="1:6" x14ac:dyDescent="0.3">
      <c r="A320" s="3">
        <v>2020</v>
      </c>
      <c r="B320" s="1" t="s">
        <v>60</v>
      </c>
      <c r="C320" s="1" t="s">
        <v>37</v>
      </c>
      <c r="D320" s="2">
        <v>64843</v>
      </c>
      <c r="E320" s="2">
        <v>637719</v>
      </c>
      <c r="F320" s="4">
        <v>72078</v>
      </c>
    </row>
    <row r="321" spans="1:6" x14ac:dyDescent="0.3">
      <c r="A321" s="3">
        <v>2020</v>
      </c>
      <c r="B321" s="1" t="s">
        <v>60</v>
      </c>
      <c r="C321" s="1" t="s">
        <v>38</v>
      </c>
      <c r="D321" s="2">
        <v>5337</v>
      </c>
      <c r="E321" s="2">
        <v>31642</v>
      </c>
      <c r="F321" s="4">
        <v>65877</v>
      </c>
    </row>
    <row r="322" spans="1:6" x14ac:dyDescent="0.3">
      <c r="A322" s="3">
        <v>2020</v>
      </c>
      <c r="B322" s="1" t="s">
        <v>60</v>
      </c>
      <c r="C322" s="1" t="s">
        <v>39</v>
      </c>
      <c r="D322" s="2">
        <v>55987</v>
      </c>
      <c r="E322" s="2">
        <v>697244</v>
      </c>
      <c r="F322" s="4">
        <v>71920</v>
      </c>
    </row>
    <row r="323" spans="1:6" x14ac:dyDescent="0.3">
      <c r="A323" s="3">
        <v>2020</v>
      </c>
      <c r="B323" s="1" t="s">
        <v>60</v>
      </c>
      <c r="C323" s="1" t="s">
        <v>40</v>
      </c>
      <c r="D323" s="2">
        <v>21652</v>
      </c>
      <c r="E323" s="2">
        <v>185307</v>
      </c>
      <c r="F323" s="4">
        <v>58539</v>
      </c>
    </row>
    <row r="324" spans="1:6" x14ac:dyDescent="0.3">
      <c r="A324" s="3">
        <v>2020</v>
      </c>
      <c r="B324" s="1" t="s">
        <v>60</v>
      </c>
      <c r="C324" s="1" t="s">
        <v>41</v>
      </c>
      <c r="D324" s="2">
        <v>27033</v>
      </c>
      <c r="E324" s="2">
        <v>242218</v>
      </c>
      <c r="F324" s="4">
        <v>81224</v>
      </c>
    </row>
    <row r="325" spans="1:6" x14ac:dyDescent="0.3">
      <c r="A325" s="3">
        <v>2020</v>
      </c>
      <c r="B325" s="1" t="s">
        <v>60</v>
      </c>
      <c r="C325" s="1" t="s">
        <v>42</v>
      </c>
      <c r="D325" s="2">
        <v>66210</v>
      </c>
      <c r="E325" s="2">
        <v>766122</v>
      </c>
      <c r="F325" s="4">
        <v>86971</v>
      </c>
    </row>
    <row r="326" spans="1:6" x14ac:dyDescent="0.3">
      <c r="A326" s="3">
        <v>2020</v>
      </c>
      <c r="B326" s="1" t="s">
        <v>60</v>
      </c>
      <c r="C326" s="1" t="s">
        <v>43</v>
      </c>
      <c r="D326" s="2">
        <v>9567</v>
      </c>
      <c r="E326" s="2">
        <v>65232</v>
      </c>
      <c r="F326" s="4">
        <v>75829</v>
      </c>
    </row>
    <row r="327" spans="1:6" x14ac:dyDescent="0.3">
      <c r="A327" s="3">
        <v>2020</v>
      </c>
      <c r="B327" s="1" t="s">
        <v>60</v>
      </c>
      <c r="C327" s="1" t="s">
        <v>44</v>
      </c>
      <c r="D327" s="2">
        <v>30793</v>
      </c>
      <c r="E327" s="2">
        <v>281874</v>
      </c>
      <c r="F327" s="4">
        <v>56907</v>
      </c>
    </row>
    <row r="328" spans="1:6" x14ac:dyDescent="0.3">
      <c r="A328" s="3">
        <v>2020</v>
      </c>
      <c r="B328" s="1" t="s">
        <v>60</v>
      </c>
      <c r="C328" s="1" t="s">
        <v>45</v>
      </c>
      <c r="D328" s="2">
        <v>5876</v>
      </c>
      <c r="E328" s="2">
        <v>32771</v>
      </c>
      <c r="F328" s="4">
        <v>63709</v>
      </c>
    </row>
    <row r="329" spans="1:6" x14ac:dyDescent="0.3">
      <c r="A329" s="3">
        <v>2020</v>
      </c>
      <c r="B329" s="1" t="s">
        <v>60</v>
      </c>
      <c r="C329" s="1" t="s">
        <v>46</v>
      </c>
      <c r="D329" s="2">
        <v>32595</v>
      </c>
      <c r="E329" s="2">
        <v>414644</v>
      </c>
      <c r="F329" s="4">
        <v>66460</v>
      </c>
    </row>
    <row r="330" spans="1:6" x14ac:dyDescent="0.3">
      <c r="A330" s="3">
        <v>2020</v>
      </c>
      <c r="B330" s="1" t="s">
        <v>60</v>
      </c>
      <c r="C330" s="1" t="s">
        <v>47</v>
      </c>
      <c r="D330" s="2">
        <v>146639</v>
      </c>
      <c r="E330" s="2">
        <v>1758991</v>
      </c>
      <c r="F330" s="4">
        <v>81123</v>
      </c>
    </row>
    <row r="331" spans="1:6" x14ac:dyDescent="0.3">
      <c r="A331" s="3">
        <v>2020</v>
      </c>
      <c r="B331" s="1" t="s">
        <v>60</v>
      </c>
      <c r="C331" s="1" t="s">
        <v>48</v>
      </c>
      <c r="D331" s="2">
        <v>25941</v>
      </c>
      <c r="E331" s="2">
        <v>223284</v>
      </c>
      <c r="F331" s="4">
        <v>68355</v>
      </c>
    </row>
    <row r="332" spans="1:6" x14ac:dyDescent="0.3">
      <c r="A332" s="3">
        <v>2020</v>
      </c>
      <c r="B332" s="1" t="s">
        <v>60</v>
      </c>
      <c r="C332" s="1" t="s">
        <v>49</v>
      </c>
      <c r="D332" s="2">
        <v>6346</v>
      </c>
      <c r="E332" s="2">
        <v>28512</v>
      </c>
      <c r="F332" s="4">
        <v>74442</v>
      </c>
    </row>
    <row r="333" spans="1:6" x14ac:dyDescent="0.3">
      <c r="A333" s="3">
        <v>2020</v>
      </c>
      <c r="B333" s="1" t="s">
        <v>60</v>
      </c>
      <c r="C333" s="1" t="s">
        <v>50</v>
      </c>
      <c r="D333" s="2">
        <v>60099</v>
      </c>
      <c r="E333" s="2">
        <v>752090</v>
      </c>
      <c r="F333" s="4">
        <v>96046</v>
      </c>
    </row>
    <row r="334" spans="1:6" x14ac:dyDescent="0.3">
      <c r="A334" s="3">
        <v>2020</v>
      </c>
      <c r="B334" s="1" t="s">
        <v>60</v>
      </c>
      <c r="C334" s="1" t="s">
        <v>51</v>
      </c>
      <c r="D334" s="2">
        <v>43094</v>
      </c>
      <c r="E334" s="2">
        <v>415190</v>
      </c>
      <c r="F334" s="4">
        <v>92279</v>
      </c>
    </row>
    <row r="335" spans="1:6" x14ac:dyDescent="0.3">
      <c r="A335" s="3">
        <v>2020</v>
      </c>
      <c r="B335" s="1" t="s">
        <v>60</v>
      </c>
      <c r="C335" s="1" t="s">
        <v>52</v>
      </c>
      <c r="D335" s="2">
        <v>8599</v>
      </c>
      <c r="E335" s="2">
        <v>65715</v>
      </c>
      <c r="F335" s="4">
        <v>53557</v>
      </c>
    </row>
    <row r="336" spans="1:6" x14ac:dyDescent="0.3">
      <c r="A336" s="3">
        <v>2020</v>
      </c>
      <c r="B336" s="1" t="s">
        <v>60</v>
      </c>
      <c r="C336" s="1" t="s">
        <v>53</v>
      </c>
      <c r="D336" s="2">
        <v>27048</v>
      </c>
      <c r="E336" s="2">
        <v>309780</v>
      </c>
      <c r="F336" s="4">
        <v>67254</v>
      </c>
    </row>
    <row r="337" spans="1:6" x14ac:dyDescent="0.3">
      <c r="A337" s="3">
        <v>2020</v>
      </c>
      <c r="B337" s="1" t="s">
        <v>60</v>
      </c>
      <c r="C337" s="1" t="s">
        <v>54</v>
      </c>
      <c r="D337" s="2">
        <v>4986</v>
      </c>
      <c r="E337" s="2">
        <v>18382</v>
      </c>
      <c r="F337" s="4">
        <v>60233</v>
      </c>
    </row>
    <row r="338" spans="1:6" x14ac:dyDescent="0.3">
      <c r="A338" s="3">
        <v>2020</v>
      </c>
      <c r="B338" s="1" t="s">
        <v>61</v>
      </c>
      <c r="C338" s="1" t="s">
        <v>7</v>
      </c>
      <c r="D338" s="2">
        <v>15859</v>
      </c>
      <c r="E338" s="2">
        <v>228486</v>
      </c>
      <c r="F338" s="4">
        <v>51193</v>
      </c>
    </row>
    <row r="339" spans="1:6" x14ac:dyDescent="0.3">
      <c r="A339" s="3">
        <v>2020</v>
      </c>
      <c r="B339" s="1" t="s">
        <v>61</v>
      </c>
      <c r="C339" s="1" t="s">
        <v>8</v>
      </c>
      <c r="D339" s="2">
        <v>20727</v>
      </c>
      <c r="E339" s="2">
        <v>455356</v>
      </c>
      <c r="F339" s="4">
        <v>56159</v>
      </c>
    </row>
    <row r="340" spans="1:6" x14ac:dyDescent="0.3">
      <c r="A340" s="3">
        <v>2020</v>
      </c>
      <c r="B340" s="1" t="s">
        <v>61</v>
      </c>
      <c r="C340" s="1" t="s">
        <v>9</v>
      </c>
      <c r="D340" s="2">
        <v>15656</v>
      </c>
      <c r="E340" s="2">
        <v>181169</v>
      </c>
      <c r="F340" s="4">
        <v>47435</v>
      </c>
    </row>
    <row r="341" spans="1:6" x14ac:dyDescent="0.3">
      <c r="A341" s="3">
        <v>2020</v>
      </c>
      <c r="B341" s="1" t="s">
        <v>61</v>
      </c>
      <c r="C341" s="1" t="s">
        <v>10</v>
      </c>
      <c r="D341" s="2">
        <v>656765</v>
      </c>
      <c r="E341" s="2">
        <v>2651781</v>
      </c>
      <c r="F341" s="4">
        <v>57668</v>
      </c>
    </row>
    <row r="342" spans="1:6" x14ac:dyDescent="0.3">
      <c r="A342" s="3">
        <v>2020</v>
      </c>
      <c r="B342" s="1" t="s">
        <v>61</v>
      </c>
      <c r="C342" s="1" t="s">
        <v>11</v>
      </c>
      <c r="D342" s="2">
        <v>23475</v>
      </c>
      <c r="E342" s="2">
        <v>332209</v>
      </c>
      <c r="F342" s="4">
        <v>55198</v>
      </c>
    </row>
    <row r="343" spans="1:6" x14ac:dyDescent="0.3">
      <c r="A343" s="3">
        <v>2020</v>
      </c>
      <c r="B343" s="1" t="s">
        <v>61</v>
      </c>
      <c r="C343" s="1" t="s">
        <v>12</v>
      </c>
      <c r="D343" s="2">
        <v>19964</v>
      </c>
      <c r="E343" s="2">
        <v>319881</v>
      </c>
      <c r="F343" s="4">
        <v>61215</v>
      </c>
    </row>
    <row r="344" spans="1:6" x14ac:dyDescent="0.3">
      <c r="A344" s="3">
        <v>2020</v>
      </c>
      <c r="B344" s="1" t="s">
        <v>61</v>
      </c>
      <c r="C344" s="1" t="s">
        <v>13</v>
      </c>
      <c r="D344" s="2">
        <v>5522</v>
      </c>
      <c r="E344" s="2">
        <v>74184</v>
      </c>
      <c r="F344" s="4">
        <v>57470</v>
      </c>
    </row>
    <row r="345" spans="1:6" x14ac:dyDescent="0.3">
      <c r="A345" s="3">
        <v>2020</v>
      </c>
      <c r="B345" s="1" t="s">
        <v>61</v>
      </c>
      <c r="C345" s="1" t="s">
        <v>14</v>
      </c>
      <c r="D345" s="2">
        <v>85058</v>
      </c>
      <c r="E345" s="2">
        <v>1293582</v>
      </c>
      <c r="F345" s="4">
        <v>55114</v>
      </c>
    </row>
    <row r="346" spans="1:6" x14ac:dyDescent="0.3">
      <c r="A346" s="3">
        <v>2020</v>
      </c>
      <c r="B346" s="1" t="s">
        <v>61</v>
      </c>
      <c r="C346" s="1" t="s">
        <v>15</v>
      </c>
      <c r="D346" s="2">
        <v>31842</v>
      </c>
      <c r="E346" s="2">
        <v>561390</v>
      </c>
      <c r="F346" s="4">
        <v>57141</v>
      </c>
    </row>
    <row r="347" spans="1:6" x14ac:dyDescent="0.3">
      <c r="A347" s="3">
        <v>2020</v>
      </c>
      <c r="B347" s="1" t="s">
        <v>61</v>
      </c>
      <c r="C347" s="1" t="s">
        <v>16</v>
      </c>
      <c r="D347" s="2">
        <v>9128</v>
      </c>
      <c r="E347" s="2">
        <v>106752</v>
      </c>
      <c r="F347" s="4">
        <v>45479</v>
      </c>
    </row>
    <row r="348" spans="1:6" x14ac:dyDescent="0.3">
      <c r="A348" s="3">
        <v>2020</v>
      </c>
      <c r="B348" s="1" t="s">
        <v>61</v>
      </c>
      <c r="C348" s="1" t="s">
        <v>17</v>
      </c>
      <c r="D348" s="2">
        <v>39684</v>
      </c>
      <c r="E348" s="2">
        <v>882088</v>
      </c>
      <c r="F348" s="4">
        <v>55678</v>
      </c>
    </row>
    <row r="349" spans="1:6" x14ac:dyDescent="0.3">
      <c r="A349" s="3">
        <v>2020</v>
      </c>
      <c r="B349" s="1" t="s">
        <v>61</v>
      </c>
      <c r="C349" s="1" t="s">
        <v>18</v>
      </c>
      <c r="D349" s="2">
        <v>16899</v>
      </c>
      <c r="E349" s="2">
        <v>451743</v>
      </c>
      <c r="F349" s="4">
        <v>52802</v>
      </c>
    </row>
    <row r="350" spans="1:6" x14ac:dyDescent="0.3">
      <c r="A350" s="3">
        <v>2020</v>
      </c>
      <c r="B350" s="1" t="s">
        <v>61</v>
      </c>
      <c r="C350" s="1" t="s">
        <v>19</v>
      </c>
      <c r="D350" s="2">
        <v>13294</v>
      </c>
      <c r="E350" s="2">
        <v>209301</v>
      </c>
      <c r="F350" s="4">
        <v>47222</v>
      </c>
    </row>
    <row r="351" spans="1:6" x14ac:dyDescent="0.3">
      <c r="A351" s="3">
        <v>2020</v>
      </c>
      <c r="B351" s="1" t="s">
        <v>61</v>
      </c>
      <c r="C351" s="1" t="s">
        <v>20</v>
      </c>
      <c r="D351" s="2">
        <v>10330</v>
      </c>
      <c r="E351" s="2">
        <v>194569</v>
      </c>
      <c r="F351" s="4">
        <v>48486</v>
      </c>
    </row>
    <row r="352" spans="1:6" x14ac:dyDescent="0.3">
      <c r="A352" s="3">
        <v>2020</v>
      </c>
      <c r="B352" s="1" t="s">
        <v>61</v>
      </c>
      <c r="C352" s="1" t="s">
        <v>21</v>
      </c>
      <c r="D352" s="2">
        <v>20809</v>
      </c>
      <c r="E352" s="2">
        <v>263195</v>
      </c>
      <c r="F352" s="4">
        <v>52098</v>
      </c>
    </row>
    <row r="353" spans="1:6" x14ac:dyDescent="0.3">
      <c r="A353" s="3">
        <v>2020</v>
      </c>
      <c r="B353" s="1" t="s">
        <v>61</v>
      </c>
      <c r="C353" s="1" t="s">
        <v>22</v>
      </c>
      <c r="D353" s="2">
        <v>16834</v>
      </c>
      <c r="E353" s="2">
        <v>296324</v>
      </c>
      <c r="F353" s="4">
        <v>48222</v>
      </c>
    </row>
    <row r="354" spans="1:6" x14ac:dyDescent="0.3">
      <c r="A354" s="3">
        <v>2020</v>
      </c>
      <c r="B354" s="1" t="s">
        <v>61</v>
      </c>
      <c r="C354" s="1" t="s">
        <v>23</v>
      </c>
      <c r="D354" s="2">
        <v>5591</v>
      </c>
      <c r="E354" s="2">
        <v>115511</v>
      </c>
      <c r="F354" s="4">
        <v>53739</v>
      </c>
    </row>
    <row r="355" spans="1:6" x14ac:dyDescent="0.3">
      <c r="A355" s="3">
        <v>2020</v>
      </c>
      <c r="B355" s="1" t="s">
        <v>61</v>
      </c>
      <c r="C355" s="1" t="s">
        <v>24</v>
      </c>
      <c r="D355" s="2">
        <v>21505</v>
      </c>
      <c r="E355" s="2">
        <v>420463</v>
      </c>
      <c r="F355" s="4">
        <v>59854</v>
      </c>
    </row>
    <row r="356" spans="1:6" x14ac:dyDescent="0.3">
      <c r="A356" s="3">
        <v>2020</v>
      </c>
      <c r="B356" s="1" t="s">
        <v>61</v>
      </c>
      <c r="C356" s="1" t="s">
        <v>25</v>
      </c>
      <c r="D356" s="2">
        <v>71270</v>
      </c>
      <c r="E356" s="2">
        <v>742606</v>
      </c>
      <c r="F356" s="4">
        <v>64556</v>
      </c>
    </row>
    <row r="357" spans="1:6" x14ac:dyDescent="0.3">
      <c r="A357" s="3">
        <v>2020</v>
      </c>
      <c r="B357" s="1" t="s">
        <v>61</v>
      </c>
      <c r="C357" s="1" t="s">
        <v>26</v>
      </c>
      <c r="D357" s="2">
        <v>32965</v>
      </c>
      <c r="E357" s="2">
        <v>622119</v>
      </c>
      <c r="F357" s="4">
        <v>54163</v>
      </c>
    </row>
    <row r="358" spans="1:6" x14ac:dyDescent="0.3">
      <c r="A358" s="3">
        <v>2020</v>
      </c>
      <c r="B358" s="1" t="s">
        <v>61</v>
      </c>
      <c r="C358" s="1" t="s">
        <v>27</v>
      </c>
      <c r="D358" s="2">
        <v>22985</v>
      </c>
      <c r="E358" s="2">
        <v>513228</v>
      </c>
      <c r="F358" s="4">
        <v>55127</v>
      </c>
    </row>
    <row r="359" spans="1:6" x14ac:dyDescent="0.3">
      <c r="A359" s="3">
        <v>2020</v>
      </c>
      <c r="B359" s="1" t="s">
        <v>61</v>
      </c>
      <c r="C359" s="1" t="s">
        <v>28</v>
      </c>
      <c r="D359" s="2">
        <v>7693</v>
      </c>
      <c r="E359" s="2">
        <v>138876</v>
      </c>
      <c r="F359" s="4">
        <v>45670</v>
      </c>
    </row>
    <row r="360" spans="1:6" x14ac:dyDescent="0.3">
      <c r="A360" s="3">
        <v>2020</v>
      </c>
      <c r="B360" s="1" t="s">
        <v>61</v>
      </c>
      <c r="C360" s="1" t="s">
        <v>29</v>
      </c>
      <c r="D360" s="2">
        <v>56134</v>
      </c>
      <c r="E360" s="2">
        <v>448355</v>
      </c>
      <c r="F360" s="4">
        <v>50460</v>
      </c>
    </row>
    <row r="361" spans="1:6" x14ac:dyDescent="0.3">
      <c r="A361" s="3">
        <v>2020</v>
      </c>
      <c r="B361" s="1" t="s">
        <v>61</v>
      </c>
      <c r="C361" s="1" t="s">
        <v>30</v>
      </c>
      <c r="D361" s="2">
        <v>5112</v>
      </c>
      <c r="E361" s="2">
        <v>73374</v>
      </c>
      <c r="F361" s="4">
        <v>52612</v>
      </c>
    </row>
    <row r="362" spans="1:6" x14ac:dyDescent="0.3">
      <c r="A362" s="3">
        <v>2020</v>
      </c>
      <c r="B362" s="1" t="s">
        <v>61</v>
      </c>
      <c r="C362" s="1" t="s">
        <v>31</v>
      </c>
      <c r="D362" s="2">
        <v>10522</v>
      </c>
      <c r="E362" s="2">
        <v>135205</v>
      </c>
      <c r="F362" s="4">
        <v>51740</v>
      </c>
    </row>
    <row r="363" spans="1:6" x14ac:dyDescent="0.3">
      <c r="A363" s="3">
        <v>2020</v>
      </c>
      <c r="B363" s="1" t="s">
        <v>61</v>
      </c>
      <c r="C363" s="1" t="s">
        <v>32</v>
      </c>
      <c r="D363" s="2">
        <v>9126</v>
      </c>
      <c r="E363" s="2">
        <v>139696</v>
      </c>
      <c r="F363" s="4">
        <v>58047</v>
      </c>
    </row>
    <row r="364" spans="1:6" x14ac:dyDescent="0.3">
      <c r="A364" s="3">
        <v>2020</v>
      </c>
      <c r="B364" s="1" t="s">
        <v>61</v>
      </c>
      <c r="C364" s="1" t="s">
        <v>33</v>
      </c>
      <c r="D364" s="2">
        <v>4900</v>
      </c>
      <c r="E364" s="2">
        <v>108757</v>
      </c>
      <c r="F364" s="4">
        <v>63675</v>
      </c>
    </row>
    <row r="365" spans="1:6" x14ac:dyDescent="0.3">
      <c r="A365" s="3">
        <v>2020</v>
      </c>
      <c r="B365" s="1" t="s">
        <v>61</v>
      </c>
      <c r="C365" s="1" t="s">
        <v>34</v>
      </c>
      <c r="D365" s="2">
        <v>43568</v>
      </c>
      <c r="E365" s="2">
        <v>622420</v>
      </c>
      <c r="F365" s="4">
        <v>60044</v>
      </c>
    </row>
    <row r="366" spans="1:6" x14ac:dyDescent="0.3">
      <c r="A366" s="3">
        <v>2020</v>
      </c>
      <c r="B366" s="1" t="s">
        <v>61</v>
      </c>
      <c r="C366" s="1" t="s">
        <v>35</v>
      </c>
      <c r="D366" s="2">
        <v>11448</v>
      </c>
      <c r="E366" s="2">
        <v>126459</v>
      </c>
      <c r="F366" s="4">
        <v>45191</v>
      </c>
    </row>
    <row r="367" spans="1:6" x14ac:dyDescent="0.3">
      <c r="A367" s="3">
        <v>2020</v>
      </c>
      <c r="B367" s="1" t="s">
        <v>61</v>
      </c>
      <c r="C367" s="1" t="s">
        <v>36</v>
      </c>
      <c r="D367" s="2">
        <v>67893</v>
      </c>
      <c r="E367" s="2">
        <v>1872526</v>
      </c>
      <c r="F367" s="4">
        <v>58936</v>
      </c>
    </row>
    <row r="368" spans="1:6" x14ac:dyDescent="0.3">
      <c r="A368" s="3">
        <v>2020</v>
      </c>
      <c r="B368" s="1" t="s">
        <v>61</v>
      </c>
      <c r="C368" s="1" t="s">
        <v>37</v>
      </c>
      <c r="D368" s="2">
        <v>29514</v>
      </c>
      <c r="E368" s="2">
        <v>584896</v>
      </c>
      <c r="F368" s="4">
        <v>53252</v>
      </c>
    </row>
    <row r="369" spans="1:6" x14ac:dyDescent="0.3">
      <c r="A369" s="3">
        <v>2020</v>
      </c>
      <c r="B369" s="1" t="s">
        <v>61</v>
      </c>
      <c r="C369" s="1" t="s">
        <v>38</v>
      </c>
      <c r="D369" s="2">
        <v>2737</v>
      </c>
      <c r="E369" s="2">
        <v>64418</v>
      </c>
      <c r="F369" s="4">
        <v>55234</v>
      </c>
    </row>
    <row r="370" spans="1:6" x14ac:dyDescent="0.3">
      <c r="A370" s="3">
        <v>2020</v>
      </c>
      <c r="B370" s="1" t="s">
        <v>61</v>
      </c>
      <c r="C370" s="1" t="s">
        <v>39</v>
      </c>
      <c r="D370" s="2">
        <v>35930</v>
      </c>
      <c r="E370" s="2">
        <v>868191</v>
      </c>
      <c r="F370" s="4">
        <v>51366</v>
      </c>
    </row>
    <row r="371" spans="1:6" x14ac:dyDescent="0.3">
      <c r="A371" s="3">
        <v>2020</v>
      </c>
      <c r="B371" s="1" t="s">
        <v>61</v>
      </c>
      <c r="C371" s="1" t="s">
        <v>40</v>
      </c>
      <c r="D371" s="2">
        <v>13656</v>
      </c>
      <c r="E371" s="2">
        <v>209679</v>
      </c>
      <c r="F371" s="4">
        <v>49095</v>
      </c>
    </row>
    <row r="372" spans="1:6" x14ac:dyDescent="0.3">
      <c r="A372" s="3">
        <v>2020</v>
      </c>
      <c r="B372" s="1" t="s">
        <v>61</v>
      </c>
      <c r="C372" s="1" t="s">
        <v>41</v>
      </c>
      <c r="D372" s="2">
        <v>28106</v>
      </c>
      <c r="E372" s="2">
        <v>292631</v>
      </c>
      <c r="F372" s="4">
        <v>54216</v>
      </c>
    </row>
    <row r="373" spans="1:6" x14ac:dyDescent="0.3">
      <c r="A373" s="3">
        <v>2020</v>
      </c>
      <c r="B373" s="1" t="s">
        <v>61</v>
      </c>
      <c r="C373" s="1" t="s">
        <v>42</v>
      </c>
      <c r="D373" s="2">
        <v>57935</v>
      </c>
      <c r="E373" s="2">
        <v>1179840</v>
      </c>
      <c r="F373" s="4">
        <v>57087</v>
      </c>
    </row>
    <row r="374" spans="1:6" x14ac:dyDescent="0.3">
      <c r="A374" s="3">
        <v>2020</v>
      </c>
      <c r="B374" s="1" t="s">
        <v>61</v>
      </c>
      <c r="C374" s="1" t="s">
        <v>43</v>
      </c>
      <c r="D374" s="2">
        <v>4907</v>
      </c>
      <c r="E374" s="2">
        <v>95079</v>
      </c>
      <c r="F374" s="4">
        <v>54510</v>
      </c>
    </row>
    <row r="375" spans="1:6" x14ac:dyDescent="0.3">
      <c r="A375" s="3">
        <v>2020</v>
      </c>
      <c r="B375" s="1" t="s">
        <v>61</v>
      </c>
      <c r="C375" s="1" t="s">
        <v>44</v>
      </c>
      <c r="D375" s="2">
        <v>15612</v>
      </c>
      <c r="E375" s="2">
        <v>231072</v>
      </c>
      <c r="F375" s="4">
        <v>50055</v>
      </c>
    </row>
    <row r="376" spans="1:6" x14ac:dyDescent="0.3">
      <c r="A376" s="3">
        <v>2020</v>
      </c>
      <c r="B376" s="1" t="s">
        <v>61</v>
      </c>
      <c r="C376" s="1" t="s">
        <v>45</v>
      </c>
      <c r="D376" s="2">
        <v>2934</v>
      </c>
      <c r="E376" s="2">
        <v>68990</v>
      </c>
      <c r="F376" s="4">
        <v>57054</v>
      </c>
    </row>
    <row r="377" spans="1:6" x14ac:dyDescent="0.3">
      <c r="A377" s="3">
        <v>2020</v>
      </c>
      <c r="B377" s="1" t="s">
        <v>61</v>
      </c>
      <c r="C377" s="1" t="s">
        <v>46</v>
      </c>
      <c r="D377" s="2">
        <v>21213</v>
      </c>
      <c r="E377" s="2">
        <v>421097</v>
      </c>
      <c r="F377" s="4">
        <v>56401</v>
      </c>
    </row>
    <row r="378" spans="1:6" x14ac:dyDescent="0.3">
      <c r="A378" s="3">
        <v>2020</v>
      </c>
      <c r="B378" s="1" t="s">
        <v>61</v>
      </c>
      <c r="C378" s="1" t="s">
        <v>47</v>
      </c>
      <c r="D378" s="2">
        <v>98681</v>
      </c>
      <c r="E378" s="2">
        <v>1646144</v>
      </c>
      <c r="F378" s="4">
        <v>51856</v>
      </c>
    </row>
    <row r="379" spans="1:6" x14ac:dyDescent="0.3">
      <c r="A379" s="3">
        <v>2020</v>
      </c>
      <c r="B379" s="1" t="s">
        <v>61</v>
      </c>
      <c r="C379" s="1" t="s">
        <v>48</v>
      </c>
      <c r="D379" s="2">
        <v>13463</v>
      </c>
      <c r="E379" s="2">
        <v>193157</v>
      </c>
      <c r="F379" s="4">
        <v>48260</v>
      </c>
    </row>
    <row r="380" spans="1:6" x14ac:dyDescent="0.3">
      <c r="A380" s="3">
        <v>2020</v>
      </c>
      <c r="B380" s="1" t="s">
        <v>61</v>
      </c>
      <c r="C380" s="1" t="s">
        <v>49</v>
      </c>
      <c r="D380" s="2">
        <v>2516</v>
      </c>
      <c r="E380" s="2">
        <v>58443</v>
      </c>
      <c r="F380" s="4">
        <v>52779</v>
      </c>
    </row>
    <row r="381" spans="1:6" x14ac:dyDescent="0.3">
      <c r="A381" s="3">
        <v>2020</v>
      </c>
      <c r="B381" s="1" t="s">
        <v>61</v>
      </c>
      <c r="C381" s="1" t="s">
        <v>50</v>
      </c>
      <c r="D381" s="2">
        <v>49705</v>
      </c>
      <c r="E381" s="2">
        <v>492598</v>
      </c>
      <c r="F381" s="4">
        <v>54119</v>
      </c>
    </row>
    <row r="382" spans="1:6" x14ac:dyDescent="0.3">
      <c r="A382" s="3">
        <v>2020</v>
      </c>
      <c r="B382" s="1" t="s">
        <v>61</v>
      </c>
      <c r="C382" s="1" t="s">
        <v>51</v>
      </c>
      <c r="D382" s="2">
        <v>74944</v>
      </c>
      <c r="E382" s="2">
        <v>468495</v>
      </c>
      <c r="F382" s="4">
        <v>55544</v>
      </c>
    </row>
    <row r="383" spans="1:6" x14ac:dyDescent="0.3">
      <c r="A383" s="3">
        <v>2020</v>
      </c>
      <c r="B383" s="1" t="s">
        <v>61</v>
      </c>
      <c r="C383" s="1" t="s">
        <v>52</v>
      </c>
      <c r="D383" s="2">
        <v>8500</v>
      </c>
      <c r="E383" s="2">
        <v>124604</v>
      </c>
      <c r="F383" s="4">
        <v>50597</v>
      </c>
    </row>
    <row r="384" spans="1:6" x14ac:dyDescent="0.3">
      <c r="A384" s="3">
        <v>2020</v>
      </c>
      <c r="B384" s="1" t="s">
        <v>61</v>
      </c>
      <c r="C384" s="1" t="s">
        <v>53</v>
      </c>
      <c r="D384" s="2">
        <v>31125</v>
      </c>
      <c r="E384" s="2">
        <v>427152</v>
      </c>
      <c r="F384" s="4">
        <v>52993</v>
      </c>
    </row>
    <row r="385" spans="1:6" x14ac:dyDescent="0.3">
      <c r="A385" s="3">
        <v>2020</v>
      </c>
      <c r="B385" s="1" t="s">
        <v>61</v>
      </c>
      <c r="C385" s="1" t="s">
        <v>54</v>
      </c>
      <c r="D385" s="2">
        <v>3485</v>
      </c>
      <c r="E385" s="2">
        <v>26942</v>
      </c>
      <c r="F385" s="4">
        <v>46334</v>
      </c>
    </row>
    <row r="386" spans="1:6" x14ac:dyDescent="0.3">
      <c r="A386" s="3">
        <v>2020</v>
      </c>
      <c r="B386" s="1" t="s">
        <v>62</v>
      </c>
      <c r="C386" s="1" t="s">
        <v>7</v>
      </c>
      <c r="D386" s="2">
        <v>11221</v>
      </c>
      <c r="E386" s="2">
        <v>178057</v>
      </c>
      <c r="F386" s="4">
        <v>18554</v>
      </c>
    </row>
    <row r="387" spans="1:6" x14ac:dyDescent="0.3">
      <c r="A387" s="3">
        <v>2020</v>
      </c>
      <c r="B387" s="1" t="s">
        <v>62</v>
      </c>
      <c r="C387" s="1" t="s">
        <v>8</v>
      </c>
      <c r="D387" s="2">
        <v>14444</v>
      </c>
      <c r="E387" s="2">
        <v>274985</v>
      </c>
      <c r="F387" s="4">
        <v>26810</v>
      </c>
    </row>
    <row r="388" spans="1:6" x14ac:dyDescent="0.3">
      <c r="A388" s="3">
        <v>2020</v>
      </c>
      <c r="B388" s="1" t="s">
        <v>62</v>
      </c>
      <c r="C388" s="1" t="s">
        <v>9</v>
      </c>
      <c r="D388" s="2">
        <v>7458</v>
      </c>
      <c r="E388" s="2">
        <v>106295</v>
      </c>
      <c r="F388" s="4">
        <v>18414</v>
      </c>
    </row>
    <row r="389" spans="1:6" x14ac:dyDescent="0.3">
      <c r="A389" s="3">
        <v>2020</v>
      </c>
      <c r="B389" s="1" t="s">
        <v>62</v>
      </c>
      <c r="C389" s="1" t="s">
        <v>10</v>
      </c>
      <c r="D389" s="2">
        <v>117833</v>
      </c>
      <c r="E389" s="2">
        <v>1482600</v>
      </c>
      <c r="F389" s="4">
        <v>36090</v>
      </c>
    </row>
    <row r="390" spans="1:6" x14ac:dyDescent="0.3">
      <c r="A390" s="3">
        <v>2020</v>
      </c>
      <c r="B390" s="1" t="s">
        <v>62</v>
      </c>
      <c r="C390" s="1" t="s">
        <v>11</v>
      </c>
      <c r="D390" s="2">
        <v>17650</v>
      </c>
      <c r="E390" s="2">
        <v>271680</v>
      </c>
      <c r="F390" s="4">
        <v>28424</v>
      </c>
    </row>
    <row r="391" spans="1:6" x14ac:dyDescent="0.3">
      <c r="A391" s="3">
        <v>2020</v>
      </c>
      <c r="B391" s="1" t="s">
        <v>62</v>
      </c>
      <c r="C391" s="1" t="s">
        <v>12</v>
      </c>
      <c r="D391" s="2">
        <v>10916</v>
      </c>
      <c r="E391" s="2">
        <v>117365</v>
      </c>
      <c r="F391" s="4">
        <v>26295</v>
      </c>
    </row>
    <row r="392" spans="1:6" x14ac:dyDescent="0.3">
      <c r="A392" s="3">
        <v>2020</v>
      </c>
      <c r="B392" s="1" t="s">
        <v>62</v>
      </c>
      <c r="C392" s="1" t="s">
        <v>13</v>
      </c>
      <c r="D392" s="2">
        <v>2698</v>
      </c>
      <c r="E392" s="2">
        <v>41103</v>
      </c>
      <c r="F392" s="4">
        <v>22228</v>
      </c>
    </row>
    <row r="393" spans="1:6" x14ac:dyDescent="0.3">
      <c r="A393" s="3">
        <v>2020</v>
      </c>
      <c r="B393" s="1" t="s">
        <v>62</v>
      </c>
      <c r="C393" s="1" t="s">
        <v>14</v>
      </c>
      <c r="D393" s="2">
        <v>59645</v>
      </c>
      <c r="E393" s="2">
        <v>1007574</v>
      </c>
      <c r="F393" s="4">
        <v>27709</v>
      </c>
    </row>
    <row r="394" spans="1:6" x14ac:dyDescent="0.3">
      <c r="A394" s="3">
        <v>2020</v>
      </c>
      <c r="B394" s="1" t="s">
        <v>62</v>
      </c>
      <c r="C394" s="1" t="s">
        <v>15</v>
      </c>
      <c r="D394" s="2">
        <v>26741</v>
      </c>
      <c r="E394" s="2">
        <v>414059</v>
      </c>
      <c r="F394" s="4">
        <v>22009</v>
      </c>
    </row>
    <row r="395" spans="1:6" x14ac:dyDescent="0.3">
      <c r="A395" s="3">
        <v>2020</v>
      </c>
      <c r="B395" s="1" t="s">
        <v>62</v>
      </c>
      <c r="C395" s="1" t="s">
        <v>16</v>
      </c>
      <c r="D395" s="2">
        <v>5242</v>
      </c>
      <c r="E395" s="2">
        <v>74574</v>
      </c>
      <c r="F395" s="4">
        <v>18637</v>
      </c>
    </row>
    <row r="396" spans="1:6" x14ac:dyDescent="0.3">
      <c r="A396" s="3">
        <v>2020</v>
      </c>
      <c r="B396" s="1" t="s">
        <v>62</v>
      </c>
      <c r="C396" s="1" t="s">
        <v>17</v>
      </c>
      <c r="D396" s="2">
        <v>32842</v>
      </c>
      <c r="E396" s="2">
        <v>462216</v>
      </c>
      <c r="F396" s="4">
        <v>25054</v>
      </c>
    </row>
    <row r="397" spans="1:6" x14ac:dyDescent="0.3">
      <c r="A397" s="3">
        <v>2020</v>
      </c>
      <c r="B397" s="1" t="s">
        <v>62</v>
      </c>
      <c r="C397" s="1" t="s">
        <v>18</v>
      </c>
      <c r="D397" s="2">
        <v>16068</v>
      </c>
      <c r="E397" s="2">
        <v>263892</v>
      </c>
      <c r="F397" s="4">
        <v>20493</v>
      </c>
    </row>
    <row r="398" spans="1:6" x14ac:dyDescent="0.3">
      <c r="A398" s="3">
        <v>2020</v>
      </c>
      <c r="B398" s="1" t="s">
        <v>62</v>
      </c>
      <c r="C398" s="1" t="s">
        <v>19</v>
      </c>
      <c r="D398" s="2">
        <v>8734</v>
      </c>
      <c r="E398" s="2">
        <v>118383</v>
      </c>
      <c r="F398" s="4">
        <v>18002</v>
      </c>
    </row>
    <row r="399" spans="1:6" x14ac:dyDescent="0.3">
      <c r="A399" s="3">
        <v>2020</v>
      </c>
      <c r="B399" s="1" t="s">
        <v>62</v>
      </c>
      <c r="C399" s="1" t="s">
        <v>20</v>
      </c>
      <c r="D399" s="2">
        <v>6792</v>
      </c>
      <c r="E399" s="2">
        <v>110526</v>
      </c>
      <c r="F399" s="4">
        <v>18088</v>
      </c>
    </row>
    <row r="400" spans="1:6" x14ac:dyDescent="0.3">
      <c r="A400" s="3">
        <v>2020</v>
      </c>
      <c r="B400" s="1" t="s">
        <v>62</v>
      </c>
      <c r="C400" s="1" t="s">
        <v>21</v>
      </c>
      <c r="D400" s="2">
        <v>10331</v>
      </c>
      <c r="E400" s="2">
        <v>165335</v>
      </c>
      <c r="F400" s="4">
        <v>19522</v>
      </c>
    </row>
    <row r="401" spans="1:6" x14ac:dyDescent="0.3">
      <c r="A401" s="3">
        <v>2020</v>
      </c>
      <c r="B401" s="1" t="s">
        <v>62</v>
      </c>
      <c r="C401" s="1" t="s">
        <v>22</v>
      </c>
      <c r="D401" s="2">
        <v>13351</v>
      </c>
      <c r="E401" s="2">
        <v>188383</v>
      </c>
      <c r="F401" s="4">
        <v>22216</v>
      </c>
    </row>
    <row r="402" spans="1:6" x14ac:dyDescent="0.3">
      <c r="A402" s="3">
        <v>2020</v>
      </c>
      <c r="B402" s="1" t="s">
        <v>62</v>
      </c>
      <c r="C402" s="1" t="s">
        <v>23</v>
      </c>
      <c r="D402" s="2">
        <v>5172</v>
      </c>
      <c r="E402" s="2">
        <v>51781</v>
      </c>
      <c r="F402" s="4">
        <v>25112</v>
      </c>
    </row>
    <row r="403" spans="1:6" x14ac:dyDescent="0.3">
      <c r="A403" s="3">
        <v>2020</v>
      </c>
      <c r="B403" s="1" t="s">
        <v>62</v>
      </c>
      <c r="C403" s="1" t="s">
        <v>24</v>
      </c>
      <c r="D403" s="2">
        <v>14823</v>
      </c>
      <c r="E403" s="2">
        <v>210848</v>
      </c>
      <c r="F403" s="4">
        <v>26383</v>
      </c>
    </row>
    <row r="404" spans="1:6" x14ac:dyDescent="0.3">
      <c r="A404" s="3">
        <v>2020</v>
      </c>
      <c r="B404" s="1" t="s">
        <v>62</v>
      </c>
      <c r="C404" s="1" t="s">
        <v>25</v>
      </c>
      <c r="D404" s="2">
        <v>20158</v>
      </c>
      <c r="E404" s="2">
        <v>262049</v>
      </c>
      <c r="F404" s="4">
        <v>30457</v>
      </c>
    </row>
    <row r="405" spans="1:6" x14ac:dyDescent="0.3">
      <c r="A405" s="3">
        <v>2020</v>
      </c>
      <c r="B405" s="1" t="s">
        <v>62</v>
      </c>
      <c r="C405" s="1" t="s">
        <v>26</v>
      </c>
      <c r="D405" s="2">
        <v>23032</v>
      </c>
      <c r="E405" s="2">
        <v>323435</v>
      </c>
      <c r="F405" s="4">
        <v>22254</v>
      </c>
    </row>
    <row r="406" spans="1:6" x14ac:dyDescent="0.3">
      <c r="A406" s="3">
        <v>2020</v>
      </c>
      <c r="B406" s="1" t="s">
        <v>62</v>
      </c>
      <c r="C406" s="1" t="s">
        <v>27</v>
      </c>
      <c r="D406" s="2">
        <v>15355</v>
      </c>
      <c r="E406" s="2">
        <v>204519</v>
      </c>
      <c r="F406" s="4">
        <v>24167</v>
      </c>
    </row>
    <row r="407" spans="1:6" x14ac:dyDescent="0.3">
      <c r="A407" s="3">
        <v>2020</v>
      </c>
      <c r="B407" s="1" t="s">
        <v>62</v>
      </c>
      <c r="C407" s="1" t="s">
        <v>28</v>
      </c>
      <c r="D407" s="2">
        <v>6644</v>
      </c>
      <c r="E407" s="2">
        <v>118107</v>
      </c>
      <c r="F407" s="4">
        <v>18380</v>
      </c>
    </row>
    <row r="408" spans="1:6" x14ac:dyDescent="0.3">
      <c r="A408" s="3">
        <v>2020</v>
      </c>
      <c r="B408" s="1" t="s">
        <v>62</v>
      </c>
      <c r="C408" s="1" t="s">
        <v>29</v>
      </c>
      <c r="D408" s="2">
        <v>15398</v>
      </c>
      <c r="E408" s="2">
        <v>253244</v>
      </c>
      <c r="F408" s="4">
        <v>22154</v>
      </c>
    </row>
    <row r="409" spans="1:6" x14ac:dyDescent="0.3">
      <c r="A409" s="3">
        <v>2020</v>
      </c>
      <c r="B409" s="1" t="s">
        <v>62</v>
      </c>
      <c r="C409" s="1" t="s">
        <v>30</v>
      </c>
      <c r="D409" s="2">
        <v>5182</v>
      </c>
      <c r="E409" s="2">
        <v>58811</v>
      </c>
      <c r="F409" s="4">
        <v>21078</v>
      </c>
    </row>
    <row r="410" spans="1:6" x14ac:dyDescent="0.3">
      <c r="A410" s="3">
        <v>2020</v>
      </c>
      <c r="B410" s="1" t="s">
        <v>62</v>
      </c>
      <c r="C410" s="1" t="s">
        <v>31</v>
      </c>
      <c r="D410" s="2">
        <v>5552</v>
      </c>
      <c r="E410" s="2">
        <v>79529</v>
      </c>
      <c r="F410" s="4">
        <v>18131</v>
      </c>
    </row>
    <row r="411" spans="1:6" x14ac:dyDescent="0.3">
      <c r="A411" s="3">
        <v>2020</v>
      </c>
      <c r="B411" s="1" t="s">
        <v>62</v>
      </c>
      <c r="C411" s="1" t="s">
        <v>32</v>
      </c>
      <c r="D411" s="2">
        <v>8698</v>
      </c>
      <c r="E411" s="2">
        <v>255447</v>
      </c>
      <c r="F411" s="4">
        <v>34061</v>
      </c>
    </row>
    <row r="412" spans="1:6" x14ac:dyDescent="0.3">
      <c r="A412" s="3">
        <v>2020</v>
      </c>
      <c r="B412" s="1" t="s">
        <v>62</v>
      </c>
      <c r="C412" s="1" t="s">
        <v>33</v>
      </c>
      <c r="D412" s="2">
        <v>4677</v>
      </c>
      <c r="E412" s="2">
        <v>57132</v>
      </c>
      <c r="F412" s="4">
        <v>24729</v>
      </c>
    </row>
    <row r="413" spans="1:6" x14ac:dyDescent="0.3">
      <c r="A413" s="3">
        <v>2020</v>
      </c>
      <c r="B413" s="1" t="s">
        <v>62</v>
      </c>
      <c r="C413" s="1" t="s">
        <v>34</v>
      </c>
      <c r="D413" s="2">
        <v>24584</v>
      </c>
      <c r="E413" s="2">
        <v>281546</v>
      </c>
      <c r="F413" s="4">
        <v>28639</v>
      </c>
    </row>
    <row r="414" spans="1:6" x14ac:dyDescent="0.3">
      <c r="A414" s="3">
        <v>2020</v>
      </c>
      <c r="B414" s="1" t="s">
        <v>62</v>
      </c>
      <c r="C414" s="1" t="s">
        <v>35</v>
      </c>
      <c r="D414" s="2">
        <v>5276</v>
      </c>
      <c r="E414" s="2">
        <v>78539</v>
      </c>
      <c r="F414" s="4">
        <v>19988</v>
      </c>
    </row>
    <row r="415" spans="1:6" x14ac:dyDescent="0.3">
      <c r="A415" s="3">
        <v>2020</v>
      </c>
      <c r="B415" s="1" t="s">
        <v>62</v>
      </c>
      <c r="C415" s="1" t="s">
        <v>36</v>
      </c>
      <c r="D415" s="2">
        <v>64959</v>
      </c>
      <c r="E415" s="2">
        <v>632760</v>
      </c>
      <c r="F415" s="4">
        <v>36986</v>
      </c>
    </row>
    <row r="416" spans="1:6" x14ac:dyDescent="0.3">
      <c r="A416" s="3">
        <v>2020</v>
      </c>
      <c r="B416" s="1" t="s">
        <v>62</v>
      </c>
      <c r="C416" s="1" t="s">
        <v>37</v>
      </c>
      <c r="D416" s="2">
        <v>27015</v>
      </c>
      <c r="E416" s="2">
        <v>420420</v>
      </c>
      <c r="F416" s="4">
        <v>21462</v>
      </c>
    </row>
    <row r="417" spans="1:6" x14ac:dyDescent="0.3">
      <c r="A417" s="3">
        <v>2020</v>
      </c>
      <c r="B417" s="1" t="s">
        <v>62</v>
      </c>
      <c r="C417" s="1" t="s">
        <v>38</v>
      </c>
      <c r="D417" s="2">
        <v>2621</v>
      </c>
      <c r="E417" s="2">
        <v>34228</v>
      </c>
      <c r="F417" s="4">
        <v>19193</v>
      </c>
    </row>
    <row r="418" spans="1:6" x14ac:dyDescent="0.3">
      <c r="A418" s="3">
        <v>2020</v>
      </c>
      <c r="B418" s="1" t="s">
        <v>62</v>
      </c>
      <c r="C418" s="1" t="s">
        <v>39</v>
      </c>
      <c r="D418" s="2">
        <v>29197</v>
      </c>
      <c r="E418" s="2">
        <v>466069</v>
      </c>
      <c r="F418" s="4">
        <v>21027</v>
      </c>
    </row>
    <row r="419" spans="1:6" x14ac:dyDescent="0.3">
      <c r="A419" s="3">
        <v>2020</v>
      </c>
      <c r="B419" s="1" t="s">
        <v>62</v>
      </c>
      <c r="C419" s="1" t="s">
        <v>40</v>
      </c>
      <c r="D419" s="2">
        <v>9364</v>
      </c>
      <c r="E419" s="2">
        <v>156230</v>
      </c>
      <c r="F419" s="4">
        <v>19310</v>
      </c>
    </row>
    <row r="420" spans="1:6" x14ac:dyDescent="0.3">
      <c r="A420" s="3">
        <v>2020</v>
      </c>
      <c r="B420" s="1" t="s">
        <v>62</v>
      </c>
      <c r="C420" s="1" t="s">
        <v>41</v>
      </c>
      <c r="D420" s="2">
        <v>13993</v>
      </c>
      <c r="E420" s="2">
        <v>161570</v>
      </c>
      <c r="F420" s="4">
        <v>24338</v>
      </c>
    </row>
    <row r="421" spans="1:6" x14ac:dyDescent="0.3">
      <c r="A421" s="3">
        <v>2020</v>
      </c>
      <c r="B421" s="1" t="s">
        <v>62</v>
      </c>
      <c r="C421" s="1" t="s">
        <v>42</v>
      </c>
      <c r="D421" s="2">
        <v>33532</v>
      </c>
      <c r="E421" s="2">
        <v>424092</v>
      </c>
      <c r="F421" s="4">
        <v>22945</v>
      </c>
    </row>
    <row r="422" spans="1:6" x14ac:dyDescent="0.3">
      <c r="A422" s="3">
        <v>2020</v>
      </c>
      <c r="B422" s="1" t="s">
        <v>62</v>
      </c>
      <c r="C422" s="1" t="s">
        <v>43</v>
      </c>
      <c r="D422" s="2">
        <v>3890</v>
      </c>
      <c r="E422" s="2">
        <v>44621</v>
      </c>
      <c r="F422" s="4">
        <v>24733</v>
      </c>
    </row>
    <row r="423" spans="1:6" x14ac:dyDescent="0.3">
      <c r="A423" s="3">
        <v>2020</v>
      </c>
      <c r="B423" s="1" t="s">
        <v>62</v>
      </c>
      <c r="C423" s="1" t="s">
        <v>44</v>
      </c>
      <c r="D423" s="2">
        <v>13676</v>
      </c>
      <c r="E423" s="2">
        <v>226959</v>
      </c>
      <c r="F423" s="4">
        <v>19677</v>
      </c>
    </row>
    <row r="424" spans="1:6" x14ac:dyDescent="0.3">
      <c r="A424" s="3">
        <v>2020</v>
      </c>
      <c r="B424" s="1" t="s">
        <v>62</v>
      </c>
      <c r="C424" s="1" t="s">
        <v>45</v>
      </c>
      <c r="D424" s="2">
        <v>3184</v>
      </c>
      <c r="E424" s="2">
        <v>41000</v>
      </c>
      <c r="F424" s="4">
        <v>18829</v>
      </c>
    </row>
    <row r="425" spans="1:6" x14ac:dyDescent="0.3">
      <c r="A425" s="3">
        <v>2020</v>
      </c>
      <c r="B425" s="1" t="s">
        <v>62</v>
      </c>
      <c r="C425" s="1" t="s">
        <v>46</v>
      </c>
      <c r="D425" s="2">
        <v>17443</v>
      </c>
      <c r="E425" s="2">
        <v>293033</v>
      </c>
      <c r="F425" s="4">
        <v>23771</v>
      </c>
    </row>
    <row r="426" spans="1:6" x14ac:dyDescent="0.3">
      <c r="A426" s="3">
        <v>2020</v>
      </c>
      <c r="B426" s="1" t="s">
        <v>62</v>
      </c>
      <c r="C426" s="1" t="s">
        <v>47</v>
      </c>
      <c r="D426" s="2">
        <v>66777</v>
      </c>
      <c r="E426" s="2">
        <v>1178456</v>
      </c>
      <c r="F426" s="4">
        <v>23001</v>
      </c>
    </row>
    <row r="427" spans="1:6" x14ac:dyDescent="0.3">
      <c r="A427" s="3">
        <v>2020</v>
      </c>
      <c r="B427" s="1" t="s">
        <v>62</v>
      </c>
      <c r="C427" s="1" t="s">
        <v>48</v>
      </c>
      <c r="D427" s="2">
        <v>7766</v>
      </c>
      <c r="E427" s="2">
        <v>133375</v>
      </c>
      <c r="F427" s="4">
        <v>21580</v>
      </c>
    </row>
    <row r="428" spans="1:6" x14ac:dyDescent="0.3">
      <c r="A428" s="3">
        <v>2020</v>
      </c>
      <c r="B428" s="1" t="s">
        <v>62</v>
      </c>
      <c r="C428" s="1" t="s">
        <v>49</v>
      </c>
      <c r="D428" s="2">
        <v>2220</v>
      </c>
      <c r="E428" s="2">
        <v>25985</v>
      </c>
      <c r="F428" s="4">
        <v>26068</v>
      </c>
    </row>
    <row r="429" spans="1:6" x14ac:dyDescent="0.3">
      <c r="A429" s="3">
        <v>2020</v>
      </c>
      <c r="B429" s="1" t="s">
        <v>62</v>
      </c>
      <c r="C429" s="1" t="s">
        <v>50</v>
      </c>
      <c r="D429" s="2">
        <v>20954</v>
      </c>
      <c r="E429" s="2">
        <v>322216</v>
      </c>
      <c r="F429" s="4">
        <v>22634</v>
      </c>
    </row>
    <row r="430" spans="1:6" x14ac:dyDescent="0.3">
      <c r="A430" s="3">
        <v>2020</v>
      </c>
      <c r="B430" s="1" t="s">
        <v>62</v>
      </c>
      <c r="C430" s="1" t="s">
        <v>51</v>
      </c>
      <c r="D430" s="2">
        <v>20710</v>
      </c>
      <c r="E430" s="2">
        <v>255412</v>
      </c>
      <c r="F430" s="4">
        <v>26657</v>
      </c>
    </row>
    <row r="431" spans="1:6" x14ac:dyDescent="0.3">
      <c r="A431" s="3">
        <v>2020</v>
      </c>
      <c r="B431" s="1" t="s">
        <v>62</v>
      </c>
      <c r="C431" s="1" t="s">
        <v>52</v>
      </c>
      <c r="D431" s="2">
        <v>4602</v>
      </c>
      <c r="E431" s="2">
        <v>61253</v>
      </c>
      <c r="F431" s="4">
        <v>18945</v>
      </c>
    </row>
    <row r="432" spans="1:6" x14ac:dyDescent="0.3">
      <c r="A432" s="3">
        <v>2020</v>
      </c>
      <c r="B432" s="1" t="s">
        <v>62</v>
      </c>
      <c r="C432" s="1" t="s">
        <v>53</v>
      </c>
      <c r="D432" s="2">
        <v>16783</v>
      </c>
      <c r="E432" s="2">
        <v>227495</v>
      </c>
      <c r="F432" s="4">
        <v>19473</v>
      </c>
    </row>
    <row r="433" spans="1:6" x14ac:dyDescent="0.3">
      <c r="A433" s="3">
        <v>2020</v>
      </c>
      <c r="B433" s="1" t="s">
        <v>62</v>
      </c>
      <c r="C433" s="1" t="s">
        <v>54</v>
      </c>
      <c r="D433" s="2">
        <v>2418</v>
      </c>
      <c r="E433" s="2">
        <v>32312</v>
      </c>
      <c r="F433" s="4">
        <v>23041</v>
      </c>
    </row>
    <row r="434" spans="1:6" x14ac:dyDescent="0.3">
      <c r="A434" s="3">
        <v>2020</v>
      </c>
      <c r="B434" s="1" t="s">
        <v>63</v>
      </c>
      <c r="C434" s="1" t="s">
        <v>7</v>
      </c>
      <c r="D434" s="2">
        <v>9048</v>
      </c>
      <c r="E434" s="2">
        <v>42367</v>
      </c>
      <c r="F434" s="4">
        <v>41437</v>
      </c>
    </row>
    <row r="435" spans="1:6" x14ac:dyDescent="0.3">
      <c r="A435" s="3">
        <v>2020</v>
      </c>
      <c r="B435" s="1" t="s">
        <v>63</v>
      </c>
      <c r="C435" s="1" t="s">
        <v>8</v>
      </c>
      <c r="D435" s="2">
        <v>10878</v>
      </c>
      <c r="E435" s="2">
        <v>69183</v>
      </c>
      <c r="F435" s="4">
        <v>42482</v>
      </c>
    </row>
    <row r="436" spans="1:6" x14ac:dyDescent="0.3">
      <c r="A436" s="3">
        <v>2020</v>
      </c>
      <c r="B436" s="1" t="s">
        <v>63</v>
      </c>
      <c r="C436" s="1" t="s">
        <v>9</v>
      </c>
      <c r="D436" s="2">
        <v>5464</v>
      </c>
      <c r="E436" s="2">
        <v>23724</v>
      </c>
      <c r="F436" s="4">
        <v>38111</v>
      </c>
    </row>
    <row r="437" spans="1:6" x14ac:dyDescent="0.3">
      <c r="A437" s="3">
        <v>2020</v>
      </c>
      <c r="B437" s="1" t="s">
        <v>63</v>
      </c>
      <c r="C437" s="1" t="s">
        <v>10</v>
      </c>
      <c r="D437" s="2">
        <v>97116</v>
      </c>
      <c r="E437" s="2">
        <v>452175</v>
      </c>
      <c r="F437" s="4">
        <v>47080</v>
      </c>
    </row>
    <row r="438" spans="1:6" x14ac:dyDescent="0.3">
      <c r="A438" s="3">
        <v>2020</v>
      </c>
      <c r="B438" s="1" t="s">
        <v>63</v>
      </c>
      <c r="C438" s="1" t="s">
        <v>11</v>
      </c>
      <c r="D438" s="2">
        <v>16860</v>
      </c>
      <c r="E438" s="2">
        <v>76766</v>
      </c>
      <c r="F438" s="4">
        <v>45642</v>
      </c>
    </row>
    <row r="439" spans="1:6" x14ac:dyDescent="0.3">
      <c r="A439" s="3">
        <v>2020</v>
      </c>
      <c r="B439" s="1" t="s">
        <v>63</v>
      </c>
      <c r="C439" s="1" t="s">
        <v>12</v>
      </c>
      <c r="D439" s="2">
        <v>12480</v>
      </c>
      <c r="E439" s="2">
        <v>48120</v>
      </c>
      <c r="F439" s="4">
        <v>42136</v>
      </c>
    </row>
    <row r="440" spans="1:6" x14ac:dyDescent="0.3">
      <c r="A440" s="3">
        <v>2020</v>
      </c>
      <c r="B440" s="1" t="s">
        <v>63</v>
      </c>
      <c r="C440" s="1" t="s">
        <v>13</v>
      </c>
      <c r="D440" s="2">
        <v>2088</v>
      </c>
      <c r="E440" s="2">
        <v>10706</v>
      </c>
      <c r="F440" s="4">
        <v>38135</v>
      </c>
    </row>
    <row r="441" spans="1:6" x14ac:dyDescent="0.3">
      <c r="A441" s="3">
        <v>2020</v>
      </c>
      <c r="B441" s="1" t="s">
        <v>63</v>
      </c>
      <c r="C441" s="1" t="s">
        <v>14</v>
      </c>
      <c r="D441" s="2">
        <v>54871</v>
      </c>
      <c r="E441" s="2">
        <v>254577</v>
      </c>
      <c r="F441" s="4">
        <v>41154</v>
      </c>
    </row>
    <row r="442" spans="1:6" x14ac:dyDescent="0.3">
      <c r="A442" s="3">
        <v>2020</v>
      </c>
      <c r="B442" s="1" t="s">
        <v>63</v>
      </c>
      <c r="C442" s="1" t="s">
        <v>15</v>
      </c>
      <c r="D442" s="2">
        <v>19294</v>
      </c>
      <c r="E442" s="2">
        <v>101509</v>
      </c>
      <c r="F442" s="4">
        <v>41319</v>
      </c>
    </row>
    <row r="443" spans="1:6" x14ac:dyDescent="0.3">
      <c r="A443" s="3">
        <v>2020</v>
      </c>
      <c r="B443" s="1" t="s">
        <v>63</v>
      </c>
      <c r="C443" s="1" t="s">
        <v>16</v>
      </c>
      <c r="D443" s="2">
        <v>4119</v>
      </c>
      <c r="E443" s="2">
        <v>18237</v>
      </c>
      <c r="F443" s="4">
        <v>35029</v>
      </c>
    </row>
    <row r="444" spans="1:6" x14ac:dyDescent="0.3">
      <c r="A444" s="3">
        <v>2020</v>
      </c>
      <c r="B444" s="1" t="s">
        <v>63</v>
      </c>
      <c r="C444" s="1" t="s">
        <v>17</v>
      </c>
      <c r="D444" s="2">
        <v>35477</v>
      </c>
      <c r="E444" s="2">
        <v>184359</v>
      </c>
      <c r="F444" s="4">
        <v>48230</v>
      </c>
    </row>
    <row r="445" spans="1:6" x14ac:dyDescent="0.3">
      <c r="A445" s="3">
        <v>2020</v>
      </c>
      <c r="B445" s="1" t="s">
        <v>63</v>
      </c>
      <c r="C445" s="1" t="s">
        <v>18</v>
      </c>
      <c r="D445" s="2">
        <v>13233</v>
      </c>
      <c r="E445" s="2">
        <v>80627</v>
      </c>
      <c r="F445" s="4">
        <v>36636</v>
      </c>
    </row>
    <row r="446" spans="1:6" x14ac:dyDescent="0.3">
      <c r="A446" s="3">
        <v>2020</v>
      </c>
      <c r="B446" s="1" t="s">
        <v>63</v>
      </c>
      <c r="C446" s="1" t="s">
        <v>19</v>
      </c>
      <c r="D446" s="2">
        <v>7585</v>
      </c>
      <c r="E446" s="2">
        <v>37229</v>
      </c>
      <c r="F446" s="4">
        <v>40163</v>
      </c>
    </row>
    <row r="447" spans="1:6" x14ac:dyDescent="0.3">
      <c r="A447" s="3">
        <v>2020</v>
      </c>
      <c r="B447" s="1" t="s">
        <v>63</v>
      </c>
      <c r="C447" s="1" t="s">
        <v>20</v>
      </c>
      <c r="D447" s="2">
        <v>5873</v>
      </c>
      <c r="E447" s="2">
        <v>31183</v>
      </c>
      <c r="F447" s="4">
        <v>38965</v>
      </c>
    </row>
    <row r="448" spans="1:6" x14ac:dyDescent="0.3">
      <c r="A448" s="3">
        <v>2020</v>
      </c>
      <c r="B448" s="1" t="s">
        <v>63</v>
      </c>
      <c r="C448" s="1" t="s">
        <v>21</v>
      </c>
      <c r="D448" s="2">
        <v>9084</v>
      </c>
      <c r="E448" s="2">
        <v>40228</v>
      </c>
      <c r="F448" s="4">
        <v>38895</v>
      </c>
    </row>
    <row r="449" spans="1:6" x14ac:dyDescent="0.3">
      <c r="A449" s="3">
        <v>2020</v>
      </c>
      <c r="B449" s="1" t="s">
        <v>63</v>
      </c>
      <c r="C449" s="1" t="s">
        <v>22</v>
      </c>
      <c r="D449" s="2">
        <v>9437</v>
      </c>
      <c r="E449" s="2">
        <v>41500</v>
      </c>
      <c r="F449" s="4">
        <v>41226</v>
      </c>
    </row>
    <row r="450" spans="1:6" x14ac:dyDescent="0.3">
      <c r="A450" s="3">
        <v>2020</v>
      </c>
      <c r="B450" s="1" t="s">
        <v>63</v>
      </c>
      <c r="C450" s="1" t="s">
        <v>23</v>
      </c>
      <c r="D450" s="2">
        <v>3830</v>
      </c>
      <c r="E450" s="2">
        <v>16120</v>
      </c>
      <c r="F450" s="4">
        <v>39497</v>
      </c>
    </row>
    <row r="451" spans="1:6" x14ac:dyDescent="0.3">
      <c r="A451" s="3">
        <v>2020</v>
      </c>
      <c r="B451" s="1" t="s">
        <v>63</v>
      </c>
      <c r="C451" s="1" t="s">
        <v>24</v>
      </c>
      <c r="D451" s="2">
        <v>19028</v>
      </c>
      <c r="E451" s="2">
        <v>78236</v>
      </c>
      <c r="F451" s="4">
        <v>48238</v>
      </c>
    </row>
    <row r="452" spans="1:6" x14ac:dyDescent="0.3">
      <c r="A452" s="3">
        <v>2020</v>
      </c>
      <c r="B452" s="1" t="s">
        <v>63</v>
      </c>
      <c r="C452" s="1" t="s">
        <v>25</v>
      </c>
      <c r="D452" s="2">
        <v>21927</v>
      </c>
      <c r="E452" s="2">
        <v>98276</v>
      </c>
      <c r="F452" s="4">
        <v>46345</v>
      </c>
    </row>
    <row r="453" spans="1:6" x14ac:dyDescent="0.3">
      <c r="A453" s="3">
        <v>2020</v>
      </c>
      <c r="B453" s="1" t="s">
        <v>63</v>
      </c>
      <c r="C453" s="1" t="s">
        <v>26</v>
      </c>
      <c r="D453" s="2">
        <v>25486</v>
      </c>
      <c r="E453" s="2">
        <v>114074</v>
      </c>
      <c r="F453" s="4">
        <v>39650</v>
      </c>
    </row>
    <row r="454" spans="1:6" x14ac:dyDescent="0.3">
      <c r="A454" s="3">
        <v>2020</v>
      </c>
      <c r="B454" s="1" t="s">
        <v>63</v>
      </c>
      <c r="C454" s="1" t="s">
        <v>27</v>
      </c>
      <c r="D454" s="2">
        <v>17118</v>
      </c>
      <c r="E454" s="2">
        <v>77083</v>
      </c>
      <c r="F454" s="4">
        <v>39485</v>
      </c>
    </row>
    <row r="455" spans="1:6" x14ac:dyDescent="0.3">
      <c r="A455" s="3">
        <v>2020</v>
      </c>
      <c r="B455" s="1" t="s">
        <v>63</v>
      </c>
      <c r="C455" s="1" t="s">
        <v>28</v>
      </c>
      <c r="D455" s="2">
        <v>4625</v>
      </c>
      <c r="E455" s="2">
        <v>19993</v>
      </c>
      <c r="F455" s="4">
        <v>38520</v>
      </c>
    </row>
    <row r="456" spans="1:6" x14ac:dyDescent="0.3">
      <c r="A456" s="3">
        <v>2020</v>
      </c>
      <c r="B456" s="1" t="s">
        <v>63</v>
      </c>
      <c r="C456" s="1" t="s">
        <v>29</v>
      </c>
      <c r="D456" s="2">
        <v>13399</v>
      </c>
      <c r="E456" s="2">
        <v>68557</v>
      </c>
      <c r="F456" s="4">
        <v>38496</v>
      </c>
    </row>
    <row r="457" spans="1:6" x14ac:dyDescent="0.3">
      <c r="A457" s="3">
        <v>2020</v>
      </c>
      <c r="B457" s="1" t="s">
        <v>63</v>
      </c>
      <c r="C457" s="1" t="s">
        <v>30</v>
      </c>
      <c r="D457" s="2">
        <v>4199</v>
      </c>
      <c r="E457" s="2">
        <v>17236</v>
      </c>
      <c r="F457" s="4">
        <v>34349</v>
      </c>
    </row>
    <row r="458" spans="1:6" x14ac:dyDescent="0.3">
      <c r="A458" s="3">
        <v>2020</v>
      </c>
      <c r="B458" s="1" t="s">
        <v>63</v>
      </c>
      <c r="C458" s="1" t="s">
        <v>31</v>
      </c>
      <c r="D458" s="2">
        <v>4602</v>
      </c>
      <c r="E458" s="2">
        <v>24061</v>
      </c>
      <c r="F458" s="4">
        <v>36266</v>
      </c>
    </row>
    <row r="459" spans="1:6" x14ac:dyDescent="0.3">
      <c r="A459" s="3">
        <v>2020</v>
      </c>
      <c r="B459" s="1" t="s">
        <v>63</v>
      </c>
      <c r="C459" s="1" t="s">
        <v>32</v>
      </c>
      <c r="D459" s="2">
        <v>5067</v>
      </c>
      <c r="E459" s="2">
        <v>30593</v>
      </c>
      <c r="F459" s="4">
        <v>41698</v>
      </c>
    </row>
    <row r="460" spans="1:6" x14ac:dyDescent="0.3">
      <c r="A460" s="3">
        <v>2020</v>
      </c>
      <c r="B460" s="1" t="s">
        <v>63</v>
      </c>
      <c r="C460" s="1" t="s">
        <v>33</v>
      </c>
      <c r="D460" s="2">
        <v>4109</v>
      </c>
      <c r="E460" s="2">
        <v>18869</v>
      </c>
      <c r="F460" s="4">
        <v>43107</v>
      </c>
    </row>
    <row r="461" spans="1:6" x14ac:dyDescent="0.3">
      <c r="A461" s="3">
        <v>2020</v>
      </c>
      <c r="B461" s="1" t="s">
        <v>63</v>
      </c>
      <c r="C461" s="1" t="s">
        <v>34</v>
      </c>
      <c r="D461" s="2">
        <v>24307</v>
      </c>
      <c r="E461" s="2">
        <v>114130</v>
      </c>
      <c r="F461" s="4">
        <v>41197</v>
      </c>
    </row>
    <row r="462" spans="1:6" x14ac:dyDescent="0.3">
      <c r="A462" s="3">
        <v>2020</v>
      </c>
      <c r="B462" s="1" t="s">
        <v>63</v>
      </c>
      <c r="C462" s="1" t="s">
        <v>35</v>
      </c>
      <c r="D462" s="2">
        <v>4261</v>
      </c>
      <c r="E462" s="2">
        <v>18424</v>
      </c>
      <c r="F462" s="4">
        <v>38699</v>
      </c>
    </row>
    <row r="463" spans="1:6" x14ac:dyDescent="0.3">
      <c r="A463" s="3">
        <v>2020</v>
      </c>
      <c r="B463" s="1" t="s">
        <v>63</v>
      </c>
      <c r="C463" s="1" t="s">
        <v>36</v>
      </c>
      <c r="D463" s="2">
        <v>70935</v>
      </c>
      <c r="E463" s="2">
        <v>307026</v>
      </c>
      <c r="F463" s="4">
        <v>49001</v>
      </c>
    </row>
    <row r="464" spans="1:6" x14ac:dyDescent="0.3">
      <c r="A464" s="3">
        <v>2020</v>
      </c>
      <c r="B464" s="1" t="s">
        <v>63</v>
      </c>
      <c r="C464" s="1" t="s">
        <v>37</v>
      </c>
      <c r="D464" s="2">
        <v>26011</v>
      </c>
      <c r="E464" s="2">
        <v>107703</v>
      </c>
      <c r="F464" s="4">
        <v>39794</v>
      </c>
    </row>
    <row r="465" spans="1:6" x14ac:dyDescent="0.3">
      <c r="A465" s="3">
        <v>2020</v>
      </c>
      <c r="B465" s="1" t="s">
        <v>63</v>
      </c>
      <c r="C465" s="1" t="s">
        <v>38</v>
      </c>
      <c r="D465" s="2">
        <v>2141</v>
      </c>
      <c r="E465" s="2">
        <v>10645</v>
      </c>
      <c r="F465" s="4">
        <v>40484</v>
      </c>
    </row>
    <row r="466" spans="1:6" x14ac:dyDescent="0.3">
      <c r="A466" s="3">
        <v>2020</v>
      </c>
      <c r="B466" s="1" t="s">
        <v>63</v>
      </c>
      <c r="C466" s="1" t="s">
        <v>39</v>
      </c>
      <c r="D466" s="2">
        <v>23929</v>
      </c>
      <c r="E466" s="2">
        <v>138448</v>
      </c>
      <c r="F466" s="4">
        <v>38332</v>
      </c>
    </row>
    <row r="467" spans="1:6" x14ac:dyDescent="0.3">
      <c r="A467" s="3">
        <v>2020</v>
      </c>
      <c r="B467" s="1" t="s">
        <v>63</v>
      </c>
      <c r="C467" s="1" t="s">
        <v>40</v>
      </c>
      <c r="D467" s="2">
        <v>6600</v>
      </c>
      <c r="E467" s="2">
        <v>34047</v>
      </c>
      <c r="F467" s="4">
        <v>37686</v>
      </c>
    </row>
    <row r="468" spans="1:6" x14ac:dyDescent="0.3">
      <c r="A468" s="3">
        <v>2020</v>
      </c>
      <c r="B468" s="1" t="s">
        <v>63</v>
      </c>
      <c r="C468" s="1" t="s">
        <v>41</v>
      </c>
      <c r="D468" s="2">
        <v>14853</v>
      </c>
      <c r="E468" s="2">
        <v>60924</v>
      </c>
      <c r="F468" s="4">
        <v>41296</v>
      </c>
    </row>
    <row r="469" spans="1:6" x14ac:dyDescent="0.3">
      <c r="A469" s="3">
        <v>2020</v>
      </c>
      <c r="B469" s="1" t="s">
        <v>63</v>
      </c>
      <c r="C469" s="1" t="s">
        <v>42</v>
      </c>
      <c r="D469" s="2">
        <v>33590</v>
      </c>
      <c r="E469" s="2">
        <v>169772</v>
      </c>
      <c r="F469" s="4">
        <v>39396</v>
      </c>
    </row>
    <row r="470" spans="1:6" x14ac:dyDescent="0.3">
      <c r="A470" s="3">
        <v>2020</v>
      </c>
      <c r="B470" s="1" t="s">
        <v>63</v>
      </c>
      <c r="C470" s="1" t="s">
        <v>43</v>
      </c>
      <c r="D470" s="2">
        <v>3576</v>
      </c>
      <c r="E470" s="2">
        <v>15156</v>
      </c>
      <c r="F470" s="4">
        <v>38763</v>
      </c>
    </row>
    <row r="471" spans="1:6" x14ac:dyDescent="0.3">
      <c r="A471" s="3">
        <v>2020</v>
      </c>
      <c r="B471" s="1" t="s">
        <v>63</v>
      </c>
      <c r="C471" s="1" t="s">
        <v>44</v>
      </c>
      <c r="D471" s="2">
        <v>10267</v>
      </c>
      <c r="E471" s="2">
        <v>49710</v>
      </c>
      <c r="F471" s="4">
        <v>38110</v>
      </c>
    </row>
    <row r="472" spans="1:6" x14ac:dyDescent="0.3">
      <c r="A472" s="3">
        <v>2020</v>
      </c>
      <c r="B472" s="1" t="s">
        <v>63</v>
      </c>
      <c r="C472" s="1" t="s">
        <v>45</v>
      </c>
      <c r="D472" s="2">
        <v>2313</v>
      </c>
      <c r="E472" s="2">
        <v>11077</v>
      </c>
      <c r="F472" s="4">
        <v>38165</v>
      </c>
    </row>
    <row r="473" spans="1:6" x14ac:dyDescent="0.3">
      <c r="A473" s="3">
        <v>2020</v>
      </c>
      <c r="B473" s="1" t="s">
        <v>63</v>
      </c>
      <c r="C473" s="1" t="s">
        <v>46</v>
      </c>
      <c r="D473" s="2">
        <v>12651</v>
      </c>
      <c r="E473" s="2">
        <v>70977</v>
      </c>
      <c r="F473" s="4">
        <v>40323</v>
      </c>
    </row>
    <row r="474" spans="1:6" x14ac:dyDescent="0.3">
      <c r="A474" s="3">
        <v>2020</v>
      </c>
      <c r="B474" s="1" t="s">
        <v>63</v>
      </c>
      <c r="C474" s="1" t="s">
        <v>47</v>
      </c>
      <c r="D474" s="2">
        <v>57936</v>
      </c>
      <c r="E474" s="2">
        <v>310244</v>
      </c>
      <c r="F474" s="4">
        <v>44055</v>
      </c>
    </row>
    <row r="475" spans="1:6" x14ac:dyDescent="0.3">
      <c r="A475" s="3">
        <v>2020</v>
      </c>
      <c r="B475" s="1" t="s">
        <v>63</v>
      </c>
      <c r="C475" s="1" t="s">
        <v>48</v>
      </c>
      <c r="D475" s="2">
        <v>6849</v>
      </c>
      <c r="E475" s="2">
        <v>35002</v>
      </c>
      <c r="F475" s="4">
        <v>39528</v>
      </c>
    </row>
    <row r="476" spans="1:6" x14ac:dyDescent="0.3">
      <c r="A476" s="3">
        <v>2020</v>
      </c>
      <c r="B476" s="1" t="s">
        <v>63</v>
      </c>
      <c r="C476" s="1" t="s">
        <v>49</v>
      </c>
      <c r="D476" s="2">
        <v>1995</v>
      </c>
      <c r="E476" s="2">
        <v>7681</v>
      </c>
      <c r="F476" s="4">
        <v>41304</v>
      </c>
    </row>
    <row r="477" spans="1:6" x14ac:dyDescent="0.3">
      <c r="A477" s="3">
        <v>2020</v>
      </c>
      <c r="B477" s="1" t="s">
        <v>63</v>
      </c>
      <c r="C477" s="1" t="s">
        <v>50</v>
      </c>
      <c r="D477" s="2">
        <v>29516</v>
      </c>
      <c r="E477" s="2">
        <v>121622</v>
      </c>
      <c r="F477" s="4">
        <v>50744</v>
      </c>
    </row>
    <row r="478" spans="1:6" x14ac:dyDescent="0.3">
      <c r="A478" s="3">
        <v>2020</v>
      </c>
      <c r="B478" s="1" t="s">
        <v>63</v>
      </c>
      <c r="C478" s="1" t="s">
        <v>51</v>
      </c>
      <c r="D478" s="2">
        <v>20259</v>
      </c>
      <c r="E478" s="2">
        <v>89105</v>
      </c>
      <c r="F478" s="4">
        <v>46691</v>
      </c>
    </row>
    <row r="479" spans="1:6" x14ac:dyDescent="0.3">
      <c r="A479" s="3">
        <v>2020</v>
      </c>
      <c r="B479" s="1" t="s">
        <v>63</v>
      </c>
      <c r="C479" s="1" t="s">
        <v>52</v>
      </c>
      <c r="D479" s="2">
        <v>3442</v>
      </c>
      <c r="E479" s="2">
        <v>15621</v>
      </c>
      <c r="F479" s="4">
        <v>35759</v>
      </c>
    </row>
    <row r="480" spans="1:6" x14ac:dyDescent="0.3">
      <c r="A480" s="3">
        <v>2020</v>
      </c>
      <c r="B480" s="1" t="s">
        <v>63</v>
      </c>
      <c r="C480" s="1" t="s">
        <v>53</v>
      </c>
      <c r="D480" s="2">
        <v>13143</v>
      </c>
      <c r="E480" s="2">
        <v>74028</v>
      </c>
      <c r="F480" s="4">
        <v>36058</v>
      </c>
    </row>
    <row r="481" spans="1:6" x14ac:dyDescent="0.3">
      <c r="A481" s="3">
        <v>2020</v>
      </c>
      <c r="B481" s="1" t="s">
        <v>63</v>
      </c>
      <c r="C481" s="1" t="s">
        <v>54</v>
      </c>
      <c r="D481" s="2">
        <v>1669</v>
      </c>
      <c r="E481" s="2">
        <v>6769</v>
      </c>
      <c r="F481" s="4">
        <v>40253</v>
      </c>
    </row>
    <row r="482" spans="1:6" x14ac:dyDescent="0.3">
      <c r="A482" s="3">
        <v>2019</v>
      </c>
      <c r="B482" s="1" t="s">
        <v>6</v>
      </c>
      <c r="C482" s="1" t="s">
        <v>7</v>
      </c>
      <c r="D482" s="2">
        <v>1846</v>
      </c>
      <c r="E482" s="2">
        <v>18939</v>
      </c>
      <c r="F482" s="4">
        <v>56529</v>
      </c>
    </row>
    <row r="483" spans="1:6" x14ac:dyDescent="0.3">
      <c r="A483" s="3">
        <v>2019</v>
      </c>
      <c r="B483" s="1" t="s">
        <v>6</v>
      </c>
      <c r="C483" s="1" t="s">
        <v>8</v>
      </c>
      <c r="D483" s="2">
        <v>1358</v>
      </c>
      <c r="E483" s="2">
        <v>37970</v>
      </c>
      <c r="F483" s="4">
        <v>52262</v>
      </c>
    </row>
    <row r="484" spans="1:6" x14ac:dyDescent="0.3">
      <c r="A484" s="3">
        <v>2019</v>
      </c>
      <c r="B484" s="1" t="s">
        <v>6</v>
      </c>
      <c r="C484" s="1" t="s">
        <v>9</v>
      </c>
      <c r="D484" s="2">
        <v>2577</v>
      </c>
      <c r="E484" s="2">
        <v>16390</v>
      </c>
      <c r="F484" s="4">
        <v>48299</v>
      </c>
    </row>
    <row r="485" spans="1:6" x14ac:dyDescent="0.3">
      <c r="A485" s="3">
        <v>2019</v>
      </c>
      <c r="B485" s="1" t="s">
        <v>6</v>
      </c>
      <c r="C485" s="1" t="s">
        <v>10</v>
      </c>
      <c r="D485" s="2">
        <v>17663</v>
      </c>
      <c r="E485" s="2">
        <v>443581</v>
      </c>
      <c r="F485" s="4">
        <v>40246</v>
      </c>
    </row>
    <row r="486" spans="1:6" x14ac:dyDescent="0.3">
      <c r="A486" s="3">
        <v>2019</v>
      </c>
      <c r="B486" s="1" t="s">
        <v>6</v>
      </c>
      <c r="C486" s="1" t="s">
        <v>11</v>
      </c>
      <c r="D486" s="2">
        <v>3279</v>
      </c>
      <c r="E486" s="2">
        <v>48392</v>
      </c>
      <c r="F486" s="4">
        <v>90328</v>
      </c>
    </row>
    <row r="487" spans="1:6" x14ac:dyDescent="0.3">
      <c r="A487" s="3">
        <v>2019</v>
      </c>
      <c r="B487" s="1" t="s">
        <v>6</v>
      </c>
      <c r="C487" s="1" t="s">
        <v>12</v>
      </c>
      <c r="D487" s="1">
        <v>437</v>
      </c>
      <c r="E487" s="2">
        <v>5258</v>
      </c>
      <c r="F487" s="4">
        <v>41449</v>
      </c>
    </row>
    <row r="488" spans="1:6" x14ac:dyDescent="0.3">
      <c r="A488" s="3">
        <v>2019</v>
      </c>
      <c r="B488" s="1" t="s">
        <v>6</v>
      </c>
      <c r="C488" s="1" t="s">
        <v>13</v>
      </c>
      <c r="D488" s="1">
        <v>180</v>
      </c>
      <c r="E488" s="2">
        <v>1471</v>
      </c>
      <c r="F488" s="4">
        <v>42123</v>
      </c>
    </row>
    <row r="489" spans="1:6" x14ac:dyDescent="0.3">
      <c r="A489" s="3">
        <v>2019</v>
      </c>
      <c r="B489" s="1" t="s">
        <v>6</v>
      </c>
      <c r="C489" s="1" t="s">
        <v>14</v>
      </c>
      <c r="D489" s="2">
        <v>5304</v>
      </c>
      <c r="E489" s="2">
        <v>71329</v>
      </c>
      <c r="F489" s="4">
        <v>35645</v>
      </c>
    </row>
    <row r="490" spans="1:6" x14ac:dyDescent="0.3">
      <c r="A490" s="3">
        <v>2019</v>
      </c>
      <c r="B490" s="1" t="s">
        <v>6</v>
      </c>
      <c r="C490" s="1" t="s">
        <v>15</v>
      </c>
      <c r="D490" s="2">
        <v>2662</v>
      </c>
      <c r="E490" s="2">
        <v>29910</v>
      </c>
      <c r="F490" s="4">
        <v>43258</v>
      </c>
    </row>
    <row r="491" spans="1:6" x14ac:dyDescent="0.3">
      <c r="A491" s="3">
        <v>2019</v>
      </c>
      <c r="B491" s="1" t="s">
        <v>6</v>
      </c>
      <c r="C491" s="1" t="s">
        <v>16</v>
      </c>
      <c r="D491" s="2">
        <v>2401</v>
      </c>
      <c r="E491" s="2">
        <v>26555</v>
      </c>
      <c r="F491" s="4">
        <v>41105</v>
      </c>
    </row>
    <row r="492" spans="1:6" x14ac:dyDescent="0.3">
      <c r="A492" s="3">
        <v>2019</v>
      </c>
      <c r="B492" s="1" t="s">
        <v>6</v>
      </c>
      <c r="C492" s="1" t="s">
        <v>17</v>
      </c>
      <c r="D492" s="2">
        <v>2825</v>
      </c>
      <c r="E492" s="2">
        <v>26828</v>
      </c>
      <c r="F492" s="4">
        <v>52197</v>
      </c>
    </row>
    <row r="493" spans="1:6" x14ac:dyDescent="0.3">
      <c r="A493" s="3">
        <v>2019</v>
      </c>
      <c r="B493" s="1" t="s">
        <v>6</v>
      </c>
      <c r="C493" s="1" t="s">
        <v>18</v>
      </c>
      <c r="D493" s="2">
        <v>2255</v>
      </c>
      <c r="E493" s="2">
        <v>21475</v>
      </c>
      <c r="F493" s="4">
        <v>50243</v>
      </c>
    </row>
    <row r="494" spans="1:6" x14ac:dyDescent="0.3">
      <c r="A494" s="3">
        <v>2019</v>
      </c>
      <c r="B494" s="1" t="s">
        <v>6</v>
      </c>
      <c r="C494" s="1" t="s">
        <v>19</v>
      </c>
      <c r="D494" s="2">
        <v>2916</v>
      </c>
      <c r="E494" s="2">
        <v>23431</v>
      </c>
      <c r="F494" s="4">
        <v>44087</v>
      </c>
    </row>
    <row r="495" spans="1:6" x14ac:dyDescent="0.3">
      <c r="A495" s="3">
        <v>2019</v>
      </c>
      <c r="B495" s="1" t="s">
        <v>6</v>
      </c>
      <c r="C495" s="1" t="s">
        <v>20</v>
      </c>
      <c r="D495" s="2">
        <v>2612</v>
      </c>
      <c r="E495" s="2">
        <v>19353</v>
      </c>
      <c r="F495" s="4">
        <v>47802</v>
      </c>
    </row>
    <row r="496" spans="1:6" x14ac:dyDescent="0.3">
      <c r="A496" s="3">
        <v>2019</v>
      </c>
      <c r="B496" s="1" t="s">
        <v>6</v>
      </c>
      <c r="C496" s="1" t="s">
        <v>21</v>
      </c>
      <c r="D496" s="2">
        <v>1561</v>
      </c>
      <c r="E496" s="2">
        <v>18911</v>
      </c>
      <c r="F496" s="4">
        <v>56448</v>
      </c>
    </row>
    <row r="497" spans="1:6" x14ac:dyDescent="0.3">
      <c r="A497" s="3">
        <v>2019</v>
      </c>
      <c r="B497" s="1" t="s">
        <v>6</v>
      </c>
      <c r="C497" s="1" t="s">
        <v>22</v>
      </c>
      <c r="D497" s="2">
        <v>3133</v>
      </c>
      <c r="E497" s="2">
        <v>44052</v>
      </c>
      <c r="F497" s="4">
        <v>87820</v>
      </c>
    </row>
    <row r="498" spans="1:6" x14ac:dyDescent="0.3">
      <c r="A498" s="3">
        <v>2019</v>
      </c>
      <c r="B498" s="1" t="s">
        <v>6</v>
      </c>
      <c r="C498" s="1" t="s">
        <v>23</v>
      </c>
      <c r="D498" s="2">
        <v>1447</v>
      </c>
      <c r="E498" s="2">
        <v>7281</v>
      </c>
      <c r="F498" s="4">
        <v>41157</v>
      </c>
    </row>
    <row r="499" spans="1:6" x14ac:dyDescent="0.3">
      <c r="A499" s="3">
        <v>2019</v>
      </c>
      <c r="B499" s="1" t="s">
        <v>6</v>
      </c>
      <c r="C499" s="1" t="s">
        <v>24</v>
      </c>
      <c r="D499" s="1">
        <v>723</v>
      </c>
      <c r="E499" s="2">
        <v>7194</v>
      </c>
      <c r="F499" s="4">
        <v>44642</v>
      </c>
    </row>
    <row r="500" spans="1:6" x14ac:dyDescent="0.3">
      <c r="A500" s="3">
        <v>2019</v>
      </c>
      <c r="B500" s="1" t="s">
        <v>6</v>
      </c>
      <c r="C500" s="1" t="s">
        <v>25</v>
      </c>
      <c r="D500" s="2">
        <v>1007</v>
      </c>
      <c r="E500" s="2">
        <v>10500</v>
      </c>
      <c r="F500" s="4">
        <v>63846</v>
      </c>
    </row>
    <row r="501" spans="1:6" x14ac:dyDescent="0.3">
      <c r="A501" s="3">
        <v>2019</v>
      </c>
      <c r="B501" s="1" t="s">
        <v>6</v>
      </c>
      <c r="C501" s="1" t="s">
        <v>26</v>
      </c>
      <c r="D501" s="2">
        <v>3480</v>
      </c>
      <c r="E501" s="2">
        <v>35622</v>
      </c>
      <c r="F501" s="4">
        <v>41799</v>
      </c>
    </row>
    <row r="502" spans="1:6" x14ac:dyDescent="0.3">
      <c r="A502" s="3">
        <v>2019</v>
      </c>
      <c r="B502" s="1" t="s">
        <v>6</v>
      </c>
      <c r="C502" s="1" t="s">
        <v>27</v>
      </c>
      <c r="D502" s="2">
        <v>3094</v>
      </c>
      <c r="E502" s="2">
        <v>28134</v>
      </c>
      <c r="F502" s="4">
        <v>51107</v>
      </c>
    </row>
    <row r="503" spans="1:6" x14ac:dyDescent="0.3">
      <c r="A503" s="3">
        <v>2019</v>
      </c>
      <c r="B503" s="1" t="s">
        <v>6</v>
      </c>
      <c r="C503" s="1" t="s">
        <v>28</v>
      </c>
      <c r="D503" s="2">
        <v>2110</v>
      </c>
      <c r="E503" s="2">
        <v>15777</v>
      </c>
      <c r="F503" s="4">
        <v>49263</v>
      </c>
    </row>
    <row r="504" spans="1:6" x14ac:dyDescent="0.3">
      <c r="A504" s="3">
        <v>2019</v>
      </c>
      <c r="B504" s="1" t="s">
        <v>6</v>
      </c>
      <c r="C504" s="1" t="s">
        <v>29</v>
      </c>
      <c r="D504" s="2">
        <v>2031</v>
      </c>
      <c r="E504" s="2">
        <v>16899</v>
      </c>
      <c r="F504" s="4">
        <v>44815</v>
      </c>
    </row>
    <row r="505" spans="1:6" x14ac:dyDescent="0.3">
      <c r="A505" s="3">
        <v>2019</v>
      </c>
      <c r="B505" s="1" t="s">
        <v>6</v>
      </c>
      <c r="C505" s="1" t="s">
        <v>30</v>
      </c>
      <c r="D505" s="2">
        <v>1789</v>
      </c>
      <c r="E505" s="2">
        <v>12792</v>
      </c>
      <c r="F505" s="4">
        <v>67162</v>
      </c>
    </row>
    <row r="506" spans="1:6" x14ac:dyDescent="0.3">
      <c r="A506" s="3">
        <v>2019</v>
      </c>
      <c r="B506" s="1" t="s">
        <v>6</v>
      </c>
      <c r="C506" s="1" t="s">
        <v>31</v>
      </c>
      <c r="D506" s="2">
        <v>2414</v>
      </c>
      <c r="E506" s="2">
        <v>15761</v>
      </c>
      <c r="F506" s="4">
        <v>42685</v>
      </c>
    </row>
    <row r="507" spans="1:6" x14ac:dyDescent="0.3">
      <c r="A507" s="3">
        <v>2019</v>
      </c>
      <c r="B507" s="1" t="s">
        <v>6</v>
      </c>
      <c r="C507" s="1" t="s">
        <v>32</v>
      </c>
      <c r="D507" s="1">
        <v>618</v>
      </c>
      <c r="E507" s="2">
        <v>19841</v>
      </c>
      <c r="F507" s="4">
        <v>86362</v>
      </c>
    </row>
    <row r="508" spans="1:6" x14ac:dyDescent="0.3">
      <c r="A508" s="3">
        <v>2019</v>
      </c>
      <c r="B508" s="1" t="s">
        <v>6</v>
      </c>
      <c r="C508" s="1" t="s">
        <v>33</v>
      </c>
      <c r="D508" s="1">
        <v>350</v>
      </c>
      <c r="E508" s="2">
        <v>2627</v>
      </c>
      <c r="F508" s="4">
        <v>44073</v>
      </c>
    </row>
    <row r="509" spans="1:6" x14ac:dyDescent="0.3">
      <c r="A509" s="3">
        <v>2019</v>
      </c>
      <c r="B509" s="1" t="s">
        <v>6</v>
      </c>
      <c r="C509" s="1" t="s">
        <v>34</v>
      </c>
      <c r="D509" s="1">
        <v>998</v>
      </c>
      <c r="E509" s="2">
        <v>12407</v>
      </c>
      <c r="F509" s="4">
        <v>41732</v>
      </c>
    </row>
    <row r="510" spans="1:6" x14ac:dyDescent="0.3">
      <c r="A510" s="3">
        <v>2019</v>
      </c>
      <c r="B510" s="1" t="s">
        <v>6</v>
      </c>
      <c r="C510" s="1" t="s">
        <v>35</v>
      </c>
      <c r="D510" s="2">
        <v>2100</v>
      </c>
      <c r="E510" s="2">
        <v>36949</v>
      </c>
      <c r="F510" s="4">
        <v>68427</v>
      </c>
    </row>
    <row r="511" spans="1:6" x14ac:dyDescent="0.3">
      <c r="A511" s="3">
        <v>2019</v>
      </c>
      <c r="B511" s="1" t="s">
        <v>6</v>
      </c>
      <c r="C511" s="1" t="s">
        <v>36</v>
      </c>
      <c r="D511" s="2">
        <v>3053</v>
      </c>
      <c r="E511" s="2">
        <v>31787</v>
      </c>
      <c r="F511" s="4">
        <v>42992</v>
      </c>
    </row>
    <row r="512" spans="1:6" x14ac:dyDescent="0.3">
      <c r="A512" s="3">
        <v>2019</v>
      </c>
      <c r="B512" s="1" t="s">
        <v>6</v>
      </c>
      <c r="C512" s="1" t="s">
        <v>37</v>
      </c>
      <c r="D512" s="2">
        <v>3378</v>
      </c>
      <c r="E512" s="2">
        <v>29828</v>
      </c>
      <c r="F512" s="4">
        <v>40862</v>
      </c>
    </row>
    <row r="513" spans="1:6" x14ac:dyDescent="0.3">
      <c r="A513" s="3">
        <v>2019</v>
      </c>
      <c r="B513" s="1" t="s">
        <v>6</v>
      </c>
      <c r="C513" s="1" t="s">
        <v>38</v>
      </c>
      <c r="D513" s="2">
        <v>1784</v>
      </c>
      <c r="E513" s="2">
        <v>25973</v>
      </c>
      <c r="F513" s="4">
        <v>97355</v>
      </c>
    </row>
    <row r="514" spans="1:6" x14ac:dyDescent="0.3">
      <c r="A514" s="3">
        <v>2019</v>
      </c>
      <c r="B514" s="1" t="s">
        <v>6</v>
      </c>
      <c r="C514" s="1" t="s">
        <v>39</v>
      </c>
      <c r="D514" s="2">
        <v>2531</v>
      </c>
      <c r="E514" s="2">
        <v>28532</v>
      </c>
      <c r="F514" s="4">
        <v>51860</v>
      </c>
    </row>
    <row r="515" spans="1:6" x14ac:dyDescent="0.3">
      <c r="A515" s="3">
        <v>2019</v>
      </c>
      <c r="B515" s="1" t="s">
        <v>6</v>
      </c>
      <c r="C515" s="1" t="s">
        <v>40</v>
      </c>
      <c r="D515" s="2">
        <v>4402</v>
      </c>
      <c r="E515" s="2">
        <v>56786</v>
      </c>
      <c r="F515" s="4">
        <v>91249</v>
      </c>
    </row>
    <row r="516" spans="1:6" x14ac:dyDescent="0.3">
      <c r="A516" s="3">
        <v>2019</v>
      </c>
      <c r="B516" s="1" t="s">
        <v>6</v>
      </c>
      <c r="C516" s="1" t="s">
        <v>41</v>
      </c>
      <c r="D516" s="2">
        <v>4633</v>
      </c>
      <c r="E516" s="2">
        <v>54550</v>
      </c>
      <c r="F516" s="4">
        <v>37586</v>
      </c>
    </row>
    <row r="517" spans="1:6" x14ac:dyDescent="0.3">
      <c r="A517" s="3">
        <v>2019</v>
      </c>
      <c r="B517" s="1" t="s">
        <v>6</v>
      </c>
      <c r="C517" s="1" t="s">
        <v>42</v>
      </c>
      <c r="D517" s="2">
        <v>3616</v>
      </c>
      <c r="E517" s="2">
        <v>52904</v>
      </c>
      <c r="F517" s="4">
        <v>65014</v>
      </c>
    </row>
    <row r="518" spans="1:6" x14ac:dyDescent="0.3">
      <c r="A518" s="3">
        <v>2019</v>
      </c>
      <c r="B518" s="1" t="s">
        <v>6</v>
      </c>
      <c r="C518" s="1" t="s">
        <v>43</v>
      </c>
      <c r="D518" s="1">
        <v>198</v>
      </c>
      <c r="E518" s="2">
        <v>1121</v>
      </c>
      <c r="F518" s="4">
        <v>39917</v>
      </c>
    </row>
    <row r="519" spans="1:6" x14ac:dyDescent="0.3">
      <c r="A519" s="3">
        <v>2019</v>
      </c>
      <c r="B519" s="1" t="s">
        <v>6</v>
      </c>
      <c r="C519" s="1" t="s">
        <v>44</v>
      </c>
      <c r="D519" s="2">
        <v>1345</v>
      </c>
      <c r="E519" s="2">
        <v>12552</v>
      </c>
      <c r="F519" s="4">
        <v>43952</v>
      </c>
    </row>
    <row r="520" spans="1:6" x14ac:dyDescent="0.3">
      <c r="A520" s="3">
        <v>2019</v>
      </c>
      <c r="B520" s="1" t="s">
        <v>6</v>
      </c>
      <c r="C520" s="1" t="s">
        <v>45</v>
      </c>
      <c r="D520" s="2">
        <v>1063</v>
      </c>
      <c r="E520" s="2">
        <v>6986</v>
      </c>
      <c r="F520" s="4">
        <v>43642</v>
      </c>
    </row>
    <row r="521" spans="1:6" x14ac:dyDescent="0.3">
      <c r="A521" s="3">
        <v>2019</v>
      </c>
      <c r="B521" s="1" t="s">
        <v>6</v>
      </c>
      <c r="C521" s="1" t="s">
        <v>46</v>
      </c>
      <c r="D521" s="2">
        <v>1107</v>
      </c>
      <c r="E521" s="2">
        <v>11568</v>
      </c>
      <c r="F521" s="4">
        <v>46865</v>
      </c>
    </row>
    <row r="522" spans="1:6" x14ac:dyDescent="0.3">
      <c r="A522" s="3">
        <v>2019</v>
      </c>
      <c r="B522" s="1" t="s">
        <v>6</v>
      </c>
      <c r="C522" s="1" t="s">
        <v>47</v>
      </c>
      <c r="D522" s="2">
        <v>19971</v>
      </c>
      <c r="E522" s="2">
        <v>307800</v>
      </c>
      <c r="F522" s="4">
        <v>114918</v>
      </c>
    </row>
    <row r="523" spans="1:6" x14ac:dyDescent="0.3">
      <c r="A523" s="3">
        <v>2019</v>
      </c>
      <c r="B523" s="1" t="s">
        <v>6</v>
      </c>
      <c r="C523" s="1" t="s">
        <v>48</v>
      </c>
      <c r="D523" s="2">
        <v>1032</v>
      </c>
      <c r="E523" s="2">
        <v>15160</v>
      </c>
      <c r="F523" s="4">
        <v>63604</v>
      </c>
    </row>
    <row r="524" spans="1:6" x14ac:dyDescent="0.3">
      <c r="A524" s="3">
        <v>2019</v>
      </c>
      <c r="B524" s="1" t="s">
        <v>6</v>
      </c>
      <c r="C524" s="1" t="s">
        <v>49</v>
      </c>
      <c r="D524" s="1">
        <v>564</v>
      </c>
      <c r="E524" s="2">
        <v>4130</v>
      </c>
      <c r="F524" s="4">
        <v>39607</v>
      </c>
    </row>
    <row r="525" spans="1:6" x14ac:dyDescent="0.3">
      <c r="A525" s="3">
        <v>2019</v>
      </c>
      <c r="B525" s="1" t="s">
        <v>6</v>
      </c>
      <c r="C525" s="1" t="s">
        <v>50</v>
      </c>
      <c r="D525" s="2">
        <v>2095</v>
      </c>
      <c r="E525" s="2">
        <v>18691</v>
      </c>
      <c r="F525" s="4">
        <v>48704</v>
      </c>
    </row>
    <row r="526" spans="1:6" x14ac:dyDescent="0.3">
      <c r="A526" s="3">
        <v>2019</v>
      </c>
      <c r="B526" s="1" t="s">
        <v>6</v>
      </c>
      <c r="C526" s="1" t="s">
        <v>51</v>
      </c>
      <c r="D526" s="2">
        <v>7117</v>
      </c>
      <c r="E526" s="2">
        <v>105362</v>
      </c>
      <c r="F526" s="4">
        <v>34547</v>
      </c>
    </row>
    <row r="527" spans="1:6" x14ac:dyDescent="0.3">
      <c r="A527" s="3">
        <v>2019</v>
      </c>
      <c r="B527" s="1" t="s">
        <v>6</v>
      </c>
      <c r="C527" s="1" t="s">
        <v>52</v>
      </c>
      <c r="D527" s="2">
        <v>1166</v>
      </c>
      <c r="E527" s="2">
        <v>23333</v>
      </c>
      <c r="F527" s="4">
        <v>80470</v>
      </c>
    </row>
    <row r="528" spans="1:6" x14ac:dyDescent="0.3">
      <c r="A528" s="3">
        <v>2019</v>
      </c>
      <c r="B528" s="1" t="s">
        <v>6</v>
      </c>
      <c r="C528" s="1" t="s">
        <v>53</v>
      </c>
      <c r="D528" s="2">
        <v>2876</v>
      </c>
      <c r="E528" s="2">
        <v>31424</v>
      </c>
      <c r="F528" s="4">
        <v>40225</v>
      </c>
    </row>
    <row r="529" spans="1:6" x14ac:dyDescent="0.3">
      <c r="A529" s="3">
        <v>2019</v>
      </c>
      <c r="B529" s="1" t="s">
        <v>6</v>
      </c>
      <c r="C529" s="1" t="s">
        <v>54</v>
      </c>
      <c r="D529" s="2">
        <v>1463</v>
      </c>
      <c r="E529" s="2">
        <v>23524</v>
      </c>
      <c r="F529" s="4">
        <v>86467</v>
      </c>
    </row>
    <row r="530" spans="1:6" x14ac:dyDescent="0.3">
      <c r="A530" s="3">
        <v>2019</v>
      </c>
      <c r="B530" s="1" t="s">
        <v>55</v>
      </c>
      <c r="C530" s="1" t="s">
        <v>7</v>
      </c>
      <c r="D530" s="2">
        <v>10069</v>
      </c>
      <c r="E530" s="2">
        <v>93619</v>
      </c>
      <c r="F530" s="4">
        <v>56141</v>
      </c>
    </row>
    <row r="531" spans="1:6" x14ac:dyDescent="0.3">
      <c r="A531" s="3">
        <v>2019</v>
      </c>
      <c r="B531" s="1" t="s">
        <v>55</v>
      </c>
      <c r="C531" s="1" t="s">
        <v>8</v>
      </c>
      <c r="D531" s="2">
        <v>13677</v>
      </c>
      <c r="E531" s="2">
        <v>171309</v>
      </c>
      <c r="F531" s="4">
        <v>58621</v>
      </c>
    </row>
    <row r="532" spans="1:6" x14ac:dyDescent="0.3">
      <c r="A532" s="3">
        <v>2019</v>
      </c>
      <c r="B532" s="1" t="s">
        <v>55</v>
      </c>
      <c r="C532" s="1" t="s">
        <v>9</v>
      </c>
      <c r="D532" s="2">
        <v>7093</v>
      </c>
      <c r="E532" s="2">
        <v>52538</v>
      </c>
      <c r="F532" s="4">
        <v>49541</v>
      </c>
    </row>
    <row r="533" spans="1:6" x14ac:dyDescent="0.3">
      <c r="A533" s="3">
        <v>2019</v>
      </c>
      <c r="B533" s="1" t="s">
        <v>55</v>
      </c>
      <c r="C533" s="1" t="s">
        <v>10</v>
      </c>
      <c r="D533" s="2">
        <v>84247</v>
      </c>
      <c r="E533" s="2">
        <v>885668</v>
      </c>
      <c r="F533" s="4">
        <v>73343</v>
      </c>
    </row>
    <row r="534" spans="1:6" x14ac:dyDescent="0.3">
      <c r="A534" s="3">
        <v>2019</v>
      </c>
      <c r="B534" s="1" t="s">
        <v>55</v>
      </c>
      <c r="C534" s="1" t="s">
        <v>11</v>
      </c>
      <c r="D534" s="2">
        <v>20430</v>
      </c>
      <c r="E534" s="2">
        <v>178880</v>
      </c>
      <c r="F534" s="4">
        <v>64603</v>
      </c>
    </row>
    <row r="535" spans="1:6" x14ac:dyDescent="0.3">
      <c r="A535" s="3">
        <v>2019</v>
      </c>
      <c r="B535" s="1" t="s">
        <v>55</v>
      </c>
      <c r="C535" s="1" t="s">
        <v>12</v>
      </c>
      <c r="D535" s="2">
        <v>9496</v>
      </c>
      <c r="E535" s="2">
        <v>59731</v>
      </c>
      <c r="F535" s="4">
        <v>72413</v>
      </c>
    </row>
    <row r="536" spans="1:6" x14ac:dyDescent="0.3">
      <c r="A536" s="3">
        <v>2019</v>
      </c>
      <c r="B536" s="1" t="s">
        <v>55</v>
      </c>
      <c r="C536" s="1" t="s">
        <v>13</v>
      </c>
      <c r="D536" s="2">
        <v>3007</v>
      </c>
      <c r="E536" s="2">
        <v>22909</v>
      </c>
      <c r="F536" s="4">
        <v>62481</v>
      </c>
    </row>
    <row r="537" spans="1:6" x14ac:dyDescent="0.3">
      <c r="A537" s="3">
        <v>2019</v>
      </c>
      <c r="B537" s="1" t="s">
        <v>55</v>
      </c>
      <c r="C537" s="1" t="s">
        <v>14</v>
      </c>
      <c r="D537" s="2">
        <v>74711</v>
      </c>
      <c r="E537" s="2">
        <v>563526</v>
      </c>
      <c r="F537" s="4">
        <v>52893</v>
      </c>
    </row>
    <row r="538" spans="1:6" x14ac:dyDescent="0.3">
      <c r="A538" s="3">
        <v>2019</v>
      </c>
      <c r="B538" s="1" t="s">
        <v>55</v>
      </c>
      <c r="C538" s="1" t="s">
        <v>15</v>
      </c>
      <c r="D538" s="2">
        <v>21408</v>
      </c>
      <c r="E538" s="2">
        <v>203951</v>
      </c>
      <c r="F538" s="4">
        <v>63683</v>
      </c>
    </row>
    <row r="539" spans="1:6" x14ac:dyDescent="0.3">
      <c r="A539" s="3">
        <v>2019</v>
      </c>
      <c r="B539" s="1" t="s">
        <v>55</v>
      </c>
      <c r="C539" s="1" t="s">
        <v>16</v>
      </c>
      <c r="D539" s="2">
        <v>8175</v>
      </c>
      <c r="E539" s="2">
        <v>50684</v>
      </c>
      <c r="F539" s="4">
        <v>46258</v>
      </c>
    </row>
    <row r="540" spans="1:6" x14ac:dyDescent="0.3">
      <c r="A540" s="3">
        <v>2019</v>
      </c>
      <c r="B540" s="1" t="s">
        <v>55</v>
      </c>
      <c r="C540" s="1" t="s">
        <v>17</v>
      </c>
      <c r="D540" s="2">
        <v>32686</v>
      </c>
      <c r="E540" s="2">
        <v>227968</v>
      </c>
      <c r="F540" s="4">
        <v>73799</v>
      </c>
    </row>
    <row r="541" spans="1:6" x14ac:dyDescent="0.3">
      <c r="A541" s="3">
        <v>2019</v>
      </c>
      <c r="B541" s="1" t="s">
        <v>55</v>
      </c>
      <c r="C541" s="1" t="s">
        <v>18</v>
      </c>
      <c r="D541" s="2">
        <v>15232</v>
      </c>
      <c r="E541" s="2">
        <v>145851</v>
      </c>
      <c r="F541" s="4">
        <v>60057</v>
      </c>
    </row>
    <row r="542" spans="1:6" x14ac:dyDescent="0.3">
      <c r="A542" s="3">
        <v>2019</v>
      </c>
      <c r="B542" s="1" t="s">
        <v>55</v>
      </c>
      <c r="C542" s="1" t="s">
        <v>19</v>
      </c>
      <c r="D542" s="2">
        <v>9462</v>
      </c>
      <c r="E542" s="2">
        <v>78134</v>
      </c>
      <c r="F542" s="4">
        <v>58962</v>
      </c>
    </row>
    <row r="543" spans="1:6" x14ac:dyDescent="0.3">
      <c r="A543" s="3">
        <v>2019</v>
      </c>
      <c r="B543" s="1" t="s">
        <v>55</v>
      </c>
      <c r="C543" s="1" t="s">
        <v>20</v>
      </c>
      <c r="D543" s="2">
        <v>7399</v>
      </c>
      <c r="E543" s="2">
        <v>63735</v>
      </c>
      <c r="F543" s="4">
        <v>57030</v>
      </c>
    </row>
    <row r="544" spans="1:6" x14ac:dyDescent="0.3">
      <c r="A544" s="3">
        <v>2019</v>
      </c>
      <c r="B544" s="1" t="s">
        <v>55</v>
      </c>
      <c r="C544" s="1" t="s">
        <v>21</v>
      </c>
      <c r="D544" s="2">
        <v>9517</v>
      </c>
      <c r="E544" s="2">
        <v>80463</v>
      </c>
      <c r="F544" s="4">
        <v>55601</v>
      </c>
    </row>
    <row r="545" spans="1:6" x14ac:dyDescent="0.3">
      <c r="A545" s="3">
        <v>2019</v>
      </c>
      <c r="B545" s="1" t="s">
        <v>55</v>
      </c>
      <c r="C545" s="1" t="s">
        <v>22</v>
      </c>
      <c r="D545" s="2">
        <v>10991</v>
      </c>
      <c r="E545" s="2">
        <v>142033</v>
      </c>
      <c r="F545" s="4">
        <v>64940</v>
      </c>
    </row>
    <row r="546" spans="1:6" x14ac:dyDescent="0.3">
      <c r="A546" s="3">
        <v>2019</v>
      </c>
      <c r="B546" s="1" t="s">
        <v>55</v>
      </c>
      <c r="C546" s="1" t="s">
        <v>23</v>
      </c>
      <c r="D546" s="2">
        <v>5605</v>
      </c>
      <c r="E546" s="2">
        <v>29987</v>
      </c>
      <c r="F546" s="4">
        <v>51654</v>
      </c>
    </row>
    <row r="547" spans="1:6" x14ac:dyDescent="0.3">
      <c r="A547" s="3">
        <v>2019</v>
      </c>
      <c r="B547" s="1" t="s">
        <v>55</v>
      </c>
      <c r="C547" s="1" t="s">
        <v>24</v>
      </c>
      <c r="D547" s="2">
        <v>16694</v>
      </c>
      <c r="E547" s="2">
        <v>166132</v>
      </c>
      <c r="F547" s="4">
        <v>67799</v>
      </c>
    </row>
    <row r="548" spans="1:6" x14ac:dyDescent="0.3">
      <c r="A548" s="3">
        <v>2019</v>
      </c>
      <c r="B548" s="1" t="s">
        <v>55</v>
      </c>
      <c r="C548" s="1" t="s">
        <v>25</v>
      </c>
      <c r="D548" s="2">
        <v>21309</v>
      </c>
      <c r="E548" s="2">
        <v>163062</v>
      </c>
      <c r="F548" s="4">
        <v>81436</v>
      </c>
    </row>
    <row r="549" spans="1:6" x14ac:dyDescent="0.3">
      <c r="A549" s="3">
        <v>2019</v>
      </c>
      <c r="B549" s="1" t="s">
        <v>55</v>
      </c>
      <c r="C549" s="1" t="s">
        <v>26</v>
      </c>
      <c r="D549" s="2">
        <v>21106</v>
      </c>
      <c r="E549" s="2">
        <v>173015</v>
      </c>
      <c r="F549" s="4">
        <v>63588</v>
      </c>
    </row>
    <row r="550" spans="1:6" x14ac:dyDescent="0.3">
      <c r="A550" s="3">
        <v>2019</v>
      </c>
      <c r="B550" s="1" t="s">
        <v>55</v>
      </c>
      <c r="C550" s="1" t="s">
        <v>27</v>
      </c>
      <c r="D550" s="2">
        <v>16700</v>
      </c>
      <c r="E550" s="2">
        <v>127092</v>
      </c>
      <c r="F550" s="4">
        <v>69734</v>
      </c>
    </row>
    <row r="551" spans="1:6" x14ac:dyDescent="0.3">
      <c r="A551" s="3">
        <v>2019</v>
      </c>
      <c r="B551" s="1" t="s">
        <v>55</v>
      </c>
      <c r="C551" s="1" t="s">
        <v>28</v>
      </c>
      <c r="D551" s="2">
        <v>5771</v>
      </c>
      <c r="E551" s="2">
        <v>44543</v>
      </c>
      <c r="F551" s="4">
        <v>50925</v>
      </c>
    </row>
    <row r="552" spans="1:6" x14ac:dyDescent="0.3">
      <c r="A552" s="3">
        <v>2019</v>
      </c>
      <c r="B552" s="1" t="s">
        <v>55</v>
      </c>
      <c r="C552" s="1" t="s">
        <v>29</v>
      </c>
      <c r="D552" s="2">
        <v>15133</v>
      </c>
      <c r="E552" s="2">
        <v>126641</v>
      </c>
      <c r="F552" s="4">
        <v>61762</v>
      </c>
    </row>
    <row r="553" spans="1:6" x14ac:dyDescent="0.3">
      <c r="A553" s="3">
        <v>2019</v>
      </c>
      <c r="B553" s="1" t="s">
        <v>55</v>
      </c>
      <c r="C553" s="1" t="s">
        <v>30</v>
      </c>
      <c r="D553" s="2">
        <v>6432</v>
      </c>
      <c r="E553" s="2">
        <v>29914</v>
      </c>
      <c r="F553" s="4">
        <v>53962</v>
      </c>
    </row>
    <row r="554" spans="1:6" x14ac:dyDescent="0.3">
      <c r="A554" s="3">
        <v>2019</v>
      </c>
      <c r="B554" s="1" t="s">
        <v>55</v>
      </c>
      <c r="C554" s="1" t="s">
        <v>31</v>
      </c>
      <c r="D554" s="2">
        <v>7038</v>
      </c>
      <c r="E554" s="2">
        <v>53732</v>
      </c>
      <c r="F554" s="4">
        <v>53794</v>
      </c>
    </row>
    <row r="555" spans="1:6" x14ac:dyDescent="0.3">
      <c r="A555" s="3">
        <v>2019</v>
      </c>
      <c r="B555" s="1" t="s">
        <v>55</v>
      </c>
      <c r="C555" s="1" t="s">
        <v>32</v>
      </c>
      <c r="D555" s="2">
        <v>5852</v>
      </c>
      <c r="E555" s="2">
        <v>95939</v>
      </c>
      <c r="F555" s="4">
        <v>64365</v>
      </c>
    </row>
    <row r="556" spans="1:6" x14ac:dyDescent="0.3">
      <c r="A556" s="3">
        <v>2019</v>
      </c>
      <c r="B556" s="1" t="s">
        <v>55</v>
      </c>
      <c r="C556" s="1" t="s">
        <v>33</v>
      </c>
      <c r="D556" s="2">
        <v>4692</v>
      </c>
      <c r="E556" s="2">
        <v>27825</v>
      </c>
      <c r="F556" s="4">
        <v>64868</v>
      </c>
    </row>
    <row r="557" spans="1:6" x14ac:dyDescent="0.3">
      <c r="A557" s="3">
        <v>2019</v>
      </c>
      <c r="B557" s="1" t="s">
        <v>55</v>
      </c>
      <c r="C557" s="1" t="s">
        <v>34</v>
      </c>
      <c r="D557" s="2">
        <v>22556</v>
      </c>
      <c r="E557" s="2">
        <v>159462</v>
      </c>
      <c r="F557" s="4">
        <v>74644</v>
      </c>
    </row>
    <row r="558" spans="1:6" x14ac:dyDescent="0.3">
      <c r="A558" s="3">
        <v>2019</v>
      </c>
      <c r="B558" s="1" t="s">
        <v>55</v>
      </c>
      <c r="C558" s="1" t="s">
        <v>35</v>
      </c>
      <c r="D558" s="2">
        <v>5571</v>
      </c>
      <c r="E558" s="2">
        <v>50153</v>
      </c>
      <c r="F558" s="4">
        <v>52091</v>
      </c>
    </row>
    <row r="559" spans="1:6" x14ac:dyDescent="0.3">
      <c r="A559" s="3">
        <v>2019</v>
      </c>
      <c r="B559" s="1" t="s">
        <v>55</v>
      </c>
      <c r="C559" s="1" t="s">
        <v>36</v>
      </c>
      <c r="D559" s="2">
        <v>50432</v>
      </c>
      <c r="E559" s="2">
        <v>405650</v>
      </c>
      <c r="F559" s="4">
        <v>75570</v>
      </c>
    </row>
    <row r="560" spans="1:6" x14ac:dyDescent="0.3">
      <c r="A560" s="3">
        <v>2019</v>
      </c>
      <c r="B560" s="1" t="s">
        <v>55</v>
      </c>
      <c r="C560" s="1" t="s">
        <v>37</v>
      </c>
      <c r="D560" s="2">
        <v>27974</v>
      </c>
      <c r="E560" s="2">
        <v>231739</v>
      </c>
      <c r="F560" s="4">
        <v>56974</v>
      </c>
    </row>
    <row r="561" spans="1:6" x14ac:dyDescent="0.3">
      <c r="A561" s="3">
        <v>2019</v>
      </c>
      <c r="B561" s="1" t="s">
        <v>55</v>
      </c>
      <c r="C561" s="1" t="s">
        <v>38</v>
      </c>
      <c r="D561" s="2">
        <v>3692</v>
      </c>
      <c r="E561" s="2">
        <v>27961</v>
      </c>
      <c r="F561" s="4">
        <v>68153</v>
      </c>
    </row>
    <row r="562" spans="1:6" x14ac:dyDescent="0.3">
      <c r="A562" s="3">
        <v>2019</v>
      </c>
      <c r="B562" s="1" t="s">
        <v>55</v>
      </c>
      <c r="C562" s="1" t="s">
        <v>39</v>
      </c>
      <c r="D562" s="2">
        <v>23405</v>
      </c>
      <c r="E562" s="2">
        <v>226563</v>
      </c>
      <c r="F562" s="4">
        <v>62383</v>
      </c>
    </row>
    <row r="563" spans="1:6" x14ac:dyDescent="0.3">
      <c r="A563" s="3">
        <v>2019</v>
      </c>
      <c r="B563" s="1" t="s">
        <v>55</v>
      </c>
      <c r="C563" s="1" t="s">
        <v>40</v>
      </c>
      <c r="D563" s="2">
        <v>9801</v>
      </c>
      <c r="E563" s="2">
        <v>82834</v>
      </c>
      <c r="F563" s="4">
        <v>54435</v>
      </c>
    </row>
    <row r="564" spans="1:6" x14ac:dyDescent="0.3">
      <c r="A564" s="3">
        <v>2019</v>
      </c>
      <c r="B564" s="1" t="s">
        <v>55</v>
      </c>
      <c r="C564" s="1" t="s">
        <v>41</v>
      </c>
      <c r="D564" s="2">
        <v>14626</v>
      </c>
      <c r="E564" s="2">
        <v>108871</v>
      </c>
      <c r="F564" s="4">
        <v>63148</v>
      </c>
    </row>
    <row r="565" spans="1:6" x14ac:dyDescent="0.3">
      <c r="A565" s="3">
        <v>2019</v>
      </c>
      <c r="B565" s="1" t="s">
        <v>55</v>
      </c>
      <c r="C565" s="1" t="s">
        <v>42</v>
      </c>
      <c r="D565" s="2">
        <v>29139</v>
      </c>
      <c r="E565" s="2">
        <v>260895</v>
      </c>
      <c r="F565" s="4">
        <v>68612</v>
      </c>
    </row>
    <row r="566" spans="1:6" x14ac:dyDescent="0.3">
      <c r="A566" s="3">
        <v>2019</v>
      </c>
      <c r="B566" s="1" t="s">
        <v>55</v>
      </c>
      <c r="C566" s="1" t="s">
        <v>43</v>
      </c>
      <c r="D566" s="2">
        <v>3833</v>
      </c>
      <c r="E566" s="2">
        <v>19980</v>
      </c>
      <c r="F566" s="4">
        <v>63414</v>
      </c>
    </row>
    <row r="567" spans="1:6" x14ac:dyDescent="0.3">
      <c r="A567" s="3">
        <v>2019</v>
      </c>
      <c r="B567" s="1" t="s">
        <v>55</v>
      </c>
      <c r="C567" s="1" t="s">
        <v>44</v>
      </c>
      <c r="D567" s="2">
        <v>12956</v>
      </c>
      <c r="E567" s="2">
        <v>107028</v>
      </c>
      <c r="F567" s="4">
        <v>55230</v>
      </c>
    </row>
    <row r="568" spans="1:6" x14ac:dyDescent="0.3">
      <c r="A568" s="3">
        <v>2019</v>
      </c>
      <c r="B568" s="1" t="s">
        <v>55</v>
      </c>
      <c r="C568" s="1" t="s">
        <v>45</v>
      </c>
      <c r="D568" s="2">
        <v>3897</v>
      </c>
      <c r="E568" s="2">
        <v>23609</v>
      </c>
      <c r="F568" s="4">
        <v>50997</v>
      </c>
    </row>
    <row r="569" spans="1:6" x14ac:dyDescent="0.3">
      <c r="A569" s="3">
        <v>2019</v>
      </c>
      <c r="B569" s="1" t="s">
        <v>55</v>
      </c>
      <c r="C569" s="1" t="s">
        <v>46</v>
      </c>
      <c r="D569" s="2">
        <v>12487</v>
      </c>
      <c r="E569" s="2">
        <v>130126</v>
      </c>
      <c r="F569" s="4">
        <v>58777</v>
      </c>
    </row>
    <row r="570" spans="1:6" x14ac:dyDescent="0.3">
      <c r="A570" s="3">
        <v>2019</v>
      </c>
      <c r="B570" s="1" t="s">
        <v>55</v>
      </c>
      <c r="C570" s="1" t="s">
        <v>47</v>
      </c>
      <c r="D570" s="2">
        <v>53248</v>
      </c>
      <c r="E570" s="2">
        <v>774190</v>
      </c>
      <c r="F570" s="4">
        <v>67564</v>
      </c>
    </row>
    <row r="571" spans="1:6" x14ac:dyDescent="0.3">
      <c r="A571" s="3">
        <v>2019</v>
      </c>
      <c r="B571" s="1" t="s">
        <v>55</v>
      </c>
      <c r="C571" s="1" t="s">
        <v>48</v>
      </c>
      <c r="D571" s="2">
        <v>12212</v>
      </c>
      <c r="E571" s="2">
        <v>109486</v>
      </c>
      <c r="F571" s="4">
        <v>53428</v>
      </c>
    </row>
    <row r="572" spans="1:6" x14ac:dyDescent="0.3">
      <c r="A572" s="3">
        <v>2019</v>
      </c>
      <c r="B572" s="1" t="s">
        <v>55</v>
      </c>
      <c r="C572" s="1" t="s">
        <v>49</v>
      </c>
      <c r="D572" s="2">
        <v>2846</v>
      </c>
      <c r="E572" s="2">
        <v>15283</v>
      </c>
      <c r="F572" s="4">
        <v>52585</v>
      </c>
    </row>
    <row r="573" spans="1:6" x14ac:dyDescent="0.3">
      <c r="A573" s="3">
        <v>2019</v>
      </c>
      <c r="B573" s="1" t="s">
        <v>55</v>
      </c>
      <c r="C573" s="1" t="s">
        <v>50</v>
      </c>
      <c r="D573" s="2">
        <v>21468</v>
      </c>
      <c r="E573" s="2">
        <v>202134</v>
      </c>
      <c r="F573" s="4">
        <v>60504</v>
      </c>
    </row>
    <row r="574" spans="1:6" x14ac:dyDescent="0.3">
      <c r="A574" s="3">
        <v>2019</v>
      </c>
      <c r="B574" s="1" t="s">
        <v>55</v>
      </c>
      <c r="C574" s="1" t="s">
        <v>51</v>
      </c>
      <c r="D574" s="2">
        <v>26472</v>
      </c>
      <c r="E574" s="2">
        <v>205717</v>
      </c>
      <c r="F574" s="4">
        <v>67833</v>
      </c>
    </row>
    <row r="575" spans="1:6" x14ac:dyDescent="0.3">
      <c r="A575" s="3">
        <v>2019</v>
      </c>
      <c r="B575" s="1" t="s">
        <v>55</v>
      </c>
      <c r="C575" s="1" t="s">
        <v>52</v>
      </c>
      <c r="D575" s="2">
        <v>4338</v>
      </c>
      <c r="E575" s="2">
        <v>35459</v>
      </c>
      <c r="F575" s="4">
        <v>64460</v>
      </c>
    </row>
    <row r="576" spans="1:6" x14ac:dyDescent="0.3">
      <c r="A576" s="3">
        <v>2019</v>
      </c>
      <c r="B576" s="1" t="s">
        <v>55</v>
      </c>
      <c r="C576" s="1" t="s">
        <v>53</v>
      </c>
      <c r="D576" s="2">
        <v>14823</v>
      </c>
      <c r="E576" s="2">
        <v>124384</v>
      </c>
      <c r="F576" s="4">
        <v>63874</v>
      </c>
    </row>
    <row r="577" spans="1:6" x14ac:dyDescent="0.3">
      <c r="A577" s="3">
        <v>2019</v>
      </c>
      <c r="B577" s="1" t="s">
        <v>55</v>
      </c>
      <c r="C577" s="1" t="s">
        <v>54</v>
      </c>
      <c r="D577" s="2">
        <v>3427</v>
      </c>
      <c r="E577" s="2">
        <v>22875</v>
      </c>
      <c r="F577" s="4">
        <v>57417</v>
      </c>
    </row>
    <row r="578" spans="1:6" x14ac:dyDescent="0.3">
      <c r="A578" s="3">
        <v>2019</v>
      </c>
      <c r="B578" s="1" t="s">
        <v>56</v>
      </c>
      <c r="C578" s="1" t="s">
        <v>7</v>
      </c>
      <c r="D578" s="2">
        <v>5677</v>
      </c>
      <c r="E578" s="2">
        <v>268948</v>
      </c>
      <c r="F578" s="4">
        <v>58532</v>
      </c>
    </row>
    <row r="579" spans="1:6" x14ac:dyDescent="0.3">
      <c r="A579" s="3">
        <v>2019</v>
      </c>
      <c r="B579" s="1" t="s">
        <v>56</v>
      </c>
      <c r="C579" s="1" t="s">
        <v>8</v>
      </c>
      <c r="D579" s="2">
        <v>5157</v>
      </c>
      <c r="E579" s="2">
        <v>177610</v>
      </c>
      <c r="F579" s="4">
        <v>78966</v>
      </c>
    </row>
    <row r="580" spans="1:6" x14ac:dyDescent="0.3">
      <c r="A580" s="3">
        <v>2019</v>
      </c>
      <c r="B580" s="1" t="s">
        <v>56</v>
      </c>
      <c r="C580" s="1" t="s">
        <v>9</v>
      </c>
      <c r="D580" s="2">
        <v>2930</v>
      </c>
      <c r="E580" s="2">
        <v>162214</v>
      </c>
      <c r="F580" s="4">
        <v>49202</v>
      </c>
    </row>
    <row r="581" spans="1:6" x14ac:dyDescent="0.3">
      <c r="A581" s="3">
        <v>2019</v>
      </c>
      <c r="B581" s="1" t="s">
        <v>56</v>
      </c>
      <c r="C581" s="1" t="s">
        <v>10</v>
      </c>
      <c r="D581" s="2">
        <v>44539</v>
      </c>
      <c r="E581" s="2">
        <v>1322455</v>
      </c>
      <c r="F581" s="4">
        <v>98222</v>
      </c>
    </row>
    <row r="582" spans="1:6" x14ac:dyDescent="0.3">
      <c r="A582" s="3">
        <v>2019</v>
      </c>
      <c r="B582" s="1" t="s">
        <v>56</v>
      </c>
      <c r="C582" s="1" t="s">
        <v>11</v>
      </c>
      <c r="D582" s="2">
        <v>5849</v>
      </c>
      <c r="E582" s="2">
        <v>150109</v>
      </c>
      <c r="F582" s="4">
        <v>73935</v>
      </c>
    </row>
    <row r="583" spans="1:6" x14ac:dyDescent="0.3">
      <c r="A583" s="3">
        <v>2019</v>
      </c>
      <c r="B583" s="1" t="s">
        <v>56</v>
      </c>
      <c r="C583" s="1" t="s">
        <v>12</v>
      </c>
      <c r="D583" s="2">
        <v>4405</v>
      </c>
      <c r="E583" s="2">
        <v>161899</v>
      </c>
      <c r="F583" s="4">
        <v>85024</v>
      </c>
    </row>
    <row r="584" spans="1:6" x14ac:dyDescent="0.3">
      <c r="A584" s="3">
        <v>2019</v>
      </c>
      <c r="B584" s="1" t="s">
        <v>56</v>
      </c>
      <c r="C584" s="1" t="s">
        <v>13</v>
      </c>
      <c r="D584" s="1">
        <v>663</v>
      </c>
      <c r="E584" s="2">
        <v>27298</v>
      </c>
      <c r="F584" s="4">
        <v>66194</v>
      </c>
    </row>
    <row r="585" spans="1:6" x14ac:dyDescent="0.3">
      <c r="A585" s="3">
        <v>2019</v>
      </c>
      <c r="B585" s="1" t="s">
        <v>56</v>
      </c>
      <c r="C585" s="1" t="s">
        <v>14</v>
      </c>
      <c r="D585" s="2">
        <v>20799</v>
      </c>
      <c r="E585" s="2">
        <v>383956</v>
      </c>
      <c r="F585" s="4">
        <v>63877</v>
      </c>
    </row>
    <row r="586" spans="1:6" x14ac:dyDescent="0.3">
      <c r="A586" s="3">
        <v>2019</v>
      </c>
      <c r="B586" s="1" t="s">
        <v>56</v>
      </c>
      <c r="C586" s="1" t="s">
        <v>15</v>
      </c>
      <c r="D586" s="2">
        <v>10066</v>
      </c>
      <c r="E586" s="2">
        <v>404085</v>
      </c>
      <c r="F586" s="4">
        <v>58246</v>
      </c>
    </row>
    <row r="587" spans="1:6" x14ac:dyDescent="0.3">
      <c r="A587" s="3">
        <v>2019</v>
      </c>
      <c r="B587" s="1" t="s">
        <v>56</v>
      </c>
      <c r="C587" s="1" t="s">
        <v>16</v>
      </c>
      <c r="D587" s="2">
        <v>2680</v>
      </c>
      <c r="E587" s="2">
        <v>68404</v>
      </c>
      <c r="F587" s="4">
        <v>62480</v>
      </c>
    </row>
    <row r="588" spans="1:6" x14ac:dyDescent="0.3">
      <c r="A588" s="3">
        <v>2019</v>
      </c>
      <c r="B588" s="1" t="s">
        <v>56</v>
      </c>
      <c r="C588" s="1" t="s">
        <v>17</v>
      </c>
      <c r="D588" s="2">
        <v>18066</v>
      </c>
      <c r="E588" s="2">
        <v>585894</v>
      </c>
      <c r="F588" s="4">
        <v>72819</v>
      </c>
    </row>
    <row r="589" spans="1:6" x14ac:dyDescent="0.3">
      <c r="A589" s="3">
        <v>2019</v>
      </c>
      <c r="B589" s="1" t="s">
        <v>56</v>
      </c>
      <c r="C589" s="1" t="s">
        <v>18</v>
      </c>
      <c r="D589" s="2">
        <v>9083</v>
      </c>
      <c r="E589" s="2">
        <v>541099</v>
      </c>
      <c r="F589" s="4">
        <v>63320</v>
      </c>
    </row>
    <row r="590" spans="1:6" x14ac:dyDescent="0.3">
      <c r="A590" s="3">
        <v>2019</v>
      </c>
      <c r="B590" s="1" t="s">
        <v>56</v>
      </c>
      <c r="C590" s="1" t="s">
        <v>19</v>
      </c>
      <c r="D590" s="2">
        <v>4132</v>
      </c>
      <c r="E590" s="2">
        <v>226152</v>
      </c>
      <c r="F590" s="4">
        <v>60185</v>
      </c>
    </row>
    <row r="591" spans="1:6" x14ac:dyDescent="0.3">
      <c r="A591" s="3">
        <v>2019</v>
      </c>
      <c r="B591" s="1" t="s">
        <v>56</v>
      </c>
      <c r="C591" s="1" t="s">
        <v>20</v>
      </c>
      <c r="D591" s="2">
        <v>3105</v>
      </c>
      <c r="E591" s="2">
        <v>167196</v>
      </c>
      <c r="F591" s="4">
        <v>59652</v>
      </c>
    </row>
    <row r="592" spans="1:6" x14ac:dyDescent="0.3">
      <c r="A592" s="3">
        <v>2019</v>
      </c>
      <c r="B592" s="1" t="s">
        <v>56</v>
      </c>
      <c r="C592" s="1" t="s">
        <v>21</v>
      </c>
      <c r="D592" s="2">
        <v>4583</v>
      </c>
      <c r="E592" s="2">
        <v>252626</v>
      </c>
      <c r="F592" s="4">
        <v>61167</v>
      </c>
    </row>
    <row r="593" spans="1:6" x14ac:dyDescent="0.3">
      <c r="A593" s="3">
        <v>2019</v>
      </c>
      <c r="B593" s="1" t="s">
        <v>56</v>
      </c>
      <c r="C593" s="1" t="s">
        <v>22</v>
      </c>
      <c r="D593" s="2">
        <v>4453</v>
      </c>
      <c r="E593" s="2">
        <v>137729</v>
      </c>
      <c r="F593" s="4">
        <v>77600</v>
      </c>
    </row>
    <row r="594" spans="1:6" x14ac:dyDescent="0.3">
      <c r="A594" s="3">
        <v>2019</v>
      </c>
      <c r="B594" s="1" t="s">
        <v>56</v>
      </c>
      <c r="C594" s="1" t="s">
        <v>23</v>
      </c>
      <c r="D594" s="2">
        <v>1870</v>
      </c>
      <c r="E594" s="2">
        <v>53047</v>
      </c>
      <c r="F594" s="4">
        <v>57227</v>
      </c>
    </row>
    <row r="595" spans="1:6" x14ac:dyDescent="0.3">
      <c r="A595" s="3">
        <v>2019</v>
      </c>
      <c r="B595" s="1" t="s">
        <v>56</v>
      </c>
      <c r="C595" s="1" t="s">
        <v>24</v>
      </c>
      <c r="D595" s="2">
        <v>4145</v>
      </c>
      <c r="E595" s="2">
        <v>112273</v>
      </c>
      <c r="F595" s="4">
        <v>79016</v>
      </c>
    </row>
    <row r="596" spans="1:6" x14ac:dyDescent="0.3">
      <c r="A596" s="3">
        <v>2019</v>
      </c>
      <c r="B596" s="1" t="s">
        <v>56</v>
      </c>
      <c r="C596" s="1" t="s">
        <v>25</v>
      </c>
      <c r="D596" s="2">
        <v>6682</v>
      </c>
      <c r="E596" s="2">
        <v>244258</v>
      </c>
      <c r="F596" s="4">
        <v>89698</v>
      </c>
    </row>
    <row r="597" spans="1:6" x14ac:dyDescent="0.3">
      <c r="A597" s="3">
        <v>2019</v>
      </c>
      <c r="B597" s="1" t="s">
        <v>56</v>
      </c>
      <c r="C597" s="1" t="s">
        <v>26</v>
      </c>
      <c r="D597" s="2">
        <v>16948</v>
      </c>
      <c r="E597" s="2">
        <v>625676</v>
      </c>
      <c r="F597" s="4">
        <v>68465</v>
      </c>
    </row>
    <row r="598" spans="1:6" x14ac:dyDescent="0.3">
      <c r="A598" s="3">
        <v>2019</v>
      </c>
      <c r="B598" s="1" t="s">
        <v>56</v>
      </c>
      <c r="C598" s="1" t="s">
        <v>27</v>
      </c>
      <c r="D598" s="2">
        <v>8265</v>
      </c>
      <c r="E598" s="2">
        <v>324018</v>
      </c>
      <c r="F598" s="4">
        <v>68082</v>
      </c>
    </row>
    <row r="599" spans="1:6" x14ac:dyDescent="0.3">
      <c r="A599" s="3">
        <v>2019</v>
      </c>
      <c r="B599" s="1" t="s">
        <v>56</v>
      </c>
      <c r="C599" s="1" t="s">
        <v>28</v>
      </c>
      <c r="D599" s="2">
        <v>2396</v>
      </c>
      <c r="E599" s="2">
        <v>146775</v>
      </c>
      <c r="F599" s="4">
        <v>50065</v>
      </c>
    </row>
    <row r="600" spans="1:6" x14ac:dyDescent="0.3">
      <c r="A600" s="3">
        <v>2019</v>
      </c>
      <c r="B600" s="1" t="s">
        <v>56</v>
      </c>
      <c r="C600" s="1" t="s">
        <v>29</v>
      </c>
      <c r="D600" s="2">
        <v>6681</v>
      </c>
      <c r="E600" s="2">
        <v>277104</v>
      </c>
      <c r="F600" s="4">
        <v>59758</v>
      </c>
    </row>
    <row r="601" spans="1:6" x14ac:dyDescent="0.3">
      <c r="A601" s="3">
        <v>2019</v>
      </c>
      <c r="B601" s="1" t="s">
        <v>56</v>
      </c>
      <c r="C601" s="1" t="s">
        <v>30</v>
      </c>
      <c r="D601" s="2">
        <v>1625</v>
      </c>
      <c r="E601" s="2">
        <v>20972</v>
      </c>
      <c r="F601" s="4">
        <v>51666</v>
      </c>
    </row>
    <row r="602" spans="1:6" x14ac:dyDescent="0.3">
      <c r="A602" s="3">
        <v>2019</v>
      </c>
      <c r="B602" s="1" t="s">
        <v>56</v>
      </c>
      <c r="C602" s="1" t="s">
        <v>31</v>
      </c>
      <c r="D602" s="2">
        <v>1974</v>
      </c>
      <c r="E602" s="2">
        <v>99914</v>
      </c>
      <c r="F602" s="4">
        <v>52716</v>
      </c>
    </row>
    <row r="603" spans="1:6" x14ac:dyDescent="0.3">
      <c r="A603" s="3">
        <v>2019</v>
      </c>
      <c r="B603" s="1" t="s">
        <v>56</v>
      </c>
      <c r="C603" s="1" t="s">
        <v>32</v>
      </c>
      <c r="D603" s="2">
        <v>2069</v>
      </c>
      <c r="E603" s="2">
        <v>59279</v>
      </c>
      <c r="F603" s="4">
        <v>59498</v>
      </c>
    </row>
    <row r="604" spans="1:6" x14ac:dyDescent="0.3">
      <c r="A604" s="3">
        <v>2019</v>
      </c>
      <c r="B604" s="1" t="s">
        <v>56</v>
      </c>
      <c r="C604" s="1" t="s">
        <v>33</v>
      </c>
      <c r="D604" s="2">
        <v>2012</v>
      </c>
      <c r="E604" s="2">
        <v>71459</v>
      </c>
      <c r="F604" s="4">
        <v>73007</v>
      </c>
    </row>
    <row r="605" spans="1:6" x14ac:dyDescent="0.3">
      <c r="A605" s="3">
        <v>2019</v>
      </c>
      <c r="B605" s="1" t="s">
        <v>56</v>
      </c>
      <c r="C605" s="1" t="s">
        <v>34</v>
      </c>
      <c r="D605" s="2">
        <v>8994</v>
      </c>
      <c r="E605" s="2">
        <v>249464</v>
      </c>
      <c r="F605" s="4">
        <v>81649</v>
      </c>
    </row>
    <row r="606" spans="1:6" x14ac:dyDescent="0.3">
      <c r="A606" s="3">
        <v>2019</v>
      </c>
      <c r="B606" s="1" t="s">
        <v>56</v>
      </c>
      <c r="C606" s="1" t="s">
        <v>35</v>
      </c>
      <c r="D606" s="2">
        <v>1810</v>
      </c>
      <c r="E606" s="2">
        <v>28514</v>
      </c>
      <c r="F606" s="4">
        <v>55737</v>
      </c>
    </row>
    <row r="607" spans="1:6" x14ac:dyDescent="0.3">
      <c r="A607" s="3">
        <v>2019</v>
      </c>
      <c r="B607" s="1" t="s">
        <v>56</v>
      </c>
      <c r="C607" s="1" t="s">
        <v>36</v>
      </c>
      <c r="D607" s="2">
        <v>16457</v>
      </c>
      <c r="E607" s="2">
        <v>437040</v>
      </c>
      <c r="F607" s="4">
        <v>69154</v>
      </c>
    </row>
    <row r="608" spans="1:6" x14ac:dyDescent="0.3">
      <c r="A608" s="3">
        <v>2019</v>
      </c>
      <c r="B608" s="1" t="s">
        <v>56</v>
      </c>
      <c r="C608" s="1" t="s">
        <v>37</v>
      </c>
      <c r="D608" s="2">
        <v>10247</v>
      </c>
      <c r="E608" s="2">
        <v>477086</v>
      </c>
      <c r="F608" s="4">
        <v>61095</v>
      </c>
    </row>
    <row r="609" spans="1:6" x14ac:dyDescent="0.3">
      <c r="A609" s="3">
        <v>2019</v>
      </c>
      <c r="B609" s="1" t="s">
        <v>56</v>
      </c>
      <c r="C609" s="1" t="s">
        <v>38</v>
      </c>
      <c r="D609" s="1">
        <v>808</v>
      </c>
      <c r="E609" s="2">
        <v>26471</v>
      </c>
      <c r="F609" s="4">
        <v>55179</v>
      </c>
    </row>
    <row r="610" spans="1:6" x14ac:dyDescent="0.3">
      <c r="A610" s="3">
        <v>2019</v>
      </c>
      <c r="B610" s="1" t="s">
        <v>56</v>
      </c>
      <c r="C610" s="1" t="s">
        <v>39</v>
      </c>
      <c r="D610" s="2">
        <v>15486</v>
      </c>
      <c r="E610" s="2">
        <v>700786</v>
      </c>
      <c r="F610" s="4">
        <v>62878</v>
      </c>
    </row>
    <row r="611" spans="1:6" x14ac:dyDescent="0.3">
      <c r="A611" s="3">
        <v>2019</v>
      </c>
      <c r="B611" s="1" t="s">
        <v>56</v>
      </c>
      <c r="C611" s="1" t="s">
        <v>40</v>
      </c>
      <c r="D611" s="2">
        <v>4213</v>
      </c>
      <c r="E611" s="2">
        <v>140812</v>
      </c>
      <c r="F611" s="4">
        <v>59951</v>
      </c>
    </row>
    <row r="612" spans="1:6" x14ac:dyDescent="0.3">
      <c r="A612" s="3">
        <v>2019</v>
      </c>
      <c r="B612" s="1" t="s">
        <v>56</v>
      </c>
      <c r="C612" s="1" t="s">
        <v>41</v>
      </c>
      <c r="D612" s="2">
        <v>6396</v>
      </c>
      <c r="E612" s="2">
        <v>197626</v>
      </c>
      <c r="F612" s="4">
        <v>71436</v>
      </c>
    </row>
    <row r="613" spans="1:6" x14ac:dyDescent="0.3">
      <c r="A613" s="3">
        <v>2019</v>
      </c>
      <c r="B613" s="1" t="s">
        <v>56</v>
      </c>
      <c r="C613" s="1" t="s">
        <v>42</v>
      </c>
      <c r="D613" s="2">
        <v>14432</v>
      </c>
      <c r="E613" s="2">
        <v>574751</v>
      </c>
      <c r="F613" s="4">
        <v>64231</v>
      </c>
    </row>
    <row r="614" spans="1:6" x14ac:dyDescent="0.3">
      <c r="A614" s="3">
        <v>2019</v>
      </c>
      <c r="B614" s="1" t="s">
        <v>56</v>
      </c>
      <c r="C614" s="1" t="s">
        <v>43</v>
      </c>
      <c r="D614" s="2">
        <v>1636</v>
      </c>
      <c r="E614" s="2">
        <v>39736</v>
      </c>
      <c r="F614" s="4">
        <v>60286</v>
      </c>
    </row>
    <row r="615" spans="1:6" x14ac:dyDescent="0.3">
      <c r="A615" s="3">
        <v>2019</v>
      </c>
      <c r="B615" s="1" t="s">
        <v>56</v>
      </c>
      <c r="C615" s="1" t="s">
        <v>44</v>
      </c>
      <c r="D615" s="2">
        <v>6414</v>
      </c>
      <c r="E615" s="2">
        <v>258252</v>
      </c>
      <c r="F615" s="4">
        <v>60850</v>
      </c>
    </row>
    <row r="616" spans="1:6" x14ac:dyDescent="0.3">
      <c r="A616" s="3">
        <v>2019</v>
      </c>
      <c r="B616" s="1" t="s">
        <v>56</v>
      </c>
      <c r="C616" s="1" t="s">
        <v>45</v>
      </c>
      <c r="D616" s="2">
        <v>1067</v>
      </c>
      <c r="E616" s="2">
        <v>44972</v>
      </c>
      <c r="F616" s="4">
        <v>50219</v>
      </c>
    </row>
    <row r="617" spans="1:6" x14ac:dyDescent="0.3">
      <c r="A617" s="3">
        <v>2019</v>
      </c>
      <c r="B617" s="1" t="s">
        <v>56</v>
      </c>
      <c r="C617" s="1" t="s">
        <v>46</v>
      </c>
      <c r="D617" s="2">
        <v>7272</v>
      </c>
      <c r="E617" s="2">
        <v>354961</v>
      </c>
      <c r="F617" s="4">
        <v>60305</v>
      </c>
    </row>
    <row r="618" spans="1:6" x14ac:dyDescent="0.3">
      <c r="A618" s="3">
        <v>2019</v>
      </c>
      <c r="B618" s="1" t="s">
        <v>56</v>
      </c>
      <c r="C618" s="1" t="s">
        <v>47</v>
      </c>
      <c r="D618" s="2">
        <v>25577</v>
      </c>
      <c r="E618" s="2">
        <v>905953</v>
      </c>
      <c r="F618" s="4">
        <v>79766</v>
      </c>
    </row>
    <row r="619" spans="1:6" x14ac:dyDescent="0.3">
      <c r="A619" s="3">
        <v>2019</v>
      </c>
      <c r="B619" s="1" t="s">
        <v>56</v>
      </c>
      <c r="C619" s="1" t="s">
        <v>48</v>
      </c>
      <c r="D619" s="2">
        <v>4547</v>
      </c>
      <c r="E619" s="2">
        <v>136085</v>
      </c>
      <c r="F619" s="4">
        <v>59426</v>
      </c>
    </row>
    <row r="620" spans="1:6" x14ac:dyDescent="0.3">
      <c r="A620" s="3">
        <v>2019</v>
      </c>
      <c r="B620" s="1" t="s">
        <v>56</v>
      </c>
      <c r="C620" s="1" t="s">
        <v>49</v>
      </c>
      <c r="D620" s="2">
        <v>1108</v>
      </c>
      <c r="E620" s="2">
        <v>30091</v>
      </c>
      <c r="F620" s="4">
        <v>60807</v>
      </c>
    </row>
    <row r="621" spans="1:6" x14ac:dyDescent="0.3">
      <c r="A621" s="3">
        <v>2019</v>
      </c>
      <c r="B621" s="1" t="s">
        <v>56</v>
      </c>
      <c r="C621" s="1" t="s">
        <v>50</v>
      </c>
      <c r="D621" s="2">
        <v>6864</v>
      </c>
      <c r="E621" s="2">
        <v>242160</v>
      </c>
      <c r="F621" s="4">
        <v>61341</v>
      </c>
    </row>
    <row r="622" spans="1:6" x14ac:dyDescent="0.3">
      <c r="A622" s="3">
        <v>2019</v>
      </c>
      <c r="B622" s="1" t="s">
        <v>56</v>
      </c>
      <c r="C622" s="1" t="s">
        <v>51</v>
      </c>
      <c r="D622" s="2">
        <v>7824</v>
      </c>
      <c r="E622" s="2">
        <v>290326</v>
      </c>
      <c r="F622" s="4">
        <v>81228</v>
      </c>
    </row>
    <row r="623" spans="1:6" x14ac:dyDescent="0.3">
      <c r="A623" s="3">
        <v>2019</v>
      </c>
      <c r="B623" s="1" t="s">
        <v>56</v>
      </c>
      <c r="C623" s="1" t="s">
        <v>52</v>
      </c>
      <c r="D623" s="2">
        <v>1251</v>
      </c>
      <c r="E623" s="2">
        <v>46979</v>
      </c>
      <c r="F623" s="4">
        <v>61074</v>
      </c>
    </row>
    <row r="624" spans="1:6" x14ac:dyDescent="0.3">
      <c r="A624" s="3">
        <v>2019</v>
      </c>
      <c r="B624" s="1" t="s">
        <v>56</v>
      </c>
      <c r="C624" s="1" t="s">
        <v>53</v>
      </c>
      <c r="D624" s="2">
        <v>9333</v>
      </c>
      <c r="E624" s="2">
        <v>483196</v>
      </c>
      <c r="F624" s="4">
        <v>59083</v>
      </c>
    </row>
    <row r="625" spans="1:6" x14ac:dyDescent="0.3">
      <c r="A625" s="3">
        <v>2019</v>
      </c>
      <c r="B625" s="1" t="s">
        <v>56</v>
      </c>
      <c r="C625" s="1" t="s">
        <v>54</v>
      </c>
      <c r="D625" s="1">
        <v>615</v>
      </c>
      <c r="E625" s="2">
        <v>10043</v>
      </c>
      <c r="F625" s="4">
        <v>68738</v>
      </c>
    </row>
    <row r="626" spans="1:6" x14ac:dyDescent="0.3">
      <c r="A626" s="3">
        <v>2019</v>
      </c>
      <c r="B626" s="1" t="s">
        <v>57</v>
      </c>
      <c r="C626" s="1" t="s">
        <v>7</v>
      </c>
      <c r="D626" s="2">
        <v>32423</v>
      </c>
      <c r="E626" s="2">
        <v>380193</v>
      </c>
      <c r="F626" s="4">
        <v>43426</v>
      </c>
    </row>
    <row r="627" spans="1:6" x14ac:dyDescent="0.3">
      <c r="A627" s="3">
        <v>2019</v>
      </c>
      <c r="B627" s="1" t="s">
        <v>57</v>
      </c>
      <c r="C627" s="1" t="s">
        <v>8</v>
      </c>
      <c r="D627" s="2">
        <v>33190</v>
      </c>
      <c r="E627" s="2">
        <v>541793</v>
      </c>
      <c r="F627" s="4">
        <v>48023</v>
      </c>
    </row>
    <row r="628" spans="1:6" x14ac:dyDescent="0.3">
      <c r="A628" s="3">
        <v>2019</v>
      </c>
      <c r="B628" s="1" t="s">
        <v>57</v>
      </c>
      <c r="C628" s="1" t="s">
        <v>9</v>
      </c>
      <c r="D628" s="2">
        <v>21821</v>
      </c>
      <c r="E628" s="2">
        <v>248631</v>
      </c>
      <c r="F628" s="4">
        <v>42897</v>
      </c>
    </row>
    <row r="629" spans="1:6" x14ac:dyDescent="0.3">
      <c r="A629" s="3">
        <v>2019</v>
      </c>
      <c r="B629" s="1" t="s">
        <v>57</v>
      </c>
      <c r="C629" s="1" t="s">
        <v>10</v>
      </c>
      <c r="D629" s="2">
        <v>198955</v>
      </c>
      <c r="E629" s="2">
        <v>3042089</v>
      </c>
      <c r="F629" s="4">
        <v>54908</v>
      </c>
    </row>
    <row r="630" spans="1:6" x14ac:dyDescent="0.3">
      <c r="A630" s="3">
        <v>2019</v>
      </c>
      <c r="B630" s="1" t="s">
        <v>57</v>
      </c>
      <c r="C630" s="1" t="s">
        <v>11</v>
      </c>
      <c r="D630" s="2">
        <v>36041</v>
      </c>
      <c r="E630" s="2">
        <v>474011</v>
      </c>
      <c r="F630" s="4">
        <v>52675</v>
      </c>
    </row>
    <row r="631" spans="1:6" x14ac:dyDescent="0.3">
      <c r="A631" s="3">
        <v>2019</v>
      </c>
      <c r="B631" s="1" t="s">
        <v>57</v>
      </c>
      <c r="C631" s="1" t="s">
        <v>12</v>
      </c>
      <c r="D631" s="2">
        <v>24868</v>
      </c>
      <c r="E631" s="2">
        <v>291966</v>
      </c>
      <c r="F631" s="4">
        <v>52540</v>
      </c>
    </row>
    <row r="632" spans="1:6" x14ac:dyDescent="0.3">
      <c r="A632" s="3">
        <v>2019</v>
      </c>
      <c r="B632" s="1" t="s">
        <v>57</v>
      </c>
      <c r="C632" s="1" t="s">
        <v>13</v>
      </c>
      <c r="D632" s="2">
        <v>7005</v>
      </c>
      <c r="E632" s="2">
        <v>79487</v>
      </c>
      <c r="F632" s="4">
        <v>42440</v>
      </c>
    </row>
    <row r="633" spans="1:6" x14ac:dyDescent="0.3">
      <c r="A633" s="3">
        <v>2019</v>
      </c>
      <c r="B633" s="1" t="s">
        <v>57</v>
      </c>
      <c r="C633" s="1" t="s">
        <v>14</v>
      </c>
      <c r="D633" s="2">
        <v>140278</v>
      </c>
      <c r="E633" s="2">
        <v>1799930</v>
      </c>
      <c r="F633" s="4">
        <v>46232</v>
      </c>
    </row>
    <row r="634" spans="1:6" x14ac:dyDescent="0.3">
      <c r="A634" s="3">
        <v>2019</v>
      </c>
      <c r="B634" s="1" t="s">
        <v>57</v>
      </c>
      <c r="C634" s="1" t="s">
        <v>15</v>
      </c>
      <c r="D634" s="2">
        <v>61774</v>
      </c>
      <c r="E634" s="2">
        <v>938063</v>
      </c>
      <c r="F634" s="4">
        <v>49817</v>
      </c>
    </row>
    <row r="635" spans="1:6" x14ac:dyDescent="0.3">
      <c r="A635" s="3">
        <v>2019</v>
      </c>
      <c r="B635" s="1" t="s">
        <v>57</v>
      </c>
      <c r="C635" s="1" t="s">
        <v>16</v>
      </c>
      <c r="D635" s="2">
        <v>11892</v>
      </c>
      <c r="E635" s="2">
        <v>142186</v>
      </c>
      <c r="F635" s="4">
        <v>41533</v>
      </c>
    </row>
    <row r="636" spans="1:6" x14ac:dyDescent="0.3">
      <c r="A636" s="3">
        <v>2019</v>
      </c>
      <c r="B636" s="1" t="s">
        <v>57</v>
      </c>
      <c r="C636" s="1" t="s">
        <v>17</v>
      </c>
      <c r="D636" s="2">
        <v>78822</v>
      </c>
      <c r="E636" s="2">
        <v>1187941</v>
      </c>
      <c r="F636" s="4">
        <v>53573</v>
      </c>
    </row>
    <row r="637" spans="1:6" x14ac:dyDescent="0.3">
      <c r="A637" s="3">
        <v>2019</v>
      </c>
      <c r="B637" s="1" t="s">
        <v>57</v>
      </c>
      <c r="C637" s="1" t="s">
        <v>18</v>
      </c>
      <c r="D637" s="2">
        <v>40283</v>
      </c>
      <c r="E637" s="2">
        <v>594348</v>
      </c>
      <c r="F637" s="4">
        <v>43345</v>
      </c>
    </row>
    <row r="638" spans="1:6" x14ac:dyDescent="0.3">
      <c r="A638" s="3">
        <v>2019</v>
      </c>
      <c r="B638" s="1" t="s">
        <v>57</v>
      </c>
      <c r="C638" s="1" t="s">
        <v>19</v>
      </c>
      <c r="D638" s="2">
        <v>23557</v>
      </c>
      <c r="E638" s="2">
        <v>307822</v>
      </c>
      <c r="F638" s="4">
        <v>41407</v>
      </c>
    </row>
    <row r="639" spans="1:6" x14ac:dyDescent="0.3">
      <c r="A639" s="3">
        <v>2019</v>
      </c>
      <c r="B639" s="1" t="s">
        <v>57</v>
      </c>
      <c r="C639" s="1" t="s">
        <v>20</v>
      </c>
      <c r="D639" s="2">
        <v>19844</v>
      </c>
      <c r="E639" s="2">
        <v>262383</v>
      </c>
      <c r="F639" s="4">
        <v>43539</v>
      </c>
    </row>
    <row r="640" spans="1:6" x14ac:dyDescent="0.3">
      <c r="A640" s="3">
        <v>2019</v>
      </c>
      <c r="B640" s="1" t="s">
        <v>57</v>
      </c>
      <c r="C640" s="1" t="s">
        <v>21</v>
      </c>
      <c r="D640" s="2">
        <v>27892</v>
      </c>
      <c r="E640" s="2">
        <v>401804</v>
      </c>
      <c r="F640" s="4">
        <v>44163</v>
      </c>
    </row>
    <row r="641" spans="1:6" x14ac:dyDescent="0.3">
      <c r="A641" s="3">
        <v>2019</v>
      </c>
      <c r="B641" s="1" t="s">
        <v>57</v>
      </c>
      <c r="C641" s="1" t="s">
        <v>22</v>
      </c>
      <c r="D641" s="2">
        <v>30876</v>
      </c>
      <c r="E641" s="2">
        <v>376026</v>
      </c>
      <c r="F641" s="4">
        <v>43579</v>
      </c>
    </row>
    <row r="642" spans="1:6" x14ac:dyDescent="0.3">
      <c r="A642" s="3">
        <v>2019</v>
      </c>
      <c r="B642" s="1" t="s">
        <v>57</v>
      </c>
      <c r="C642" s="1" t="s">
        <v>23</v>
      </c>
      <c r="D642" s="2">
        <v>10676</v>
      </c>
      <c r="E642" s="2">
        <v>117746</v>
      </c>
      <c r="F642" s="4">
        <v>39115</v>
      </c>
    </row>
    <row r="643" spans="1:6" x14ac:dyDescent="0.3">
      <c r="A643" s="3">
        <v>2019</v>
      </c>
      <c r="B643" s="1" t="s">
        <v>57</v>
      </c>
      <c r="C643" s="1" t="s">
        <v>24</v>
      </c>
      <c r="D643" s="2">
        <v>32640</v>
      </c>
      <c r="E643" s="2">
        <v>463647</v>
      </c>
      <c r="F643" s="4">
        <v>47503</v>
      </c>
    </row>
    <row r="644" spans="1:6" x14ac:dyDescent="0.3">
      <c r="A644" s="3">
        <v>2019</v>
      </c>
      <c r="B644" s="1" t="s">
        <v>57</v>
      </c>
      <c r="C644" s="1" t="s">
        <v>25</v>
      </c>
      <c r="D644" s="2">
        <v>41620</v>
      </c>
      <c r="E644" s="2">
        <v>577282</v>
      </c>
      <c r="F644" s="4">
        <v>55423</v>
      </c>
    </row>
    <row r="645" spans="1:6" x14ac:dyDescent="0.3">
      <c r="A645" s="3">
        <v>2019</v>
      </c>
      <c r="B645" s="1" t="s">
        <v>57</v>
      </c>
      <c r="C645" s="1" t="s">
        <v>26</v>
      </c>
      <c r="D645" s="2">
        <v>55150</v>
      </c>
      <c r="E645" s="2">
        <v>791177</v>
      </c>
      <c r="F645" s="4">
        <v>48357</v>
      </c>
    </row>
    <row r="646" spans="1:6" x14ac:dyDescent="0.3">
      <c r="A646" s="3">
        <v>2019</v>
      </c>
      <c r="B646" s="1" t="s">
        <v>57</v>
      </c>
      <c r="C646" s="1" t="s">
        <v>27</v>
      </c>
      <c r="D646" s="2">
        <v>37323</v>
      </c>
      <c r="E646" s="2">
        <v>525857</v>
      </c>
      <c r="F646" s="4">
        <v>50523</v>
      </c>
    </row>
    <row r="647" spans="1:6" x14ac:dyDescent="0.3">
      <c r="A647" s="3">
        <v>2019</v>
      </c>
      <c r="B647" s="1" t="s">
        <v>57</v>
      </c>
      <c r="C647" s="1" t="s">
        <v>28</v>
      </c>
      <c r="D647" s="2">
        <v>19568</v>
      </c>
      <c r="E647" s="2">
        <v>229039</v>
      </c>
      <c r="F647" s="4">
        <v>37621</v>
      </c>
    </row>
    <row r="648" spans="1:6" x14ac:dyDescent="0.3">
      <c r="A648" s="3">
        <v>2019</v>
      </c>
      <c r="B648" s="1" t="s">
        <v>57</v>
      </c>
      <c r="C648" s="1" t="s">
        <v>29</v>
      </c>
      <c r="D648" s="2">
        <v>39400</v>
      </c>
      <c r="E648" s="2">
        <v>536753</v>
      </c>
      <c r="F648" s="4">
        <v>43646</v>
      </c>
    </row>
    <row r="649" spans="1:6" x14ac:dyDescent="0.3">
      <c r="A649" s="3">
        <v>2019</v>
      </c>
      <c r="B649" s="1" t="s">
        <v>57</v>
      </c>
      <c r="C649" s="1" t="s">
        <v>30</v>
      </c>
      <c r="D649" s="2">
        <v>9112</v>
      </c>
      <c r="E649" s="2">
        <v>90946</v>
      </c>
      <c r="F649" s="4">
        <v>40937</v>
      </c>
    </row>
    <row r="650" spans="1:6" x14ac:dyDescent="0.3">
      <c r="A650" s="3">
        <v>2019</v>
      </c>
      <c r="B650" s="1" t="s">
        <v>57</v>
      </c>
      <c r="C650" s="1" t="s">
        <v>31</v>
      </c>
      <c r="D650" s="2">
        <v>14969</v>
      </c>
      <c r="E650" s="2">
        <v>188094</v>
      </c>
      <c r="F650" s="4">
        <v>41557</v>
      </c>
    </row>
    <row r="651" spans="1:6" x14ac:dyDescent="0.3">
      <c r="A651" s="3">
        <v>2019</v>
      </c>
      <c r="B651" s="1" t="s">
        <v>57</v>
      </c>
      <c r="C651" s="1" t="s">
        <v>32</v>
      </c>
      <c r="D651" s="2">
        <v>15866</v>
      </c>
      <c r="E651" s="2">
        <v>261018</v>
      </c>
      <c r="F651" s="4">
        <v>45452</v>
      </c>
    </row>
    <row r="652" spans="1:6" x14ac:dyDescent="0.3">
      <c r="A652" s="3">
        <v>2019</v>
      </c>
      <c r="B652" s="1" t="s">
        <v>57</v>
      </c>
      <c r="C652" s="1" t="s">
        <v>33</v>
      </c>
      <c r="D652" s="2">
        <v>12448</v>
      </c>
      <c r="E652" s="2">
        <v>139278</v>
      </c>
      <c r="F652" s="4">
        <v>49409</v>
      </c>
    </row>
    <row r="653" spans="1:6" x14ac:dyDescent="0.3">
      <c r="A653" s="3">
        <v>2019</v>
      </c>
      <c r="B653" s="1" t="s">
        <v>57</v>
      </c>
      <c r="C653" s="1" t="s">
        <v>34</v>
      </c>
      <c r="D653" s="2">
        <v>54227</v>
      </c>
      <c r="E653" s="2">
        <v>876452</v>
      </c>
      <c r="F653" s="4">
        <v>55204</v>
      </c>
    </row>
    <row r="654" spans="1:6" x14ac:dyDescent="0.3">
      <c r="A654" s="3">
        <v>2019</v>
      </c>
      <c r="B654" s="1" t="s">
        <v>57</v>
      </c>
      <c r="C654" s="1" t="s">
        <v>35</v>
      </c>
      <c r="D654" s="2">
        <v>10974</v>
      </c>
      <c r="E654" s="2">
        <v>135131</v>
      </c>
      <c r="F654" s="4">
        <v>39275</v>
      </c>
    </row>
    <row r="655" spans="1:6" x14ac:dyDescent="0.3">
      <c r="A655" s="3">
        <v>2019</v>
      </c>
      <c r="B655" s="1" t="s">
        <v>57</v>
      </c>
      <c r="C655" s="1" t="s">
        <v>36</v>
      </c>
      <c r="D655" s="2">
        <v>120950</v>
      </c>
      <c r="E655" s="2">
        <v>1543991</v>
      </c>
      <c r="F655" s="4">
        <v>53710</v>
      </c>
    </row>
    <row r="656" spans="1:6" x14ac:dyDescent="0.3">
      <c r="A656" s="3">
        <v>2019</v>
      </c>
      <c r="B656" s="1" t="s">
        <v>57</v>
      </c>
      <c r="C656" s="1" t="s">
        <v>37</v>
      </c>
      <c r="D656" s="2">
        <v>62397</v>
      </c>
      <c r="E656" s="2">
        <v>846177</v>
      </c>
      <c r="F656" s="4">
        <v>44579</v>
      </c>
    </row>
    <row r="657" spans="1:6" x14ac:dyDescent="0.3">
      <c r="A657" s="3">
        <v>2019</v>
      </c>
      <c r="B657" s="1" t="s">
        <v>57</v>
      </c>
      <c r="C657" s="1" t="s">
        <v>38</v>
      </c>
      <c r="D657" s="2">
        <v>7738</v>
      </c>
      <c r="E657" s="2">
        <v>91333</v>
      </c>
      <c r="F657" s="4">
        <v>51925</v>
      </c>
    </row>
    <row r="658" spans="1:6" x14ac:dyDescent="0.3">
      <c r="A658" s="3">
        <v>2019</v>
      </c>
      <c r="B658" s="1" t="s">
        <v>57</v>
      </c>
      <c r="C658" s="1" t="s">
        <v>39</v>
      </c>
      <c r="D658" s="2">
        <v>68958</v>
      </c>
      <c r="E658" s="2">
        <v>1021890</v>
      </c>
      <c r="F658" s="4">
        <v>45569</v>
      </c>
    </row>
    <row r="659" spans="1:6" x14ac:dyDescent="0.3">
      <c r="A659" s="3">
        <v>2019</v>
      </c>
      <c r="B659" s="1" t="s">
        <v>57</v>
      </c>
      <c r="C659" s="1" t="s">
        <v>40</v>
      </c>
      <c r="D659" s="2">
        <v>23883</v>
      </c>
      <c r="E659" s="2">
        <v>300268</v>
      </c>
      <c r="F659" s="4">
        <v>43049</v>
      </c>
    </row>
    <row r="660" spans="1:6" x14ac:dyDescent="0.3">
      <c r="A660" s="3">
        <v>2019</v>
      </c>
      <c r="B660" s="1" t="s">
        <v>57</v>
      </c>
      <c r="C660" s="1" t="s">
        <v>41</v>
      </c>
      <c r="D660" s="2">
        <v>26460</v>
      </c>
      <c r="E660" s="2">
        <v>354168</v>
      </c>
      <c r="F660" s="4">
        <v>45879</v>
      </c>
    </row>
    <row r="661" spans="1:6" x14ac:dyDescent="0.3">
      <c r="A661" s="3">
        <v>2019</v>
      </c>
      <c r="B661" s="1" t="s">
        <v>57</v>
      </c>
      <c r="C661" s="1" t="s">
        <v>42</v>
      </c>
      <c r="D661" s="2">
        <v>74684</v>
      </c>
      <c r="E661" s="2">
        <v>1117033</v>
      </c>
      <c r="F661" s="4">
        <v>46296</v>
      </c>
    </row>
    <row r="662" spans="1:6" x14ac:dyDescent="0.3">
      <c r="A662" s="3">
        <v>2019</v>
      </c>
      <c r="B662" s="1" t="s">
        <v>57</v>
      </c>
      <c r="C662" s="1" t="s">
        <v>43</v>
      </c>
      <c r="D662" s="2">
        <v>7648</v>
      </c>
      <c r="E662" s="2">
        <v>76672</v>
      </c>
      <c r="F662" s="4">
        <v>45232</v>
      </c>
    </row>
    <row r="663" spans="1:6" x14ac:dyDescent="0.3">
      <c r="A663" s="3">
        <v>2019</v>
      </c>
      <c r="B663" s="1" t="s">
        <v>57</v>
      </c>
      <c r="C663" s="1" t="s">
        <v>44</v>
      </c>
      <c r="D663" s="2">
        <v>31073</v>
      </c>
      <c r="E663" s="2">
        <v>406455</v>
      </c>
      <c r="F663" s="4">
        <v>41048</v>
      </c>
    </row>
    <row r="664" spans="1:6" x14ac:dyDescent="0.3">
      <c r="A664" s="3">
        <v>2019</v>
      </c>
      <c r="B664" s="1" t="s">
        <v>57</v>
      </c>
      <c r="C664" s="1" t="s">
        <v>45</v>
      </c>
      <c r="D664" s="2">
        <v>8027</v>
      </c>
      <c r="E664" s="2">
        <v>85125</v>
      </c>
      <c r="F664" s="4">
        <v>40980</v>
      </c>
    </row>
    <row r="665" spans="1:6" x14ac:dyDescent="0.3">
      <c r="A665" s="3">
        <v>2019</v>
      </c>
      <c r="B665" s="1" t="s">
        <v>57</v>
      </c>
      <c r="C665" s="1" t="s">
        <v>46</v>
      </c>
      <c r="D665" s="2">
        <v>40380</v>
      </c>
      <c r="E665" s="2">
        <v>633819</v>
      </c>
      <c r="F665" s="4">
        <v>46991</v>
      </c>
    </row>
    <row r="666" spans="1:6" x14ac:dyDescent="0.3">
      <c r="A666" s="3">
        <v>2019</v>
      </c>
      <c r="B666" s="1" t="s">
        <v>57</v>
      </c>
      <c r="C666" s="1" t="s">
        <v>47</v>
      </c>
      <c r="D666" s="2">
        <v>150310</v>
      </c>
      <c r="E666" s="2">
        <v>2496193</v>
      </c>
      <c r="F666" s="4">
        <v>54323</v>
      </c>
    </row>
    <row r="667" spans="1:6" x14ac:dyDescent="0.3">
      <c r="A667" s="3">
        <v>2019</v>
      </c>
      <c r="B667" s="1" t="s">
        <v>57</v>
      </c>
      <c r="C667" s="1" t="s">
        <v>48</v>
      </c>
      <c r="D667" s="2">
        <v>20066</v>
      </c>
      <c r="E667" s="2">
        <v>289140</v>
      </c>
      <c r="F667" s="4">
        <v>45785</v>
      </c>
    </row>
    <row r="668" spans="1:6" x14ac:dyDescent="0.3">
      <c r="A668" s="3">
        <v>2019</v>
      </c>
      <c r="B668" s="1" t="s">
        <v>57</v>
      </c>
      <c r="C668" s="1" t="s">
        <v>49</v>
      </c>
      <c r="D668" s="2">
        <v>5040</v>
      </c>
      <c r="E668" s="2">
        <v>53817</v>
      </c>
      <c r="F668" s="4">
        <v>41456</v>
      </c>
    </row>
    <row r="669" spans="1:6" x14ac:dyDescent="0.3">
      <c r="A669" s="3">
        <v>2019</v>
      </c>
      <c r="B669" s="1" t="s">
        <v>57</v>
      </c>
      <c r="C669" s="1" t="s">
        <v>50</v>
      </c>
      <c r="D669" s="2">
        <v>42839</v>
      </c>
      <c r="E669" s="2">
        <v>650148</v>
      </c>
      <c r="F669" s="4">
        <v>45486</v>
      </c>
    </row>
    <row r="670" spans="1:6" x14ac:dyDescent="0.3">
      <c r="A670" s="3">
        <v>2019</v>
      </c>
      <c r="B670" s="1" t="s">
        <v>57</v>
      </c>
      <c r="C670" s="1" t="s">
        <v>51</v>
      </c>
      <c r="D670" s="2">
        <v>38692</v>
      </c>
      <c r="E670" s="2">
        <v>628543</v>
      </c>
      <c r="F670" s="4">
        <v>67312</v>
      </c>
    </row>
    <row r="671" spans="1:6" x14ac:dyDescent="0.3">
      <c r="A671" s="3">
        <v>2019</v>
      </c>
      <c r="B671" s="1" t="s">
        <v>57</v>
      </c>
      <c r="C671" s="1" t="s">
        <v>52</v>
      </c>
      <c r="D671" s="2">
        <v>10709</v>
      </c>
      <c r="E671" s="2">
        <v>125470</v>
      </c>
      <c r="F671" s="4">
        <v>40148</v>
      </c>
    </row>
    <row r="672" spans="1:6" x14ac:dyDescent="0.3">
      <c r="A672" s="3">
        <v>2019</v>
      </c>
      <c r="B672" s="1" t="s">
        <v>57</v>
      </c>
      <c r="C672" s="1" t="s">
        <v>53</v>
      </c>
      <c r="D672" s="2">
        <v>36253</v>
      </c>
      <c r="E672" s="2">
        <v>533175</v>
      </c>
      <c r="F672" s="4">
        <v>42647</v>
      </c>
    </row>
    <row r="673" spans="1:6" x14ac:dyDescent="0.3">
      <c r="A673" s="3">
        <v>2019</v>
      </c>
      <c r="B673" s="1" t="s">
        <v>57</v>
      </c>
      <c r="C673" s="1" t="s">
        <v>54</v>
      </c>
      <c r="D673" s="2">
        <v>4819</v>
      </c>
      <c r="E673" s="2">
        <v>49901</v>
      </c>
      <c r="F673" s="4">
        <v>44408</v>
      </c>
    </row>
    <row r="674" spans="1:6" x14ac:dyDescent="0.3">
      <c r="A674" s="3">
        <v>2019</v>
      </c>
      <c r="B674" s="1" t="s">
        <v>58</v>
      </c>
      <c r="C674" s="1" t="s">
        <v>7</v>
      </c>
      <c r="D674" s="2">
        <v>2309</v>
      </c>
      <c r="E674" s="2">
        <v>21296</v>
      </c>
      <c r="F674" s="4">
        <v>62845</v>
      </c>
    </row>
    <row r="675" spans="1:6" x14ac:dyDescent="0.3">
      <c r="A675" s="3">
        <v>2019</v>
      </c>
      <c r="B675" s="1" t="s">
        <v>58</v>
      </c>
      <c r="C675" s="1" t="s">
        <v>8</v>
      </c>
      <c r="D675" s="2">
        <v>3691</v>
      </c>
      <c r="E675" s="2">
        <v>49188</v>
      </c>
      <c r="F675" s="4">
        <v>77822</v>
      </c>
    </row>
    <row r="676" spans="1:6" x14ac:dyDescent="0.3">
      <c r="A676" s="3">
        <v>2019</v>
      </c>
      <c r="B676" s="1" t="s">
        <v>58</v>
      </c>
      <c r="C676" s="1" t="s">
        <v>9</v>
      </c>
      <c r="D676" s="2">
        <v>1303</v>
      </c>
      <c r="E676" s="2">
        <v>10974</v>
      </c>
      <c r="F676" s="4">
        <v>57981</v>
      </c>
    </row>
    <row r="677" spans="1:6" x14ac:dyDescent="0.3">
      <c r="A677" s="3">
        <v>2019</v>
      </c>
      <c r="B677" s="1" t="s">
        <v>58</v>
      </c>
      <c r="C677" s="1" t="s">
        <v>10</v>
      </c>
      <c r="D677" s="2">
        <v>28529</v>
      </c>
      <c r="E677" s="2">
        <v>550084</v>
      </c>
      <c r="F677" s="4">
        <v>191278</v>
      </c>
    </row>
    <row r="678" spans="1:6" x14ac:dyDescent="0.3">
      <c r="A678" s="3">
        <v>2019</v>
      </c>
      <c r="B678" s="1" t="s">
        <v>58</v>
      </c>
      <c r="C678" s="1" t="s">
        <v>11</v>
      </c>
      <c r="D678" s="2">
        <v>4330</v>
      </c>
      <c r="E678" s="2">
        <v>76292</v>
      </c>
      <c r="F678" s="4">
        <v>109380</v>
      </c>
    </row>
    <row r="679" spans="1:6" x14ac:dyDescent="0.3">
      <c r="A679" s="3">
        <v>2019</v>
      </c>
      <c r="B679" s="1" t="s">
        <v>58</v>
      </c>
      <c r="C679" s="1" t="s">
        <v>12</v>
      </c>
      <c r="D679" s="2">
        <v>2551</v>
      </c>
      <c r="E679" s="2">
        <v>31469</v>
      </c>
      <c r="F679" s="4">
        <v>120406</v>
      </c>
    </row>
    <row r="680" spans="1:6" x14ac:dyDescent="0.3">
      <c r="A680" s="3">
        <v>2019</v>
      </c>
      <c r="B680" s="1" t="s">
        <v>58</v>
      </c>
      <c r="C680" s="1" t="s">
        <v>13</v>
      </c>
      <c r="D680" s="1">
        <v>497</v>
      </c>
      <c r="E680" s="2">
        <v>3905</v>
      </c>
      <c r="F680" s="4">
        <v>70031</v>
      </c>
    </row>
    <row r="681" spans="1:6" x14ac:dyDescent="0.3">
      <c r="A681" s="3">
        <v>2019</v>
      </c>
      <c r="B681" s="1" t="s">
        <v>58</v>
      </c>
      <c r="C681" s="1" t="s">
        <v>14</v>
      </c>
      <c r="D681" s="2">
        <v>11744</v>
      </c>
      <c r="E681" s="2">
        <v>138845</v>
      </c>
      <c r="F681" s="4">
        <v>86153</v>
      </c>
    </row>
    <row r="682" spans="1:6" x14ac:dyDescent="0.3">
      <c r="A682" s="3">
        <v>2019</v>
      </c>
      <c r="B682" s="1" t="s">
        <v>58</v>
      </c>
      <c r="C682" s="1" t="s">
        <v>15</v>
      </c>
      <c r="D682" s="2">
        <v>5380</v>
      </c>
      <c r="E682" s="2">
        <v>116215</v>
      </c>
      <c r="F682" s="4">
        <v>100462</v>
      </c>
    </row>
    <row r="683" spans="1:6" x14ac:dyDescent="0.3">
      <c r="A683" s="3">
        <v>2019</v>
      </c>
      <c r="B683" s="1" t="s">
        <v>58</v>
      </c>
      <c r="C683" s="1" t="s">
        <v>16</v>
      </c>
      <c r="D683" s="2">
        <v>1231</v>
      </c>
      <c r="E683" s="2">
        <v>8802</v>
      </c>
      <c r="F683" s="4">
        <v>56211</v>
      </c>
    </row>
    <row r="684" spans="1:6" x14ac:dyDescent="0.3">
      <c r="A684" s="3">
        <v>2019</v>
      </c>
      <c r="B684" s="1" t="s">
        <v>58</v>
      </c>
      <c r="C684" s="1" t="s">
        <v>17</v>
      </c>
      <c r="D684" s="2">
        <v>6998</v>
      </c>
      <c r="E684" s="2">
        <v>94879</v>
      </c>
      <c r="F684" s="4">
        <v>96732</v>
      </c>
    </row>
    <row r="685" spans="1:6" x14ac:dyDescent="0.3">
      <c r="A685" s="3">
        <v>2019</v>
      </c>
      <c r="B685" s="1" t="s">
        <v>58</v>
      </c>
      <c r="C685" s="1" t="s">
        <v>18</v>
      </c>
      <c r="D685" s="2">
        <v>2278</v>
      </c>
      <c r="E685" s="2">
        <v>28628</v>
      </c>
      <c r="F685" s="4">
        <v>62444</v>
      </c>
    </row>
    <row r="686" spans="1:6" x14ac:dyDescent="0.3">
      <c r="A686" s="3">
        <v>2019</v>
      </c>
      <c r="B686" s="1" t="s">
        <v>58</v>
      </c>
      <c r="C686" s="1" t="s">
        <v>19</v>
      </c>
      <c r="D686" s="2">
        <v>1778</v>
      </c>
      <c r="E686" s="2">
        <v>21356</v>
      </c>
      <c r="F686" s="4">
        <v>60664</v>
      </c>
    </row>
    <row r="687" spans="1:6" x14ac:dyDescent="0.3">
      <c r="A687" s="3">
        <v>2019</v>
      </c>
      <c r="B687" s="1" t="s">
        <v>58</v>
      </c>
      <c r="C687" s="1" t="s">
        <v>20</v>
      </c>
      <c r="D687" s="2">
        <v>1386</v>
      </c>
      <c r="E687" s="2">
        <v>18137</v>
      </c>
      <c r="F687" s="4">
        <v>66434</v>
      </c>
    </row>
    <row r="688" spans="1:6" x14ac:dyDescent="0.3">
      <c r="A688" s="3">
        <v>2019</v>
      </c>
      <c r="B688" s="1" t="s">
        <v>58</v>
      </c>
      <c r="C688" s="1" t="s">
        <v>21</v>
      </c>
      <c r="D688" s="2">
        <v>1924</v>
      </c>
      <c r="E688" s="2">
        <v>21670</v>
      </c>
      <c r="F688" s="4">
        <v>58590</v>
      </c>
    </row>
    <row r="689" spans="1:6" x14ac:dyDescent="0.3">
      <c r="A689" s="3">
        <v>2019</v>
      </c>
      <c r="B689" s="1" t="s">
        <v>58</v>
      </c>
      <c r="C689" s="1" t="s">
        <v>22</v>
      </c>
      <c r="D689" s="2">
        <v>1801</v>
      </c>
      <c r="E689" s="2">
        <v>22427</v>
      </c>
      <c r="F689" s="4">
        <v>60638</v>
      </c>
    </row>
    <row r="690" spans="1:6" x14ac:dyDescent="0.3">
      <c r="A690" s="3">
        <v>2019</v>
      </c>
      <c r="B690" s="1" t="s">
        <v>58</v>
      </c>
      <c r="C690" s="1" t="s">
        <v>23</v>
      </c>
      <c r="D690" s="1">
        <v>869</v>
      </c>
      <c r="E690" s="2">
        <v>7158</v>
      </c>
      <c r="F690" s="4">
        <v>57442</v>
      </c>
    </row>
    <row r="691" spans="1:6" x14ac:dyDescent="0.3">
      <c r="A691" s="3">
        <v>2019</v>
      </c>
      <c r="B691" s="1" t="s">
        <v>58</v>
      </c>
      <c r="C691" s="1" t="s">
        <v>24</v>
      </c>
      <c r="D691" s="2">
        <v>2846</v>
      </c>
      <c r="E691" s="2">
        <v>35678</v>
      </c>
      <c r="F691" s="4">
        <v>98834</v>
      </c>
    </row>
    <row r="692" spans="1:6" x14ac:dyDescent="0.3">
      <c r="A692" s="3">
        <v>2019</v>
      </c>
      <c r="B692" s="1" t="s">
        <v>58</v>
      </c>
      <c r="C692" s="1" t="s">
        <v>25</v>
      </c>
      <c r="D692" s="2">
        <v>5717</v>
      </c>
      <c r="E692" s="2">
        <v>93033</v>
      </c>
      <c r="F692" s="4">
        <v>128022</v>
      </c>
    </row>
    <row r="693" spans="1:6" x14ac:dyDescent="0.3">
      <c r="A693" s="3">
        <v>2019</v>
      </c>
      <c r="B693" s="1" t="s">
        <v>58</v>
      </c>
      <c r="C693" s="1" t="s">
        <v>26</v>
      </c>
      <c r="D693" s="2">
        <v>7146</v>
      </c>
      <c r="E693" s="2">
        <v>55298</v>
      </c>
      <c r="F693" s="4">
        <v>77504</v>
      </c>
    </row>
    <row r="694" spans="1:6" x14ac:dyDescent="0.3">
      <c r="A694" s="3">
        <v>2019</v>
      </c>
      <c r="B694" s="1" t="s">
        <v>58</v>
      </c>
      <c r="C694" s="1" t="s">
        <v>27</v>
      </c>
      <c r="D694" s="2">
        <v>4133</v>
      </c>
      <c r="E694" s="2">
        <v>46906</v>
      </c>
      <c r="F694" s="4">
        <v>83846</v>
      </c>
    </row>
    <row r="695" spans="1:6" x14ac:dyDescent="0.3">
      <c r="A695" s="3">
        <v>2019</v>
      </c>
      <c r="B695" s="1" t="s">
        <v>58</v>
      </c>
      <c r="C695" s="1" t="s">
        <v>28</v>
      </c>
      <c r="D695" s="1">
        <v>944</v>
      </c>
      <c r="E695" s="2">
        <v>10695</v>
      </c>
      <c r="F695" s="4">
        <v>49438</v>
      </c>
    </row>
    <row r="696" spans="1:6" x14ac:dyDescent="0.3">
      <c r="A696" s="3">
        <v>2019</v>
      </c>
      <c r="B696" s="1" t="s">
        <v>58</v>
      </c>
      <c r="C696" s="1" t="s">
        <v>29</v>
      </c>
      <c r="D696" s="2">
        <v>3310</v>
      </c>
      <c r="E696" s="2">
        <v>46729</v>
      </c>
      <c r="F696" s="4">
        <v>85960</v>
      </c>
    </row>
    <row r="697" spans="1:6" x14ac:dyDescent="0.3">
      <c r="A697" s="3">
        <v>2019</v>
      </c>
      <c r="B697" s="1" t="s">
        <v>58</v>
      </c>
      <c r="C697" s="1" t="s">
        <v>30</v>
      </c>
      <c r="D697" s="1">
        <v>799</v>
      </c>
      <c r="E697" s="2">
        <v>6210</v>
      </c>
      <c r="F697" s="4">
        <v>56592</v>
      </c>
    </row>
    <row r="698" spans="1:6" x14ac:dyDescent="0.3">
      <c r="A698" s="3">
        <v>2019</v>
      </c>
      <c r="B698" s="1" t="s">
        <v>58</v>
      </c>
      <c r="C698" s="1" t="s">
        <v>31</v>
      </c>
      <c r="D698" s="2">
        <v>1015</v>
      </c>
      <c r="E698" s="2">
        <v>17258</v>
      </c>
      <c r="F698" s="4">
        <v>66732</v>
      </c>
    </row>
    <row r="699" spans="1:6" x14ac:dyDescent="0.3">
      <c r="A699" s="3">
        <v>2019</v>
      </c>
      <c r="B699" s="1" t="s">
        <v>58</v>
      </c>
      <c r="C699" s="1" t="s">
        <v>32</v>
      </c>
      <c r="D699" s="2">
        <v>1664</v>
      </c>
      <c r="E699" s="2">
        <v>15847</v>
      </c>
      <c r="F699" s="4">
        <v>73213</v>
      </c>
    </row>
    <row r="700" spans="1:6" x14ac:dyDescent="0.3">
      <c r="A700" s="3">
        <v>2019</v>
      </c>
      <c r="B700" s="1" t="s">
        <v>58</v>
      </c>
      <c r="C700" s="1" t="s">
        <v>33</v>
      </c>
      <c r="D700" s="2">
        <v>1037</v>
      </c>
      <c r="E700" s="2">
        <v>12334</v>
      </c>
      <c r="F700" s="4">
        <v>97212</v>
      </c>
    </row>
    <row r="701" spans="1:6" x14ac:dyDescent="0.3">
      <c r="A701" s="3">
        <v>2019</v>
      </c>
      <c r="B701" s="1" t="s">
        <v>58</v>
      </c>
      <c r="C701" s="1" t="s">
        <v>34</v>
      </c>
      <c r="D701" s="2">
        <v>3724</v>
      </c>
      <c r="E701" s="2">
        <v>67578</v>
      </c>
      <c r="F701" s="4">
        <v>117433</v>
      </c>
    </row>
    <row r="702" spans="1:6" x14ac:dyDescent="0.3">
      <c r="A702" s="3">
        <v>2019</v>
      </c>
      <c r="B702" s="1" t="s">
        <v>58</v>
      </c>
      <c r="C702" s="1" t="s">
        <v>35</v>
      </c>
      <c r="D702" s="2">
        <v>1074</v>
      </c>
      <c r="E702" s="2">
        <v>11166</v>
      </c>
      <c r="F702" s="4">
        <v>57554</v>
      </c>
    </row>
    <row r="703" spans="1:6" x14ac:dyDescent="0.3">
      <c r="A703" s="3">
        <v>2019</v>
      </c>
      <c r="B703" s="1" t="s">
        <v>58</v>
      </c>
      <c r="C703" s="1" t="s">
        <v>36</v>
      </c>
      <c r="D703" s="2">
        <v>12812</v>
      </c>
      <c r="E703" s="2">
        <v>277408</v>
      </c>
      <c r="F703" s="4">
        <v>135959</v>
      </c>
    </row>
    <row r="704" spans="1:6" x14ac:dyDescent="0.3">
      <c r="A704" s="3">
        <v>2019</v>
      </c>
      <c r="B704" s="1" t="s">
        <v>58</v>
      </c>
      <c r="C704" s="1" t="s">
        <v>37</v>
      </c>
      <c r="D704" s="2">
        <v>5669</v>
      </c>
      <c r="E704" s="2">
        <v>75919</v>
      </c>
      <c r="F704" s="4">
        <v>87039</v>
      </c>
    </row>
    <row r="705" spans="1:6" x14ac:dyDescent="0.3">
      <c r="A705" s="3">
        <v>2019</v>
      </c>
      <c r="B705" s="1" t="s">
        <v>58</v>
      </c>
      <c r="C705" s="1" t="s">
        <v>38</v>
      </c>
      <c r="D705" s="1">
        <v>402</v>
      </c>
      <c r="E705" s="2">
        <v>6093</v>
      </c>
      <c r="F705" s="4">
        <v>71543</v>
      </c>
    </row>
    <row r="706" spans="1:6" x14ac:dyDescent="0.3">
      <c r="A706" s="3">
        <v>2019</v>
      </c>
      <c r="B706" s="1" t="s">
        <v>58</v>
      </c>
      <c r="C706" s="1" t="s">
        <v>39</v>
      </c>
      <c r="D706" s="2">
        <v>4915</v>
      </c>
      <c r="E706" s="2">
        <v>69330</v>
      </c>
      <c r="F706" s="4">
        <v>72613</v>
      </c>
    </row>
    <row r="707" spans="1:6" x14ac:dyDescent="0.3">
      <c r="A707" s="3">
        <v>2019</v>
      </c>
      <c r="B707" s="1" t="s">
        <v>58</v>
      </c>
      <c r="C707" s="1" t="s">
        <v>40</v>
      </c>
      <c r="D707" s="2">
        <v>1550</v>
      </c>
      <c r="E707" s="2">
        <v>19627</v>
      </c>
      <c r="F707" s="4">
        <v>60407</v>
      </c>
    </row>
    <row r="708" spans="1:6" x14ac:dyDescent="0.3">
      <c r="A708" s="3">
        <v>2019</v>
      </c>
      <c r="B708" s="1" t="s">
        <v>58</v>
      </c>
      <c r="C708" s="1" t="s">
        <v>41</v>
      </c>
      <c r="D708" s="2">
        <v>4135</v>
      </c>
      <c r="E708" s="2">
        <v>35053</v>
      </c>
      <c r="F708" s="4">
        <v>89633</v>
      </c>
    </row>
    <row r="709" spans="1:6" x14ac:dyDescent="0.3">
      <c r="A709" s="3">
        <v>2019</v>
      </c>
      <c r="B709" s="1" t="s">
        <v>58</v>
      </c>
      <c r="C709" s="1" t="s">
        <v>42</v>
      </c>
      <c r="D709" s="2">
        <v>5348</v>
      </c>
      <c r="E709" s="2">
        <v>87043</v>
      </c>
      <c r="F709" s="4">
        <v>94900</v>
      </c>
    </row>
    <row r="710" spans="1:6" x14ac:dyDescent="0.3">
      <c r="A710" s="3">
        <v>2019</v>
      </c>
      <c r="B710" s="1" t="s">
        <v>58</v>
      </c>
      <c r="C710" s="1" t="s">
        <v>43</v>
      </c>
      <c r="D710" s="1">
        <v>714</v>
      </c>
      <c r="E710" s="2">
        <v>5878</v>
      </c>
      <c r="F710" s="4">
        <v>76409</v>
      </c>
    </row>
    <row r="711" spans="1:6" x14ac:dyDescent="0.3">
      <c r="A711" s="3">
        <v>2019</v>
      </c>
      <c r="B711" s="1" t="s">
        <v>58</v>
      </c>
      <c r="C711" s="1" t="s">
        <v>44</v>
      </c>
      <c r="D711" s="2">
        <v>2883</v>
      </c>
      <c r="E711" s="2">
        <v>26869</v>
      </c>
      <c r="F711" s="4">
        <v>66032</v>
      </c>
    </row>
    <row r="712" spans="1:6" x14ac:dyDescent="0.3">
      <c r="A712" s="3">
        <v>2019</v>
      </c>
      <c r="B712" s="1" t="s">
        <v>58</v>
      </c>
      <c r="C712" s="1" t="s">
        <v>45</v>
      </c>
      <c r="D712" s="1">
        <v>589</v>
      </c>
      <c r="E712" s="2">
        <v>5500</v>
      </c>
      <c r="F712" s="4">
        <v>51535</v>
      </c>
    </row>
    <row r="713" spans="1:6" x14ac:dyDescent="0.3">
      <c r="A713" s="3">
        <v>2019</v>
      </c>
      <c r="B713" s="1" t="s">
        <v>58</v>
      </c>
      <c r="C713" s="1" t="s">
        <v>46</v>
      </c>
      <c r="D713" s="2">
        <v>3981</v>
      </c>
      <c r="E713" s="2">
        <v>45042</v>
      </c>
      <c r="F713" s="4">
        <v>75375</v>
      </c>
    </row>
    <row r="714" spans="1:6" x14ac:dyDescent="0.3">
      <c r="A714" s="3">
        <v>2019</v>
      </c>
      <c r="B714" s="1" t="s">
        <v>58</v>
      </c>
      <c r="C714" s="1" t="s">
        <v>47</v>
      </c>
      <c r="D714" s="2">
        <v>10627</v>
      </c>
      <c r="E714" s="2">
        <v>208591</v>
      </c>
      <c r="F714" s="4">
        <v>90857</v>
      </c>
    </row>
    <row r="715" spans="1:6" x14ac:dyDescent="0.3">
      <c r="A715" s="3">
        <v>2019</v>
      </c>
      <c r="B715" s="1" t="s">
        <v>58</v>
      </c>
      <c r="C715" s="1" t="s">
        <v>48</v>
      </c>
      <c r="D715" s="2">
        <v>2776</v>
      </c>
      <c r="E715" s="2">
        <v>38323</v>
      </c>
      <c r="F715" s="4">
        <v>84735</v>
      </c>
    </row>
    <row r="716" spans="1:6" x14ac:dyDescent="0.3">
      <c r="A716" s="3">
        <v>2019</v>
      </c>
      <c r="B716" s="1" t="s">
        <v>58</v>
      </c>
      <c r="C716" s="1" t="s">
        <v>49</v>
      </c>
      <c r="D716" s="1">
        <v>527</v>
      </c>
      <c r="E716" s="2">
        <v>4322</v>
      </c>
      <c r="F716" s="4">
        <v>62861</v>
      </c>
    </row>
    <row r="717" spans="1:6" x14ac:dyDescent="0.3">
      <c r="A717" s="3">
        <v>2019</v>
      </c>
      <c r="B717" s="1" t="s">
        <v>58</v>
      </c>
      <c r="C717" s="1" t="s">
        <v>50</v>
      </c>
      <c r="D717" s="2">
        <v>4600</v>
      </c>
      <c r="E717" s="2">
        <v>67714</v>
      </c>
      <c r="F717" s="4">
        <v>107966</v>
      </c>
    </row>
    <row r="718" spans="1:6" x14ac:dyDescent="0.3">
      <c r="A718" s="3">
        <v>2019</v>
      </c>
      <c r="B718" s="1" t="s">
        <v>58</v>
      </c>
      <c r="C718" s="1" t="s">
        <v>51</v>
      </c>
      <c r="D718" s="2">
        <v>5007</v>
      </c>
      <c r="E718" s="2">
        <v>143883</v>
      </c>
      <c r="F718" s="4">
        <v>207135</v>
      </c>
    </row>
    <row r="719" spans="1:6" x14ac:dyDescent="0.3">
      <c r="A719" s="3">
        <v>2019</v>
      </c>
      <c r="B719" s="1" t="s">
        <v>58</v>
      </c>
      <c r="C719" s="1" t="s">
        <v>52</v>
      </c>
      <c r="D719" s="1">
        <v>818</v>
      </c>
      <c r="E719" s="2">
        <v>8072</v>
      </c>
      <c r="F719" s="4">
        <v>53281</v>
      </c>
    </row>
    <row r="720" spans="1:6" x14ac:dyDescent="0.3">
      <c r="A720" s="3">
        <v>2019</v>
      </c>
      <c r="B720" s="1" t="s">
        <v>58</v>
      </c>
      <c r="C720" s="1" t="s">
        <v>53</v>
      </c>
      <c r="D720" s="2">
        <v>2335</v>
      </c>
      <c r="E720" s="2">
        <v>46993</v>
      </c>
      <c r="F720" s="4">
        <v>82512</v>
      </c>
    </row>
    <row r="721" spans="1:6" x14ac:dyDescent="0.3">
      <c r="A721" s="3">
        <v>2019</v>
      </c>
      <c r="B721" s="1" t="s">
        <v>58</v>
      </c>
      <c r="C721" s="1" t="s">
        <v>54</v>
      </c>
      <c r="D721" s="1">
        <v>417</v>
      </c>
      <c r="E721" s="2">
        <v>3424</v>
      </c>
      <c r="F721" s="4">
        <v>49035</v>
      </c>
    </row>
    <row r="722" spans="1:6" x14ac:dyDescent="0.3">
      <c r="A722" s="3">
        <v>2019</v>
      </c>
      <c r="B722" s="1" t="s">
        <v>59</v>
      </c>
      <c r="C722" s="1" t="s">
        <v>7</v>
      </c>
      <c r="D722" s="2">
        <v>13590</v>
      </c>
      <c r="E722" s="2">
        <v>95053</v>
      </c>
      <c r="F722" s="4">
        <v>71076</v>
      </c>
    </row>
    <row r="723" spans="1:6" x14ac:dyDescent="0.3">
      <c r="A723" s="3">
        <v>2019</v>
      </c>
      <c r="B723" s="1" t="s">
        <v>59</v>
      </c>
      <c r="C723" s="1" t="s">
        <v>8</v>
      </c>
      <c r="D723" s="2">
        <v>19357</v>
      </c>
      <c r="E723" s="2">
        <v>223263</v>
      </c>
      <c r="F723" s="4">
        <v>74627</v>
      </c>
    </row>
    <row r="724" spans="1:6" x14ac:dyDescent="0.3">
      <c r="A724" s="3">
        <v>2019</v>
      </c>
      <c r="B724" s="1" t="s">
        <v>59</v>
      </c>
      <c r="C724" s="1" t="s">
        <v>9</v>
      </c>
      <c r="D724" s="2">
        <v>8591</v>
      </c>
      <c r="E724" s="2">
        <v>51934</v>
      </c>
      <c r="F724" s="4">
        <v>60198</v>
      </c>
    </row>
    <row r="725" spans="1:6" x14ac:dyDescent="0.3">
      <c r="A725" s="3">
        <v>2019</v>
      </c>
      <c r="B725" s="1" t="s">
        <v>59</v>
      </c>
      <c r="C725" s="1" t="s">
        <v>10</v>
      </c>
      <c r="D725" s="2">
        <v>109980</v>
      </c>
      <c r="E725" s="2">
        <v>841829</v>
      </c>
      <c r="F725" s="4">
        <v>112757</v>
      </c>
    </row>
    <row r="726" spans="1:6" x14ac:dyDescent="0.3">
      <c r="A726" s="3">
        <v>2019</v>
      </c>
      <c r="B726" s="1" t="s">
        <v>59</v>
      </c>
      <c r="C726" s="1" t="s">
        <v>11</v>
      </c>
      <c r="D726" s="2">
        <v>24028</v>
      </c>
      <c r="E726" s="2">
        <v>167272</v>
      </c>
      <c r="F726" s="4">
        <v>88613</v>
      </c>
    </row>
    <row r="727" spans="1:6" x14ac:dyDescent="0.3">
      <c r="A727" s="3">
        <v>2019</v>
      </c>
      <c r="B727" s="1" t="s">
        <v>59</v>
      </c>
      <c r="C727" s="1" t="s">
        <v>12</v>
      </c>
      <c r="D727" s="2">
        <v>11028</v>
      </c>
      <c r="E727" s="2">
        <v>121869</v>
      </c>
      <c r="F727" s="4">
        <v>157629</v>
      </c>
    </row>
    <row r="728" spans="1:6" x14ac:dyDescent="0.3">
      <c r="A728" s="3">
        <v>2019</v>
      </c>
      <c r="B728" s="1" t="s">
        <v>59</v>
      </c>
      <c r="C728" s="1" t="s">
        <v>13</v>
      </c>
      <c r="D728" s="2">
        <v>2907</v>
      </c>
      <c r="E728" s="2">
        <v>48162</v>
      </c>
      <c r="F728" s="4">
        <v>97426</v>
      </c>
    </row>
    <row r="729" spans="1:6" x14ac:dyDescent="0.3">
      <c r="A729" s="3">
        <v>2019</v>
      </c>
      <c r="B729" s="1" t="s">
        <v>59</v>
      </c>
      <c r="C729" s="1" t="s">
        <v>14</v>
      </c>
      <c r="D729" s="2">
        <v>76648</v>
      </c>
      <c r="E729" s="2">
        <v>585959</v>
      </c>
      <c r="F729" s="4">
        <v>77025</v>
      </c>
    </row>
    <row r="730" spans="1:6" x14ac:dyDescent="0.3">
      <c r="A730" s="3">
        <v>2019</v>
      </c>
      <c r="B730" s="1" t="s">
        <v>59</v>
      </c>
      <c r="C730" s="1" t="s">
        <v>15</v>
      </c>
      <c r="D730" s="2">
        <v>26961</v>
      </c>
      <c r="E730" s="2">
        <v>242468</v>
      </c>
      <c r="F730" s="4">
        <v>86701</v>
      </c>
    </row>
    <row r="731" spans="1:6" x14ac:dyDescent="0.3">
      <c r="A731" s="3">
        <v>2019</v>
      </c>
      <c r="B731" s="1" t="s">
        <v>59</v>
      </c>
      <c r="C731" s="1" t="s">
        <v>16</v>
      </c>
      <c r="D731" s="2">
        <v>5859</v>
      </c>
      <c r="E731" s="2">
        <v>33273</v>
      </c>
      <c r="F731" s="4">
        <v>59504</v>
      </c>
    </row>
    <row r="732" spans="1:6" x14ac:dyDescent="0.3">
      <c r="A732" s="3">
        <v>2019</v>
      </c>
      <c r="B732" s="1" t="s">
        <v>59</v>
      </c>
      <c r="C732" s="1" t="s">
        <v>17</v>
      </c>
      <c r="D732" s="2">
        <v>32792</v>
      </c>
      <c r="E732" s="2">
        <v>381941</v>
      </c>
      <c r="F732" s="4">
        <v>113091</v>
      </c>
    </row>
    <row r="733" spans="1:6" x14ac:dyDescent="0.3">
      <c r="A733" s="3">
        <v>2019</v>
      </c>
      <c r="B733" s="1" t="s">
        <v>59</v>
      </c>
      <c r="C733" s="1" t="s">
        <v>18</v>
      </c>
      <c r="D733" s="2">
        <v>16940</v>
      </c>
      <c r="E733" s="2">
        <v>135547</v>
      </c>
      <c r="F733" s="4">
        <v>67469</v>
      </c>
    </row>
    <row r="734" spans="1:6" x14ac:dyDescent="0.3">
      <c r="A734" s="3">
        <v>2019</v>
      </c>
      <c r="B734" s="1" t="s">
        <v>59</v>
      </c>
      <c r="C734" s="1" t="s">
        <v>19</v>
      </c>
      <c r="D734" s="2">
        <v>10414</v>
      </c>
      <c r="E734" s="2">
        <v>110010</v>
      </c>
      <c r="F734" s="4">
        <v>76212</v>
      </c>
    </row>
    <row r="735" spans="1:6" x14ac:dyDescent="0.3">
      <c r="A735" s="3">
        <v>2019</v>
      </c>
      <c r="B735" s="1" t="s">
        <v>59</v>
      </c>
      <c r="C735" s="1" t="s">
        <v>20</v>
      </c>
      <c r="D735" s="2">
        <v>8744</v>
      </c>
      <c r="E735" s="2">
        <v>74336</v>
      </c>
      <c r="F735" s="4">
        <v>68950</v>
      </c>
    </row>
    <row r="736" spans="1:6" x14ac:dyDescent="0.3">
      <c r="A736" s="3">
        <v>2019</v>
      </c>
      <c r="B736" s="1" t="s">
        <v>59</v>
      </c>
      <c r="C736" s="1" t="s">
        <v>21</v>
      </c>
      <c r="D736" s="2">
        <v>11201</v>
      </c>
      <c r="E736" s="2">
        <v>93556</v>
      </c>
      <c r="F736" s="4">
        <v>69885</v>
      </c>
    </row>
    <row r="737" spans="1:6" x14ac:dyDescent="0.3">
      <c r="A737" s="3">
        <v>2019</v>
      </c>
      <c r="B737" s="1" t="s">
        <v>59</v>
      </c>
      <c r="C737" s="1" t="s">
        <v>22</v>
      </c>
      <c r="D737" s="2">
        <v>13852</v>
      </c>
      <c r="E737" s="2">
        <v>84791</v>
      </c>
      <c r="F737" s="4">
        <v>63590</v>
      </c>
    </row>
    <row r="738" spans="1:6" x14ac:dyDescent="0.3">
      <c r="A738" s="3">
        <v>2019</v>
      </c>
      <c r="B738" s="1" t="s">
        <v>59</v>
      </c>
      <c r="C738" s="1" t="s">
        <v>23</v>
      </c>
      <c r="D738" s="2">
        <v>3854</v>
      </c>
      <c r="E738" s="2">
        <v>30481</v>
      </c>
      <c r="F738" s="4">
        <v>70030</v>
      </c>
    </row>
    <row r="739" spans="1:6" x14ac:dyDescent="0.3">
      <c r="A739" s="3">
        <v>2019</v>
      </c>
      <c r="B739" s="1" t="s">
        <v>59</v>
      </c>
      <c r="C739" s="1" t="s">
        <v>24</v>
      </c>
      <c r="D739" s="2">
        <v>15512</v>
      </c>
      <c r="E739" s="2">
        <v>135216</v>
      </c>
      <c r="F739" s="4">
        <v>98024</v>
      </c>
    </row>
    <row r="740" spans="1:6" x14ac:dyDescent="0.3">
      <c r="A740" s="3">
        <v>2019</v>
      </c>
      <c r="B740" s="1" t="s">
        <v>59</v>
      </c>
      <c r="C740" s="1" t="s">
        <v>25</v>
      </c>
      <c r="D740" s="2">
        <v>17883</v>
      </c>
      <c r="E740" s="2">
        <v>218858</v>
      </c>
      <c r="F740" s="4">
        <v>147565</v>
      </c>
    </row>
    <row r="741" spans="1:6" x14ac:dyDescent="0.3">
      <c r="A741" s="3">
        <v>2019</v>
      </c>
      <c r="B741" s="1" t="s">
        <v>59</v>
      </c>
      <c r="C741" s="1" t="s">
        <v>26</v>
      </c>
      <c r="D741" s="2">
        <v>19641</v>
      </c>
      <c r="E741" s="2">
        <v>208812</v>
      </c>
      <c r="F741" s="4">
        <v>73691</v>
      </c>
    </row>
    <row r="742" spans="1:6" x14ac:dyDescent="0.3">
      <c r="A742" s="3">
        <v>2019</v>
      </c>
      <c r="B742" s="1" t="s">
        <v>59</v>
      </c>
      <c r="C742" s="1" t="s">
        <v>27</v>
      </c>
      <c r="D742" s="2">
        <v>15855</v>
      </c>
      <c r="E742" s="2">
        <v>182914</v>
      </c>
      <c r="F742" s="4">
        <v>97673</v>
      </c>
    </row>
    <row r="743" spans="1:6" x14ac:dyDescent="0.3">
      <c r="A743" s="3">
        <v>2019</v>
      </c>
      <c r="B743" s="1" t="s">
        <v>59</v>
      </c>
      <c r="C743" s="1" t="s">
        <v>28</v>
      </c>
      <c r="D743" s="2">
        <v>7944</v>
      </c>
      <c r="E743" s="2">
        <v>43109</v>
      </c>
      <c r="F743" s="4">
        <v>54672</v>
      </c>
    </row>
    <row r="744" spans="1:6" x14ac:dyDescent="0.3">
      <c r="A744" s="3">
        <v>2019</v>
      </c>
      <c r="B744" s="1" t="s">
        <v>59</v>
      </c>
      <c r="C744" s="1" t="s">
        <v>29</v>
      </c>
      <c r="D744" s="2">
        <v>17951</v>
      </c>
      <c r="E744" s="2">
        <v>166025</v>
      </c>
      <c r="F744" s="4">
        <v>75387</v>
      </c>
    </row>
    <row r="745" spans="1:6" x14ac:dyDescent="0.3">
      <c r="A745" s="3">
        <v>2019</v>
      </c>
      <c r="B745" s="1" t="s">
        <v>59</v>
      </c>
      <c r="C745" s="1" t="s">
        <v>30</v>
      </c>
      <c r="D745" s="2">
        <v>4314</v>
      </c>
      <c r="E745" s="2">
        <v>22199</v>
      </c>
      <c r="F745" s="4">
        <v>60907</v>
      </c>
    </row>
    <row r="746" spans="1:6" x14ac:dyDescent="0.3">
      <c r="A746" s="3">
        <v>2019</v>
      </c>
      <c r="B746" s="1" t="s">
        <v>59</v>
      </c>
      <c r="C746" s="1" t="s">
        <v>31</v>
      </c>
      <c r="D746" s="2">
        <v>6842</v>
      </c>
      <c r="E746" s="2">
        <v>67425</v>
      </c>
      <c r="F746" s="4">
        <v>69072</v>
      </c>
    </row>
    <row r="747" spans="1:6" x14ac:dyDescent="0.3">
      <c r="A747" s="3">
        <v>2019</v>
      </c>
      <c r="B747" s="1" t="s">
        <v>59</v>
      </c>
      <c r="C747" s="1" t="s">
        <v>32</v>
      </c>
      <c r="D747" s="2">
        <v>9324</v>
      </c>
      <c r="E747" s="2">
        <v>64932</v>
      </c>
      <c r="F747" s="4">
        <v>70204</v>
      </c>
    </row>
    <row r="748" spans="1:6" x14ac:dyDescent="0.3">
      <c r="A748" s="3">
        <v>2019</v>
      </c>
      <c r="B748" s="1" t="s">
        <v>59</v>
      </c>
      <c r="C748" s="1" t="s">
        <v>33</v>
      </c>
      <c r="D748" s="2">
        <v>3881</v>
      </c>
      <c r="E748" s="2">
        <v>33418</v>
      </c>
      <c r="F748" s="4">
        <v>100104</v>
      </c>
    </row>
    <row r="749" spans="1:6" x14ac:dyDescent="0.3">
      <c r="A749" s="3">
        <v>2019</v>
      </c>
      <c r="B749" s="1" t="s">
        <v>59</v>
      </c>
      <c r="C749" s="1" t="s">
        <v>34</v>
      </c>
      <c r="D749" s="2">
        <v>20037</v>
      </c>
      <c r="E749" s="2">
        <v>243892</v>
      </c>
      <c r="F749" s="4">
        <v>117277</v>
      </c>
    </row>
    <row r="750" spans="1:6" x14ac:dyDescent="0.3">
      <c r="A750" s="3">
        <v>2019</v>
      </c>
      <c r="B750" s="1" t="s">
        <v>59</v>
      </c>
      <c r="C750" s="1" t="s">
        <v>35</v>
      </c>
      <c r="D750" s="2">
        <v>5460</v>
      </c>
      <c r="E750" s="2">
        <v>33799</v>
      </c>
      <c r="F750" s="4">
        <v>57768</v>
      </c>
    </row>
    <row r="751" spans="1:6" x14ac:dyDescent="0.3">
      <c r="A751" s="3">
        <v>2019</v>
      </c>
      <c r="B751" s="1" t="s">
        <v>59</v>
      </c>
      <c r="C751" s="1" t="s">
        <v>36</v>
      </c>
      <c r="D751" s="2">
        <v>63310</v>
      </c>
      <c r="E751" s="2">
        <v>720818</v>
      </c>
      <c r="F751" s="4">
        <v>191494</v>
      </c>
    </row>
    <row r="752" spans="1:6" x14ac:dyDescent="0.3">
      <c r="A752" s="3">
        <v>2019</v>
      </c>
      <c r="B752" s="1" t="s">
        <v>59</v>
      </c>
      <c r="C752" s="1" t="s">
        <v>37</v>
      </c>
      <c r="D752" s="2">
        <v>28672</v>
      </c>
      <c r="E752" s="2">
        <v>245903</v>
      </c>
      <c r="F752" s="4">
        <v>89886</v>
      </c>
    </row>
    <row r="753" spans="1:6" x14ac:dyDescent="0.3">
      <c r="A753" s="3">
        <v>2019</v>
      </c>
      <c r="B753" s="1" t="s">
        <v>59</v>
      </c>
      <c r="C753" s="1" t="s">
        <v>38</v>
      </c>
      <c r="D753" s="2">
        <v>2985</v>
      </c>
      <c r="E753" s="2">
        <v>23264</v>
      </c>
      <c r="F753" s="4">
        <v>65784</v>
      </c>
    </row>
    <row r="754" spans="1:6" x14ac:dyDescent="0.3">
      <c r="A754" s="3">
        <v>2019</v>
      </c>
      <c r="B754" s="1" t="s">
        <v>59</v>
      </c>
      <c r="C754" s="1" t="s">
        <v>39</v>
      </c>
      <c r="D754" s="2">
        <v>29119</v>
      </c>
      <c r="E754" s="2">
        <v>292556</v>
      </c>
      <c r="F754" s="4">
        <v>75683</v>
      </c>
    </row>
    <row r="755" spans="1:6" x14ac:dyDescent="0.3">
      <c r="A755" s="3">
        <v>2019</v>
      </c>
      <c r="B755" s="1" t="s">
        <v>59</v>
      </c>
      <c r="C755" s="1" t="s">
        <v>40</v>
      </c>
      <c r="D755" s="2">
        <v>11672</v>
      </c>
      <c r="E755" s="2">
        <v>77324</v>
      </c>
      <c r="F755" s="4">
        <v>59814</v>
      </c>
    </row>
    <row r="756" spans="1:6" x14ac:dyDescent="0.3">
      <c r="A756" s="3">
        <v>2019</v>
      </c>
      <c r="B756" s="1" t="s">
        <v>59</v>
      </c>
      <c r="C756" s="1" t="s">
        <v>41</v>
      </c>
      <c r="D756" s="2">
        <v>13190</v>
      </c>
      <c r="E756" s="2">
        <v>85425</v>
      </c>
      <c r="F756" s="4">
        <v>73291</v>
      </c>
    </row>
    <row r="757" spans="1:6" x14ac:dyDescent="0.3">
      <c r="A757" s="3">
        <v>2019</v>
      </c>
      <c r="B757" s="1" t="s">
        <v>59</v>
      </c>
      <c r="C757" s="1" t="s">
        <v>42</v>
      </c>
      <c r="D757" s="2">
        <v>29264</v>
      </c>
      <c r="E757" s="2">
        <v>329745</v>
      </c>
      <c r="F757" s="4">
        <v>90778</v>
      </c>
    </row>
    <row r="758" spans="1:6" x14ac:dyDescent="0.3">
      <c r="A758" s="3">
        <v>2019</v>
      </c>
      <c r="B758" s="1" t="s">
        <v>59</v>
      </c>
      <c r="C758" s="1" t="s">
        <v>43</v>
      </c>
      <c r="D758" s="2">
        <v>2934</v>
      </c>
      <c r="E758" s="2">
        <v>32223</v>
      </c>
      <c r="F758" s="4">
        <v>91537</v>
      </c>
    </row>
    <row r="759" spans="1:6" x14ac:dyDescent="0.3">
      <c r="A759" s="3">
        <v>2019</v>
      </c>
      <c r="B759" s="1" t="s">
        <v>59</v>
      </c>
      <c r="C759" s="1" t="s">
        <v>44</v>
      </c>
      <c r="D759" s="2">
        <v>14196</v>
      </c>
      <c r="E759" s="2">
        <v>101755</v>
      </c>
      <c r="F759" s="4">
        <v>64481</v>
      </c>
    </row>
    <row r="760" spans="1:6" x14ac:dyDescent="0.3">
      <c r="A760" s="3">
        <v>2019</v>
      </c>
      <c r="B760" s="1" t="s">
        <v>59</v>
      </c>
      <c r="C760" s="1" t="s">
        <v>45</v>
      </c>
      <c r="D760" s="2">
        <v>3315</v>
      </c>
      <c r="E760" s="2">
        <v>28483</v>
      </c>
      <c r="F760" s="4">
        <v>63499</v>
      </c>
    </row>
    <row r="761" spans="1:6" x14ac:dyDescent="0.3">
      <c r="A761" s="3">
        <v>2019</v>
      </c>
      <c r="B761" s="1" t="s">
        <v>59</v>
      </c>
      <c r="C761" s="1" t="s">
        <v>46</v>
      </c>
      <c r="D761" s="2">
        <v>16270</v>
      </c>
      <c r="E761" s="2">
        <v>157388</v>
      </c>
      <c r="F761" s="4">
        <v>77805</v>
      </c>
    </row>
    <row r="762" spans="1:6" x14ac:dyDescent="0.3">
      <c r="A762" s="3">
        <v>2019</v>
      </c>
      <c r="B762" s="1" t="s">
        <v>59</v>
      </c>
      <c r="C762" s="1" t="s">
        <v>47</v>
      </c>
      <c r="D762" s="2">
        <v>76169</v>
      </c>
      <c r="E762" s="2">
        <v>777574</v>
      </c>
      <c r="F762" s="4">
        <v>86718</v>
      </c>
    </row>
    <row r="763" spans="1:6" x14ac:dyDescent="0.3">
      <c r="A763" s="3">
        <v>2019</v>
      </c>
      <c r="B763" s="1" t="s">
        <v>59</v>
      </c>
      <c r="C763" s="1" t="s">
        <v>48</v>
      </c>
      <c r="D763" s="2">
        <v>11885</v>
      </c>
      <c r="E763" s="2">
        <v>90007</v>
      </c>
      <c r="F763" s="4">
        <v>70967</v>
      </c>
    </row>
    <row r="764" spans="1:6" x14ac:dyDescent="0.3">
      <c r="A764" s="3">
        <v>2019</v>
      </c>
      <c r="B764" s="1" t="s">
        <v>59</v>
      </c>
      <c r="C764" s="1" t="s">
        <v>49</v>
      </c>
      <c r="D764" s="2">
        <v>1709</v>
      </c>
      <c r="E764" s="2">
        <v>11948</v>
      </c>
      <c r="F764" s="4">
        <v>74642</v>
      </c>
    </row>
    <row r="765" spans="1:6" x14ac:dyDescent="0.3">
      <c r="A765" s="3">
        <v>2019</v>
      </c>
      <c r="B765" s="1" t="s">
        <v>59</v>
      </c>
      <c r="C765" s="1" t="s">
        <v>50</v>
      </c>
      <c r="D765" s="2">
        <v>22249</v>
      </c>
      <c r="E765" s="2">
        <v>198459</v>
      </c>
      <c r="F765" s="4">
        <v>88029</v>
      </c>
    </row>
    <row r="766" spans="1:6" x14ac:dyDescent="0.3">
      <c r="A766" s="3">
        <v>2019</v>
      </c>
      <c r="B766" s="1" t="s">
        <v>59</v>
      </c>
      <c r="C766" s="1" t="s">
        <v>51</v>
      </c>
      <c r="D766" s="2">
        <v>17624</v>
      </c>
      <c r="E766" s="2">
        <v>150178</v>
      </c>
      <c r="F766" s="4">
        <v>85242</v>
      </c>
    </row>
    <row r="767" spans="1:6" x14ac:dyDescent="0.3">
      <c r="A767" s="3">
        <v>2019</v>
      </c>
      <c r="B767" s="1" t="s">
        <v>59</v>
      </c>
      <c r="C767" s="1" t="s">
        <v>52</v>
      </c>
      <c r="D767" s="2">
        <v>4003</v>
      </c>
      <c r="E767" s="2">
        <v>24569</v>
      </c>
      <c r="F767" s="4">
        <v>54528</v>
      </c>
    </row>
    <row r="768" spans="1:6" x14ac:dyDescent="0.3">
      <c r="A768" s="3">
        <v>2019</v>
      </c>
      <c r="B768" s="1" t="s">
        <v>59</v>
      </c>
      <c r="C768" s="1" t="s">
        <v>53</v>
      </c>
      <c r="D768" s="2">
        <v>14066</v>
      </c>
      <c r="E768" s="2">
        <v>150327</v>
      </c>
      <c r="F768" s="4">
        <v>74040</v>
      </c>
    </row>
    <row r="769" spans="1:6" x14ac:dyDescent="0.3">
      <c r="A769" s="3">
        <v>2019</v>
      </c>
      <c r="B769" s="1" t="s">
        <v>59</v>
      </c>
      <c r="C769" s="1" t="s">
        <v>54</v>
      </c>
      <c r="D769" s="2">
        <v>2306</v>
      </c>
      <c r="E769" s="2">
        <v>11180</v>
      </c>
      <c r="F769" s="4">
        <v>60849</v>
      </c>
    </row>
    <row r="770" spans="1:6" x14ac:dyDescent="0.3">
      <c r="A770" s="3">
        <v>2019</v>
      </c>
      <c r="B770" s="1" t="s">
        <v>60</v>
      </c>
      <c r="C770" s="1" t="s">
        <v>7</v>
      </c>
      <c r="D770" s="2">
        <v>22186</v>
      </c>
      <c r="E770" s="2">
        <v>251073</v>
      </c>
      <c r="F770" s="4">
        <v>57061</v>
      </c>
    </row>
    <row r="771" spans="1:6" x14ac:dyDescent="0.3">
      <c r="A771" s="3">
        <v>2019</v>
      </c>
      <c r="B771" s="1" t="s">
        <v>60</v>
      </c>
      <c r="C771" s="1" t="s">
        <v>8</v>
      </c>
      <c r="D771" s="2">
        <v>38940</v>
      </c>
      <c r="E771" s="2">
        <v>445648</v>
      </c>
      <c r="F771" s="4">
        <v>58892</v>
      </c>
    </row>
    <row r="772" spans="1:6" x14ac:dyDescent="0.3">
      <c r="A772" s="3">
        <v>2019</v>
      </c>
      <c r="B772" s="1" t="s">
        <v>60</v>
      </c>
      <c r="C772" s="1" t="s">
        <v>9</v>
      </c>
      <c r="D772" s="2">
        <v>14911</v>
      </c>
      <c r="E772" s="2">
        <v>145841</v>
      </c>
      <c r="F772" s="4">
        <v>63354</v>
      </c>
    </row>
    <row r="773" spans="1:6" x14ac:dyDescent="0.3">
      <c r="A773" s="3">
        <v>2019</v>
      </c>
      <c r="B773" s="1" t="s">
        <v>60</v>
      </c>
      <c r="C773" s="1" t="s">
        <v>10</v>
      </c>
      <c r="D773" s="2">
        <v>215691</v>
      </c>
      <c r="E773" s="2">
        <v>2723437</v>
      </c>
      <c r="F773" s="4">
        <v>95348</v>
      </c>
    </row>
    <row r="774" spans="1:6" x14ac:dyDescent="0.3">
      <c r="A774" s="3">
        <v>2019</v>
      </c>
      <c r="B774" s="1" t="s">
        <v>60</v>
      </c>
      <c r="C774" s="1" t="s">
        <v>11</v>
      </c>
      <c r="D774" s="2">
        <v>55003</v>
      </c>
      <c r="E774" s="2">
        <v>439613</v>
      </c>
      <c r="F774" s="4">
        <v>86477</v>
      </c>
    </row>
    <row r="775" spans="1:6" x14ac:dyDescent="0.3">
      <c r="A775" s="3">
        <v>2019</v>
      </c>
      <c r="B775" s="1" t="s">
        <v>60</v>
      </c>
      <c r="C775" s="1" t="s">
        <v>12</v>
      </c>
      <c r="D775" s="2">
        <v>23755</v>
      </c>
      <c r="E775" s="2">
        <v>218815</v>
      </c>
      <c r="F775" s="4">
        <v>92139</v>
      </c>
    </row>
    <row r="776" spans="1:6" x14ac:dyDescent="0.3">
      <c r="A776" s="3">
        <v>2019</v>
      </c>
      <c r="B776" s="1" t="s">
        <v>60</v>
      </c>
      <c r="C776" s="1" t="s">
        <v>13</v>
      </c>
      <c r="D776" s="2">
        <v>9421</v>
      </c>
      <c r="E776" s="2">
        <v>63844</v>
      </c>
      <c r="F776" s="4">
        <v>82658</v>
      </c>
    </row>
    <row r="777" spans="1:6" x14ac:dyDescent="0.3">
      <c r="A777" s="3">
        <v>2019</v>
      </c>
      <c r="B777" s="1" t="s">
        <v>60</v>
      </c>
      <c r="C777" s="1" t="s">
        <v>14</v>
      </c>
      <c r="D777" s="2">
        <v>170397</v>
      </c>
      <c r="E777" s="2">
        <v>1391050</v>
      </c>
      <c r="F777" s="4">
        <v>63740</v>
      </c>
    </row>
    <row r="778" spans="1:6" x14ac:dyDescent="0.3">
      <c r="A778" s="3">
        <v>2019</v>
      </c>
      <c r="B778" s="1" t="s">
        <v>60</v>
      </c>
      <c r="C778" s="1" t="s">
        <v>15</v>
      </c>
      <c r="D778" s="2">
        <v>56304</v>
      </c>
      <c r="E778" s="2">
        <v>717238</v>
      </c>
      <c r="F778" s="4">
        <v>71861</v>
      </c>
    </row>
    <row r="779" spans="1:6" x14ac:dyDescent="0.3">
      <c r="A779" s="3">
        <v>2019</v>
      </c>
      <c r="B779" s="1" t="s">
        <v>60</v>
      </c>
      <c r="C779" s="1" t="s">
        <v>16</v>
      </c>
      <c r="D779" s="2">
        <v>11359</v>
      </c>
      <c r="E779" s="2">
        <v>94181</v>
      </c>
      <c r="F779" s="4">
        <v>55072</v>
      </c>
    </row>
    <row r="780" spans="1:6" x14ac:dyDescent="0.3">
      <c r="A780" s="3">
        <v>2019</v>
      </c>
      <c r="B780" s="1" t="s">
        <v>60</v>
      </c>
      <c r="C780" s="1" t="s">
        <v>17</v>
      </c>
      <c r="D780" s="2">
        <v>75870</v>
      </c>
      <c r="E780" s="2">
        <v>948055</v>
      </c>
      <c r="F780" s="4">
        <v>78228</v>
      </c>
    </row>
    <row r="781" spans="1:6" x14ac:dyDescent="0.3">
      <c r="A781" s="3">
        <v>2019</v>
      </c>
      <c r="B781" s="1" t="s">
        <v>60</v>
      </c>
      <c r="C781" s="1" t="s">
        <v>18</v>
      </c>
      <c r="D781" s="2">
        <v>30165</v>
      </c>
      <c r="E781" s="2">
        <v>346667</v>
      </c>
      <c r="F781" s="4">
        <v>53817</v>
      </c>
    </row>
    <row r="782" spans="1:6" x14ac:dyDescent="0.3">
      <c r="A782" s="3">
        <v>2019</v>
      </c>
      <c r="B782" s="1" t="s">
        <v>60</v>
      </c>
      <c r="C782" s="1" t="s">
        <v>19</v>
      </c>
      <c r="D782" s="2">
        <v>16421</v>
      </c>
      <c r="E782" s="2">
        <v>139337</v>
      </c>
      <c r="F782" s="4">
        <v>56755</v>
      </c>
    </row>
    <row r="783" spans="1:6" x14ac:dyDescent="0.3">
      <c r="A783" s="3">
        <v>2019</v>
      </c>
      <c r="B783" s="1" t="s">
        <v>60</v>
      </c>
      <c r="C783" s="1" t="s">
        <v>20</v>
      </c>
      <c r="D783" s="2">
        <v>16598</v>
      </c>
      <c r="E783" s="2">
        <v>179211</v>
      </c>
      <c r="F783" s="4">
        <v>64554</v>
      </c>
    </row>
    <row r="784" spans="1:6" x14ac:dyDescent="0.3">
      <c r="A784" s="3">
        <v>2019</v>
      </c>
      <c r="B784" s="1" t="s">
        <v>60</v>
      </c>
      <c r="C784" s="1" t="s">
        <v>21</v>
      </c>
      <c r="D784" s="2">
        <v>20866</v>
      </c>
      <c r="E784" s="2">
        <v>216049</v>
      </c>
      <c r="F784" s="4">
        <v>52511</v>
      </c>
    </row>
    <row r="785" spans="1:6" x14ac:dyDescent="0.3">
      <c r="A785" s="3">
        <v>2019</v>
      </c>
      <c r="B785" s="1" t="s">
        <v>60</v>
      </c>
      <c r="C785" s="1" t="s">
        <v>22</v>
      </c>
      <c r="D785" s="2">
        <v>25304</v>
      </c>
      <c r="E785" s="2">
        <v>216009</v>
      </c>
      <c r="F785" s="4">
        <v>57624</v>
      </c>
    </row>
    <row r="786" spans="1:6" x14ac:dyDescent="0.3">
      <c r="A786" s="3">
        <v>2019</v>
      </c>
      <c r="B786" s="1" t="s">
        <v>60</v>
      </c>
      <c r="C786" s="1" t="s">
        <v>23</v>
      </c>
      <c r="D786" s="2">
        <v>10504</v>
      </c>
      <c r="E786" s="2">
        <v>69931</v>
      </c>
      <c r="F786" s="4">
        <v>60893</v>
      </c>
    </row>
    <row r="787" spans="1:6" x14ac:dyDescent="0.3">
      <c r="A787" s="3">
        <v>2019</v>
      </c>
      <c r="B787" s="1" t="s">
        <v>60</v>
      </c>
      <c r="C787" s="1" t="s">
        <v>24</v>
      </c>
      <c r="D787" s="2">
        <v>44172</v>
      </c>
      <c r="E787" s="2">
        <v>461724</v>
      </c>
      <c r="F787" s="4">
        <v>82573</v>
      </c>
    </row>
    <row r="788" spans="1:6" x14ac:dyDescent="0.3">
      <c r="A788" s="3">
        <v>2019</v>
      </c>
      <c r="B788" s="1" t="s">
        <v>60</v>
      </c>
      <c r="C788" s="1" t="s">
        <v>25</v>
      </c>
      <c r="D788" s="2">
        <v>47892</v>
      </c>
      <c r="E788" s="2">
        <v>605822</v>
      </c>
      <c r="F788" s="4">
        <v>113872</v>
      </c>
    </row>
    <row r="789" spans="1:6" x14ac:dyDescent="0.3">
      <c r="A789" s="3">
        <v>2019</v>
      </c>
      <c r="B789" s="1" t="s">
        <v>60</v>
      </c>
      <c r="C789" s="1" t="s">
        <v>26</v>
      </c>
      <c r="D789" s="2">
        <v>44483</v>
      </c>
      <c r="E789" s="2">
        <v>655188</v>
      </c>
      <c r="F789" s="4">
        <v>70805</v>
      </c>
    </row>
    <row r="790" spans="1:6" x14ac:dyDescent="0.3">
      <c r="A790" s="3">
        <v>2019</v>
      </c>
      <c r="B790" s="1" t="s">
        <v>60</v>
      </c>
      <c r="C790" s="1" t="s">
        <v>27</v>
      </c>
      <c r="D790" s="2">
        <v>32903</v>
      </c>
      <c r="E790" s="2">
        <v>383591</v>
      </c>
      <c r="F790" s="4">
        <v>85736</v>
      </c>
    </row>
    <row r="791" spans="1:6" x14ac:dyDescent="0.3">
      <c r="A791" s="3">
        <v>2019</v>
      </c>
      <c r="B791" s="1" t="s">
        <v>60</v>
      </c>
      <c r="C791" s="1" t="s">
        <v>28</v>
      </c>
      <c r="D791" s="2">
        <v>12421</v>
      </c>
      <c r="E791" s="2">
        <v>108490</v>
      </c>
      <c r="F791" s="4">
        <v>43023</v>
      </c>
    </row>
    <row r="792" spans="1:6" x14ac:dyDescent="0.3">
      <c r="A792" s="3">
        <v>2019</v>
      </c>
      <c r="B792" s="1" t="s">
        <v>60</v>
      </c>
      <c r="C792" s="1" t="s">
        <v>29</v>
      </c>
      <c r="D792" s="2">
        <v>34349</v>
      </c>
      <c r="E792" s="2">
        <v>382484</v>
      </c>
      <c r="F792" s="4">
        <v>68700</v>
      </c>
    </row>
    <row r="793" spans="1:6" x14ac:dyDescent="0.3">
      <c r="A793" s="3">
        <v>2019</v>
      </c>
      <c r="B793" s="1" t="s">
        <v>60</v>
      </c>
      <c r="C793" s="1" t="s">
        <v>30</v>
      </c>
      <c r="D793" s="2">
        <v>9482</v>
      </c>
      <c r="E793" s="2">
        <v>43417</v>
      </c>
      <c r="F793" s="4">
        <v>54553</v>
      </c>
    </row>
    <row r="794" spans="1:6" x14ac:dyDescent="0.3">
      <c r="A794" s="3">
        <v>2019</v>
      </c>
      <c r="B794" s="1" t="s">
        <v>60</v>
      </c>
      <c r="C794" s="1" t="s">
        <v>31</v>
      </c>
      <c r="D794" s="2">
        <v>11737</v>
      </c>
      <c r="E794" s="2">
        <v>120560</v>
      </c>
      <c r="F794" s="4">
        <v>60603</v>
      </c>
    </row>
    <row r="795" spans="1:6" x14ac:dyDescent="0.3">
      <c r="A795" s="3">
        <v>2019</v>
      </c>
      <c r="B795" s="1" t="s">
        <v>60</v>
      </c>
      <c r="C795" s="1" t="s">
        <v>32</v>
      </c>
      <c r="D795" s="2">
        <v>20106</v>
      </c>
      <c r="E795" s="2">
        <v>196204</v>
      </c>
      <c r="F795" s="4">
        <v>62008</v>
      </c>
    </row>
    <row r="796" spans="1:6" x14ac:dyDescent="0.3">
      <c r="A796" s="3">
        <v>2019</v>
      </c>
      <c r="B796" s="1" t="s">
        <v>60</v>
      </c>
      <c r="C796" s="1" t="s">
        <v>33</v>
      </c>
      <c r="D796" s="2">
        <v>12808</v>
      </c>
      <c r="E796" s="2">
        <v>83513</v>
      </c>
      <c r="F796" s="4">
        <v>80647</v>
      </c>
    </row>
    <row r="797" spans="1:6" x14ac:dyDescent="0.3">
      <c r="A797" s="3">
        <v>2019</v>
      </c>
      <c r="B797" s="1" t="s">
        <v>60</v>
      </c>
      <c r="C797" s="1" t="s">
        <v>34</v>
      </c>
      <c r="D797" s="2">
        <v>52040</v>
      </c>
      <c r="E797" s="2">
        <v>677810</v>
      </c>
      <c r="F797" s="4">
        <v>94022</v>
      </c>
    </row>
    <row r="798" spans="1:6" x14ac:dyDescent="0.3">
      <c r="A798" s="3">
        <v>2019</v>
      </c>
      <c r="B798" s="1" t="s">
        <v>60</v>
      </c>
      <c r="C798" s="1" t="s">
        <v>35</v>
      </c>
      <c r="D798" s="2">
        <v>11347</v>
      </c>
      <c r="E798" s="2">
        <v>111478</v>
      </c>
      <c r="F798" s="4">
        <v>64156</v>
      </c>
    </row>
    <row r="799" spans="1:6" x14ac:dyDescent="0.3">
      <c r="A799" s="3">
        <v>2019</v>
      </c>
      <c r="B799" s="1" t="s">
        <v>60</v>
      </c>
      <c r="C799" s="1" t="s">
        <v>36</v>
      </c>
      <c r="D799" s="2">
        <v>112890</v>
      </c>
      <c r="E799" s="2">
        <v>1368950</v>
      </c>
      <c r="F799" s="4">
        <v>99615</v>
      </c>
    </row>
    <row r="800" spans="1:6" x14ac:dyDescent="0.3">
      <c r="A800" s="3">
        <v>2019</v>
      </c>
      <c r="B800" s="1" t="s">
        <v>60</v>
      </c>
      <c r="C800" s="1" t="s">
        <v>37</v>
      </c>
      <c r="D800" s="2">
        <v>61321</v>
      </c>
      <c r="E800" s="2">
        <v>649747</v>
      </c>
      <c r="F800" s="4">
        <v>67705</v>
      </c>
    </row>
    <row r="801" spans="1:6" x14ac:dyDescent="0.3">
      <c r="A801" s="3">
        <v>2019</v>
      </c>
      <c r="B801" s="1" t="s">
        <v>60</v>
      </c>
      <c r="C801" s="1" t="s">
        <v>38</v>
      </c>
      <c r="D801" s="2">
        <v>5198</v>
      </c>
      <c r="E801" s="2">
        <v>32856</v>
      </c>
      <c r="F801" s="4">
        <v>63897</v>
      </c>
    </row>
    <row r="802" spans="1:6" x14ac:dyDescent="0.3">
      <c r="A802" s="3">
        <v>2019</v>
      </c>
      <c r="B802" s="1" t="s">
        <v>60</v>
      </c>
      <c r="C802" s="1" t="s">
        <v>39</v>
      </c>
      <c r="D802" s="2">
        <v>54330</v>
      </c>
      <c r="E802" s="2">
        <v>734963</v>
      </c>
      <c r="F802" s="4">
        <v>66752</v>
      </c>
    </row>
    <row r="803" spans="1:6" x14ac:dyDescent="0.3">
      <c r="A803" s="3">
        <v>2019</v>
      </c>
      <c r="B803" s="1" t="s">
        <v>60</v>
      </c>
      <c r="C803" s="1" t="s">
        <v>40</v>
      </c>
      <c r="D803" s="2">
        <v>21148</v>
      </c>
      <c r="E803" s="2">
        <v>194601</v>
      </c>
      <c r="F803" s="4">
        <v>54841</v>
      </c>
    </row>
    <row r="804" spans="1:6" x14ac:dyDescent="0.3">
      <c r="A804" s="3">
        <v>2019</v>
      </c>
      <c r="B804" s="1" t="s">
        <v>60</v>
      </c>
      <c r="C804" s="1" t="s">
        <v>41</v>
      </c>
      <c r="D804" s="2">
        <v>26161</v>
      </c>
      <c r="E804" s="2">
        <v>253667</v>
      </c>
      <c r="F804" s="4">
        <v>73460</v>
      </c>
    </row>
    <row r="805" spans="1:6" x14ac:dyDescent="0.3">
      <c r="A805" s="3">
        <v>2019</v>
      </c>
      <c r="B805" s="1" t="s">
        <v>60</v>
      </c>
      <c r="C805" s="1" t="s">
        <v>42</v>
      </c>
      <c r="D805" s="2">
        <v>64541</v>
      </c>
      <c r="E805" s="2">
        <v>816358</v>
      </c>
      <c r="F805" s="4">
        <v>81681</v>
      </c>
    </row>
    <row r="806" spans="1:6" x14ac:dyDescent="0.3">
      <c r="A806" s="3">
        <v>2019</v>
      </c>
      <c r="B806" s="1" t="s">
        <v>60</v>
      </c>
      <c r="C806" s="1" t="s">
        <v>43</v>
      </c>
      <c r="D806" s="2">
        <v>9043</v>
      </c>
      <c r="E806" s="2">
        <v>68259</v>
      </c>
      <c r="F806" s="4">
        <v>68454</v>
      </c>
    </row>
    <row r="807" spans="1:6" x14ac:dyDescent="0.3">
      <c r="A807" s="3">
        <v>2019</v>
      </c>
      <c r="B807" s="1" t="s">
        <v>60</v>
      </c>
      <c r="C807" s="1" t="s">
        <v>44</v>
      </c>
      <c r="D807" s="2">
        <v>29329</v>
      </c>
      <c r="E807" s="2">
        <v>298404</v>
      </c>
      <c r="F807" s="4">
        <v>52492</v>
      </c>
    </row>
    <row r="808" spans="1:6" x14ac:dyDescent="0.3">
      <c r="A808" s="3">
        <v>2019</v>
      </c>
      <c r="B808" s="1" t="s">
        <v>60</v>
      </c>
      <c r="C808" s="1" t="s">
        <v>45</v>
      </c>
      <c r="D808" s="2">
        <v>5498</v>
      </c>
      <c r="E808" s="2">
        <v>33117</v>
      </c>
      <c r="F808" s="4">
        <v>58619</v>
      </c>
    </row>
    <row r="809" spans="1:6" x14ac:dyDescent="0.3">
      <c r="A809" s="3">
        <v>2019</v>
      </c>
      <c r="B809" s="1" t="s">
        <v>60</v>
      </c>
      <c r="C809" s="1" t="s">
        <v>46</v>
      </c>
      <c r="D809" s="2">
        <v>30774</v>
      </c>
      <c r="E809" s="2">
        <v>425933</v>
      </c>
      <c r="F809" s="4">
        <v>62990</v>
      </c>
    </row>
    <row r="810" spans="1:6" x14ac:dyDescent="0.3">
      <c r="A810" s="3">
        <v>2019</v>
      </c>
      <c r="B810" s="1" t="s">
        <v>60</v>
      </c>
      <c r="C810" s="1" t="s">
        <v>47</v>
      </c>
      <c r="D810" s="2">
        <v>139953</v>
      </c>
      <c r="E810" s="2">
        <v>1794316</v>
      </c>
      <c r="F810" s="4">
        <v>77197</v>
      </c>
    </row>
    <row r="811" spans="1:6" x14ac:dyDescent="0.3">
      <c r="A811" s="3">
        <v>2019</v>
      </c>
      <c r="B811" s="1" t="s">
        <v>60</v>
      </c>
      <c r="C811" s="1" t="s">
        <v>48</v>
      </c>
      <c r="D811" s="2">
        <v>24485</v>
      </c>
      <c r="E811" s="2">
        <v>221851</v>
      </c>
      <c r="F811" s="4">
        <v>64641</v>
      </c>
    </row>
    <row r="812" spans="1:6" x14ac:dyDescent="0.3">
      <c r="A812" s="3">
        <v>2019</v>
      </c>
      <c r="B812" s="1" t="s">
        <v>60</v>
      </c>
      <c r="C812" s="1" t="s">
        <v>49</v>
      </c>
      <c r="D812" s="2">
        <v>5970</v>
      </c>
      <c r="E812" s="2">
        <v>29394</v>
      </c>
      <c r="F812" s="4">
        <v>68986</v>
      </c>
    </row>
    <row r="813" spans="1:6" x14ac:dyDescent="0.3">
      <c r="A813" s="3">
        <v>2019</v>
      </c>
      <c r="B813" s="1" t="s">
        <v>60</v>
      </c>
      <c r="C813" s="1" t="s">
        <v>50</v>
      </c>
      <c r="D813" s="2">
        <v>59342</v>
      </c>
      <c r="E813" s="2">
        <v>762590</v>
      </c>
      <c r="F813" s="4">
        <v>90327</v>
      </c>
    </row>
    <row r="814" spans="1:6" x14ac:dyDescent="0.3">
      <c r="A814" s="3">
        <v>2019</v>
      </c>
      <c r="B814" s="1" t="s">
        <v>60</v>
      </c>
      <c r="C814" s="1" t="s">
        <v>51</v>
      </c>
      <c r="D814" s="2">
        <v>41249</v>
      </c>
      <c r="E814" s="2">
        <v>425615</v>
      </c>
      <c r="F814" s="4">
        <v>85460</v>
      </c>
    </row>
    <row r="815" spans="1:6" x14ac:dyDescent="0.3">
      <c r="A815" s="3">
        <v>2019</v>
      </c>
      <c r="B815" s="1" t="s">
        <v>60</v>
      </c>
      <c r="C815" s="1" t="s">
        <v>52</v>
      </c>
      <c r="D815" s="2">
        <v>8381</v>
      </c>
      <c r="E815" s="2">
        <v>69069</v>
      </c>
      <c r="F815" s="4">
        <v>52180</v>
      </c>
    </row>
    <row r="816" spans="1:6" x14ac:dyDescent="0.3">
      <c r="A816" s="3">
        <v>2019</v>
      </c>
      <c r="B816" s="1" t="s">
        <v>60</v>
      </c>
      <c r="C816" s="1" t="s">
        <v>53</v>
      </c>
      <c r="D816" s="2">
        <v>26927</v>
      </c>
      <c r="E816" s="2">
        <v>326120</v>
      </c>
      <c r="F816" s="4">
        <v>63192</v>
      </c>
    </row>
    <row r="817" spans="1:6" x14ac:dyDescent="0.3">
      <c r="A817" s="3">
        <v>2019</v>
      </c>
      <c r="B817" s="1" t="s">
        <v>60</v>
      </c>
      <c r="C817" s="1" t="s">
        <v>54</v>
      </c>
      <c r="D817" s="2">
        <v>4728</v>
      </c>
      <c r="E817" s="2">
        <v>19196</v>
      </c>
      <c r="F817" s="4">
        <v>56253</v>
      </c>
    </row>
    <row r="818" spans="1:6" x14ac:dyDescent="0.3">
      <c r="A818" s="3">
        <v>2019</v>
      </c>
      <c r="B818" s="1" t="s">
        <v>61</v>
      </c>
      <c r="C818" s="1" t="s">
        <v>7</v>
      </c>
      <c r="D818" s="2">
        <v>13692</v>
      </c>
      <c r="E818" s="2">
        <v>238078</v>
      </c>
      <c r="F818" s="4">
        <v>47785</v>
      </c>
    </row>
    <row r="819" spans="1:6" x14ac:dyDescent="0.3">
      <c r="A819" s="3">
        <v>2019</v>
      </c>
      <c r="B819" s="1" t="s">
        <v>61</v>
      </c>
      <c r="C819" s="1" t="s">
        <v>8</v>
      </c>
      <c r="D819" s="2">
        <v>19924</v>
      </c>
      <c r="E819" s="2">
        <v>457984</v>
      </c>
      <c r="F819" s="4">
        <v>52632</v>
      </c>
    </row>
    <row r="820" spans="1:6" x14ac:dyDescent="0.3">
      <c r="A820" s="3">
        <v>2019</v>
      </c>
      <c r="B820" s="1" t="s">
        <v>61</v>
      </c>
      <c r="C820" s="1" t="s">
        <v>9</v>
      </c>
      <c r="D820" s="2">
        <v>15780</v>
      </c>
      <c r="E820" s="2">
        <v>187607</v>
      </c>
      <c r="F820" s="4">
        <v>43983</v>
      </c>
    </row>
    <row r="821" spans="1:6" x14ac:dyDescent="0.3">
      <c r="A821" s="3">
        <v>2019</v>
      </c>
      <c r="B821" s="1" t="s">
        <v>61</v>
      </c>
      <c r="C821" s="1" t="s">
        <v>10</v>
      </c>
      <c r="D821" s="2">
        <v>639529</v>
      </c>
      <c r="E821" s="2">
        <v>2734574</v>
      </c>
      <c r="F821" s="4">
        <v>53909</v>
      </c>
    </row>
    <row r="822" spans="1:6" x14ac:dyDescent="0.3">
      <c r="A822" s="3">
        <v>2019</v>
      </c>
      <c r="B822" s="1" t="s">
        <v>61</v>
      </c>
      <c r="C822" s="1" t="s">
        <v>11</v>
      </c>
      <c r="D822" s="2">
        <v>21747</v>
      </c>
      <c r="E822" s="2">
        <v>341496</v>
      </c>
      <c r="F822" s="4">
        <v>51600</v>
      </c>
    </row>
    <row r="823" spans="1:6" x14ac:dyDescent="0.3">
      <c r="A823" s="3">
        <v>2019</v>
      </c>
      <c r="B823" s="1" t="s">
        <v>61</v>
      </c>
      <c r="C823" s="1" t="s">
        <v>12</v>
      </c>
      <c r="D823" s="2">
        <v>13478</v>
      </c>
      <c r="E823" s="2">
        <v>330418</v>
      </c>
      <c r="F823" s="4">
        <v>57419</v>
      </c>
    </row>
    <row r="824" spans="1:6" x14ac:dyDescent="0.3">
      <c r="A824" s="3">
        <v>2019</v>
      </c>
      <c r="B824" s="1" t="s">
        <v>61</v>
      </c>
      <c r="C824" s="1" t="s">
        <v>13</v>
      </c>
      <c r="D824" s="2">
        <v>5386</v>
      </c>
      <c r="E824" s="2">
        <v>76932</v>
      </c>
      <c r="F824" s="4">
        <v>55284</v>
      </c>
    </row>
    <row r="825" spans="1:6" x14ac:dyDescent="0.3">
      <c r="A825" s="3">
        <v>2019</v>
      </c>
      <c r="B825" s="1" t="s">
        <v>61</v>
      </c>
      <c r="C825" s="1" t="s">
        <v>14</v>
      </c>
      <c r="D825" s="2">
        <v>76615</v>
      </c>
      <c r="E825" s="2">
        <v>1324281</v>
      </c>
      <c r="F825" s="4">
        <v>52039</v>
      </c>
    </row>
    <row r="826" spans="1:6" x14ac:dyDescent="0.3">
      <c r="A826" s="3">
        <v>2019</v>
      </c>
      <c r="B826" s="1" t="s">
        <v>61</v>
      </c>
      <c r="C826" s="1" t="s">
        <v>15</v>
      </c>
      <c r="D826" s="2">
        <v>29998</v>
      </c>
      <c r="E826" s="2">
        <v>580134</v>
      </c>
      <c r="F826" s="4">
        <v>53810</v>
      </c>
    </row>
    <row r="827" spans="1:6" x14ac:dyDescent="0.3">
      <c r="A827" s="3">
        <v>2019</v>
      </c>
      <c r="B827" s="1" t="s">
        <v>61</v>
      </c>
      <c r="C827" s="1" t="s">
        <v>16</v>
      </c>
      <c r="D827" s="2">
        <v>8163</v>
      </c>
      <c r="E827" s="2">
        <v>105424</v>
      </c>
      <c r="F827" s="4">
        <v>43475</v>
      </c>
    </row>
    <row r="828" spans="1:6" x14ac:dyDescent="0.3">
      <c r="A828" s="3">
        <v>2019</v>
      </c>
      <c r="B828" s="1" t="s">
        <v>61</v>
      </c>
      <c r="C828" s="1" t="s">
        <v>17</v>
      </c>
      <c r="D828" s="2">
        <v>35102</v>
      </c>
      <c r="E828" s="2">
        <v>924699</v>
      </c>
      <c r="F828" s="4">
        <v>52038</v>
      </c>
    </row>
    <row r="829" spans="1:6" x14ac:dyDescent="0.3">
      <c r="A829" s="3">
        <v>2019</v>
      </c>
      <c r="B829" s="1" t="s">
        <v>61</v>
      </c>
      <c r="C829" s="1" t="s">
        <v>18</v>
      </c>
      <c r="D829" s="2">
        <v>16247</v>
      </c>
      <c r="E829" s="2">
        <v>468491</v>
      </c>
      <c r="F829" s="4">
        <v>49107</v>
      </c>
    </row>
    <row r="830" spans="1:6" x14ac:dyDescent="0.3">
      <c r="A830" s="3">
        <v>2019</v>
      </c>
      <c r="B830" s="1" t="s">
        <v>61</v>
      </c>
      <c r="C830" s="1" t="s">
        <v>19</v>
      </c>
      <c r="D830" s="2">
        <v>11966</v>
      </c>
      <c r="E830" s="2">
        <v>219013</v>
      </c>
      <c r="F830" s="4">
        <v>44392</v>
      </c>
    </row>
    <row r="831" spans="1:6" x14ac:dyDescent="0.3">
      <c r="A831" s="3">
        <v>2019</v>
      </c>
      <c r="B831" s="1" t="s">
        <v>61</v>
      </c>
      <c r="C831" s="1" t="s">
        <v>20</v>
      </c>
      <c r="D831" s="2">
        <v>10085</v>
      </c>
      <c r="E831" s="2">
        <v>197874</v>
      </c>
      <c r="F831" s="4">
        <v>43909</v>
      </c>
    </row>
    <row r="832" spans="1:6" x14ac:dyDescent="0.3">
      <c r="A832" s="3">
        <v>2019</v>
      </c>
      <c r="B832" s="1" t="s">
        <v>61</v>
      </c>
      <c r="C832" s="1" t="s">
        <v>21</v>
      </c>
      <c r="D832" s="2">
        <v>18442</v>
      </c>
      <c r="E832" s="2">
        <v>272579</v>
      </c>
      <c r="F832" s="4">
        <v>49141</v>
      </c>
    </row>
    <row r="833" spans="1:6" x14ac:dyDescent="0.3">
      <c r="A833" s="3">
        <v>2019</v>
      </c>
      <c r="B833" s="1" t="s">
        <v>61</v>
      </c>
      <c r="C833" s="1" t="s">
        <v>22</v>
      </c>
      <c r="D833" s="2">
        <v>16110</v>
      </c>
      <c r="E833" s="2">
        <v>305742</v>
      </c>
      <c r="F833" s="4">
        <v>44832</v>
      </c>
    </row>
    <row r="834" spans="1:6" x14ac:dyDescent="0.3">
      <c r="A834" s="3">
        <v>2019</v>
      </c>
      <c r="B834" s="1" t="s">
        <v>61</v>
      </c>
      <c r="C834" s="1" t="s">
        <v>23</v>
      </c>
      <c r="D834" s="2">
        <v>5474</v>
      </c>
      <c r="E834" s="2">
        <v>120085</v>
      </c>
      <c r="F834" s="4">
        <v>49342</v>
      </c>
    </row>
    <row r="835" spans="1:6" x14ac:dyDescent="0.3">
      <c r="A835" s="3">
        <v>2019</v>
      </c>
      <c r="B835" s="1" t="s">
        <v>61</v>
      </c>
      <c r="C835" s="1" t="s">
        <v>24</v>
      </c>
      <c r="D835" s="2">
        <v>21419</v>
      </c>
      <c r="E835" s="2">
        <v>451332</v>
      </c>
      <c r="F835" s="4">
        <v>55476</v>
      </c>
    </row>
    <row r="836" spans="1:6" x14ac:dyDescent="0.3">
      <c r="A836" s="3">
        <v>2019</v>
      </c>
      <c r="B836" s="1" t="s">
        <v>61</v>
      </c>
      <c r="C836" s="1" t="s">
        <v>25</v>
      </c>
      <c r="D836" s="2">
        <v>68761</v>
      </c>
      <c r="E836" s="2">
        <v>790552</v>
      </c>
      <c r="F836" s="4">
        <v>59886</v>
      </c>
    </row>
    <row r="837" spans="1:6" x14ac:dyDescent="0.3">
      <c r="A837" s="3">
        <v>2019</v>
      </c>
      <c r="B837" s="1" t="s">
        <v>61</v>
      </c>
      <c r="C837" s="1" t="s">
        <v>26</v>
      </c>
      <c r="D837" s="2">
        <v>25357</v>
      </c>
      <c r="E837" s="2">
        <v>661203</v>
      </c>
      <c r="F837" s="4">
        <v>50845</v>
      </c>
    </row>
    <row r="838" spans="1:6" x14ac:dyDescent="0.3">
      <c r="A838" s="3">
        <v>2019</v>
      </c>
      <c r="B838" s="1" t="s">
        <v>61</v>
      </c>
      <c r="C838" s="1" t="s">
        <v>27</v>
      </c>
      <c r="D838" s="2">
        <v>20728</v>
      </c>
      <c r="E838" s="2">
        <v>530749</v>
      </c>
      <c r="F838" s="4">
        <v>52656</v>
      </c>
    </row>
    <row r="839" spans="1:6" x14ac:dyDescent="0.3">
      <c r="A839" s="3">
        <v>2019</v>
      </c>
      <c r="B839" s="1" t="s">
        <v>61</v>
      </c>
      <c r="C839" s="1" t="s">
        <v>28</v>
      </c>
      <c r="D839" s="2">
        <v>7557</v>
      </c>
      <c r="E839" s="2">
        <v>146077</v>
      </c>
      <c r="F839" s="4">
        <v>42620</v>
      </c>
    </row>
    <row r="840" spans="1:6" x14ac:dyDescent="0.3">
      <c r="A840" s="3">
        <v>2019</v>
      </c>
      <c r="B840" s="1" t="s">
        <v>61</v>
      </c>
      <c r="C840" s="1" t="s">
        <v>29</v>
      </c>
      <c r="D840" s="2">
        <v>52078</v>
      </c>
      <c r="E840" s="2">
        <v>462462</v>
      </c>
      <c r="F840" s="4">
        <v>47562</v>
      </c>
    </row>
    <row r="841" spans="1:6" x14ac:dyDescent="0.3">
      <c r="A841" s="3">
        <v>2019</v>
      </c>
      <c r="B841" s="1" t="s">
        <v>61</v>
      </c>
      <c r="C841" s="1" t="s">
        <v>30</v>
      </c>
      <c r="D841" s="2">
        <v>4834</v>
      </c>
      <c r="E841" s="2">
        <v>74646</v>
      </c>
      <c r="F841" s="4">
        <v>49258</v>
      </c>
    </row>
    <row r="842" spans="1:6" x14ac:dyDescent="0.3">
      <c r="A842" s="3">
        <v>2019</v>
      </c>
      <c r="B842" s="1" t="s">
        <v>61</v>
      </c>
      <c r="C842" s="1" t="s">
        <v>31</v>
      </c>
      <c r="D842" s="2">
        <v>11559</v>
      </c>
      <c r="E842" s="2">
        <v>139275</v>
      </c>
      <c r="F842" s="4">
        <v>48735</v>
      </c>
    </row>
    <row r="843" spans="1:6" x14ac:dyDescent="0.3">
      <c r="A843" s="3">
        <v>2019</v>
      </c>
      <c r="B843" s="1" t="s">
        <v>61</v>
      </c>
      <c r="C843" s="1" t="s">
        <v>32</v>
      </c>
      <c r="D843" s="2">
        <v>8934</v>
      </c>
      <c r="E843" s="2">
        <v>143417</v>
      </c>
      <c r="F843" s="4">
        <v>54808</v>
      </c>
    </row>
    <row r="844" spans="1:6" x14ac:dyDescent="0.3">
      <c r="A844" s="3">
        <v>2019</v>
      </c>
      <c r="B844" s="1" t="s">
        <v>61</v>
      </c>
      <c r="C844" s="1" t="s">
        <v>33</v>
      </c>
      <c r="D844" s="2">
        <v>4773</v>
      </c>
      <c r="E844" s="2">
        <v>114430</v>
      </c>
      <c r="F844" s="4">
        <v>58363</v>
      </c>
    </row>
    <row r="845" spans="1:6" x14ac:dyDescent="0.3">
      <c r="A845" s="3">
        <v>2019</v>
      </c>
      <c r="B845" s="1" t="s">
        <v>61</v>
      </c>
      <c r="C845" s="1" t="s">
        <v>34</v>
      </c>
      <c r="D845" s="2">
        <v>40687</v>
      </c>
      <c r="E845" s="2">
        <v>670070</v>
      </c>
      <c r="F845" s="4">
        <v>55124</v>
      </c>
    </row>
    <row r="846" spans="1:6" x14ac:dyDescent="0.3">
      <c r="A846" s="3">
        <v>2019</v>
      </c>
      <c r="B846" s="1" t="s">
        <v>61</v>
      </c>
      <c r="C846" s="1" t="s">
        <v>35</v>
      </c>
      <c r="D846" s="2">
        <v>10974</v>
      </c>
      <c r="E846" s="2">
        <v>130181</v>
      </c>
      <c r="F846" s="4">
        <v>42852</v>
      </c>
    </row>
    <row r="847" spans="1:6" x14ac:dyDescent="0.3">
      <c r="A847" s="3">
        <v>2019</v>
      </c>
      <c r="B847" s="1" t="s">
        <v>61</v>
      </c>
      <c r="C847" s="1" t="s">
        <v>36</v>
      </c>
      <c r="D847" s="2">
        <v>67202</v>
      </c>
      <c r="E847" s="2">
        <v>1981493</v>
      </c>
      <c r="F847" s="4">
        <v>54638</v>
      </c>
    </row>
    <row r="848" spans="1:6" x14ac:dyDescent="0.3">
      <c r="A848" s="3">
        <v>2019</v>
      </c>
      <c r="B848" s="1" t="s">
        <v>61</v>
      </c>
      <c r="C848" s="1" t="s">
        <v>37</v>
      </c>
      <c r="D848" s="2">
        <v>28199</v>
      </c>
      <c r="E848" s="2">
        <v>606564</v>
      </c>
      <c r="F848" s="4">
        <v>50123</v>
      </c>
    </row>
    <row r="849" spans="1:6" x14ac:dyDescent="0.3">
      <c r="A849" s="3">
        <v>2019</v>
      </c>
      <c r="B849" s="1" t="s">
        <v>61</v>
      </c>
      <c r="C849" s="1" t="s">
        <v>38</v>
      </c>
      <c r="D849" s="2">
        <v>2581</v>
      </c>
      <c r="E849" s="2">
        <v>65771</v>
      </c>
      <c r="F849" s="4">
        <v>52585</v>
      </c>
    </row>
    <row r="850" spans="1:6" x14ac:dyDescent="0.3">
      <c r="A850" s="3">
        <v>2019</v>
      </c>
      <c r="B850" s="1" t="s">
        <v>61</v>
      </c>
      <c r="C850" s="1" t="s">
        <v>39</v>
      </c>
      <c r="D850" s="2">
        <v>35525</v>
      </c>
      <c r="E850" s="2">
        <v>908891</v>
      </c>
      <c r="F850" s="4">
        <v>47891</v>
      </c>
    </row>
    <row r="851" spans="1:6" x14ac:dyDescent="0.3">
      <c r="A851" s="3">
        <v>2019</v>
      </c>
      <c r="B851" s="1" t="s">
        <v>61</v>
      </c>
      <c r="C851" s="1" t="s">
        <v>40</v>
      </c>
      <c r="D851" s="2">
        <v>13345</v>
      </c>
      <c r="E851" s="2">
        <v>213244</v>
      </c>
      <c r="F851" s="4">
        <v>46841</v>
      </c>
    </row>
    <row r="852" spans="1:6" x14ac:dyDescent="0.3">
      <c r="A852" s="3">
        <v>2019</v>
      </c>
      <c r="B852" s="1" t="s">
        <v>61</v>
      </c>
      <c r="C852" s="1" t="s">
        <v>41</v>
      </c>
      <c r="D852" s="2">
        <v>16113</v>
      </c>
      <c r="E852" s="2">
        <v>295311</v>
      </c>
      <c r="F852" s="4">
        <v>51842</v>
      </c>
    </row>
    <row r="853" spans="1:6" x14ac:dyDescent="0.3">
      <c r="A853" s="3">
        <v>2019</v>
      </c>
      <c r="B853" s="1" t="s">
        <v>61</v>
      </c>
      <c r="C853" s="1" t="s">
        <v>42</v>
      </c>
      <c r="D853" s="2">
        <v>57945</v>
      </c>
      <c r="E853" s="2">
        <v>1230922</v>
      </c>
      <c r="F853" s="4">
        <v>53416</v>
      </c>
    </row>
    <row r="854" spans="1:6" x14ac:dyDescent="0.3">
      <c r="A854" s="3">
        <v>2019</v>
      </c>
      <c r="B854" s="1" t="s">
        <v>61</v>
      </c>
      <c r="C854" s="1" t="s">
        <v>43</v>
      </c>
      <c r="D854" s="2">
        <v>4664</v>
      </c>
      <c r="E854" s="2">
        <v>102395</v>
      </c>
      <c r="F854" s="4">
        <v>50458</v>
      </c>
    </row>
    <row r="855" spans="1:6" x14ac:dyDescent="0.3">
      <c r="A855" s="3">
        <v>2019</v>
      </c>
      <c r="B855" s="1" t="s">
        <v>61</v>
      </c>
      <c r="C855" s="1" t="s">
        <v>44</v>
      </c>
      <c r="D855" s="2">
        <v>12757</v>
      </c>
      <c r="E855" s="2">
        <v>237600</v>
      </c>
      <c r="F855" s="4">
        <v>47296</v>
      </c>
    </row>
    <row r="856" spans="1:6" x14ac:dyDescent="0.3">
      <c r="A856" s="3">
        <v>2019</v>
      </c>
      <c r="B856" s="1" t="s">
        <v>61</v>
      </c>
      <c r="C856" s="1" t="s">
        <v>45</v>
      </c>
      <c r="D856" s="2">
        <v>2904</v>
      </c>
      <c r="E856" s="2">
        <v>68913</v>
      </c>
      <c r="F856" s="4">
        <v>52412</v>
      </c>
    </row>
    <row r="857" spans="1:6" x14ac:dyDescent="0.3">
      <c r="A857" s="3">
        <v>2019</v>
      </c>
      <c r="B857" s="1" t="s">
        <v>61</v>
      </c>
      <c r="C857" s="1" t="s">
        <v>46</v>
      </c>
      <c r="D857" s="2">
        <v>16563</v>
      </c>
      <c r="E857" s="2">
        <v>427328</v>
      </c>
      <c r="F857" s="4">
        <v>53183</v>
      </c>
    </row>
    <row r="858" spans="1:6" x14ac:dyDescent="0.3">
      <c r="A858" s="3">
        <v>2019</v>
      </c>
      <c r="B858" s="1" t="s">
        <v>61</v>
      </c>
      <c r="C858" s="1" t="s">
        <v>47</v>
      </c>
      <c r="D858" s="2">
        <v>94237</v>
      </c>
      <c r="E858" s="2">
        <v>1684606</v>
      </c>
      <c r="F858" s="4">
        <v>49322</v>
      </c>
    </row>
    <row r="859" spans="1:6" x14ac:dyDescent="0.3">
      <c r="A859" s="3">
        <v>2019</v>
      </c>
      <c r="B859" s="1" t="s">
        <v>61</v>
      </c>
      <c r="C859" s="1" t="s">
        <v>48</v>
      </c>
      <c r="D859" s="2">
        <v>12857</v>
      </c>
      <c r="E859" s="2">
        <v>193373</v>
      </c>
      <c r="F859" s="4">
        <v>44983</v>
      </c>
    </row>
    <row r="860" spans="1:6" x14ac:dyDescent="0.3">
      <c r="A860" s="3">
        <v>2019</v>
      </c>
      <c r="B860" s="1" t="s">
        <v>61</v>
      </c>
      <c r="C860" s="1" t="s">
        <v>49</v>
      </c>
      <c r="D860" s="2">
        <v>2503</v>
      </c>
      <c r="E860" s="2">
        <v>62317</v>
      </c>
      <c r="F860" s="4">
        <v>48501</v>
      </c>
    </row>
    <row r="861" spans="1:6" x14ac:dyDescent="0.3">
      <c r="A861" s="3">
        <v>2019</v>
      </c>
      <c r="B861" s="1" t="s">
        <v>61</v>
      </c>
      <c r="C861" s="1" t="s">
        <v>50</v>
      </c>
      <c r="D861" s="2">
        <v>50144</v>
      </c>
      <c r="E861" s="2">
        <v>517645</v>
      </c>
      <c r="F861" s="4">
        <v>50876</v>
      </c>
    </row>
    <row r="862" spans="1:6" x14ac:dyDescent="0.3">
      <c r="A862" s="3">
        <v>2019</v>
      </c>
      <c r="B862" s="1" t="s">
        <v>61</v>
      </c>
      <c r="C862" s="1" t="s">
        <v>51</v>
      </c>
      <c r="D862" s="2">
        <v>64023</v>
      </c>
      <c r="E862" s="2">
        <v>478274</v>
      </c>
      <c r="F862" s="4">
        <v>53267</v>
      </c>
    </row>
    <row r="863" spans="1:6" x14ac:dyDescent="0.3">
      <c r="A863" s="3">
        <v>2019</v>
      </c>
      <c r="B863" s="1" t="s">
        <v>61</v>
      </c>
      <c r="C863" s="1" t="s">
        <v>52</v>
      </c>
      <c r="D863" s="2">
        <v>5755</v>
      </c>
      <c r="E863" s="2">
        <v>125528</v>
      </c>
      <c r="F863" s="4">
        <v>47876</v>
      </c>
    </row>
    <row r="864" spans="1:6" x14ac:dyDescent="0.3">
      <c r="A864" s="3">
        <v>2019</v>
      </c>
      <c r="B864" s="1" t="s">
        <v>61</v>
      </c>
      <c r="C864" s="1" t="s">
        <v>53</v>
      </c>
      <c r="D864" s="2">
        <v>29257</v>
      </c>
      <c r="E864" s="2">
        <v>440255</v>
      </c>
      <c r="F864" s="4">
        <v>50951</v>
      </c>
    </row>
    <row r="865" spans="1:6" x14ac:dyDescent="0.3">
      <c r="A865" s="3">
        <v>2019</v>
      </c>
      <c r="B865" s="1" t="s">
        <v>61</v>
      </c>
      <c r="C865" s="1" t="s">
        <v>54</v>
      </c>
      <c r="D865" s="2">
        <v>3384</v>
      </c>
      <c r="E865" s="2">
        <v>27323</v>
      </c>
      <c r="F865" s="4">
        <v>44083</v>
      </c>
    </row>
    <row r="866" spans="1:6" x14ac:dyDescent="0.3">
      <c r="A866" s="3">
        <v>2019</v>
      </c>
      <c r="B866" s="1" t="s">
        <v>62</v>
      </c>
      <c r="C866" s="1" t="s">
        <v>7</v>
      </c>
      <c r="D866" s="2">
        <v>11180</v>
      </c>
      <c r="E866" s="2">
        <v>208446</v>
      </c>
      <c r="F866" s="4">
        <v>17618</v>
      </c>
    </row>
    <row r="867" spans="1:6" x14ac:dyDescent="0.3">
      <c r="A867" s="3">
        <v>2019</v>
      </c>
      <c r="B867" s="1" t="s">
        <v>62</v>
      </c>
      <c r="C867" s="1" t="s">
        <v>8</v>
      </c>
      <c r="D867" s="2">
        <v>14256</v>
      </c>
      <c r="E867" s="2">
        <v>331295</v>
      </c>
      <c r="F867" s="4">
        <v>25557</v>
      </c>
    </row>
    <row r="868" spans="1:6" x14ac:dyDescent="0.3">
      <c r="A868" s="3">
        <v>2019</v>
      </c>
      <c r="B868" s="1" t="s">
        <v>62</v>
      </c>
      <c r="C868" s="1" t="s">
        <v>9</v>
      </c>
      <c r="D868" s="2">
        <v>7315</v>
      </c>
      <c r="E868" s="2">
        <v>120644</v>
      </c>
      <c r="F868" s="4">
        <v>17299</v>
      </c>
    </row>
    <row r="869" spans="1:6" x14ac:dyDescent="0.3">
      <c r="A869" s="3">
        <v>2019</v>
      </c>
      <c r="B869" s="1" t="s">
        <v>62</v>
      </c>
      <c r="C869" s="1" t="s">
        <v>10</v>
      </c>
      <c r="D869" s="2">
        <v>116191</v>
      </c>
      <c r="E869" s="2">
        <v>2034920</v>
      </c>
      <c r="F869" s="4">
        <v>32379</v>
      </c>
    </row>
    <row r="870" spans="1:6" x14ac:dyDescent="0.3">
      <c r="A870" s="3">
        <v>2019</v>
      </c>
      <c r="B870" s="1" t="s">
        <v>62</v>
      </c>
      <c r="C870" s="1" t="s">
        <v>11</v>
      </c>
      <c r="D870" s="2">
        <v>17317</v>
      </c>
      <c r="E870" s="2">
        <v>344935</v>
      </c>
      <c r="F870" s="4">
        <v>27131</v>
      </c>
    </row>
    <row r="871" spans="1:6" x14ac:dyDescent="0.3">
      <c r="A871" s="3">
        <v>2019</v>
      </c>
      <c r="B871" s="1" t="s">
        <v>62</v>
      </c>
      <c r="C871" s="1" t="s">
        <v>12</v>
      </c>
      <c r="D871" s="2">
        <v>10917</v>
      </c>
      <c r="E871" s="2">
        <v>157574</v>
      </c>
      <c r="F871" s="4">
        <v>24451</v>
      </c>
    </row>
    <row r="872" spans="1:6" x14ac:dyDescent="0.3">
      <c r="A872" s="3">
        <v>2019</v>
      </c>
      <c r="B872" s="1" t="s">
        <v>62</v>
      </c>
      <c r="C872" s="1" t="s">
        <v>13</v>
      </c>
      <c r="D872" s="2">
        <v>2710</v>
      </c>
      <c r="E872" s="2">
        <v>53038</v>
      </c>
      <c r="F872" s="4">
        <v>21264</v>
      </c>
    </row>
    <row r="873" spans="1:6" x14ac:dyDescent="0.3">
      <c r="A873" s="3">
        <v>2019</v>
      </c>
      <c r="B873" s="1" t="s">
        <v>62</v>
      </c>
      <c r="C873" s="1" t="s">
        <v>14</v>
      </c>
      <c r="D873" s="2">
        <v>58596</v>
      </c>
      <c r="E873" s="2">
        <v>1257201</v>
      </c>
      <c r="F873" s="4">
        <v>26675</v>
      </c>
    </row>
    <row r="874" spans="1:6" x14ac:dyDescent="0.3">
      <c r="A874" s="3">
        <v>2019</v>
      </c>
      <c r="B874" s="1" t="s">
        <v>62</v>
      </c>
      <c r="C874" s="1" t="s">
        <v>15</v>
      </c>
      <c r="D874" s="2">
        <v>25254</v>
      </c>
      <c r="E874" s="2">
        <v>498529</v>
      </c>
      <c r="F874" s="4">
        <v>21342</v>
      </c>
    </row>
    <row r="875" spans="1:6" x14ac:dyDescent="0.3">
      <c r="A875" s="3">
        <v>2019</v>
      </c>
      <c r="B875" s="1" t="s">
        <v>62</v>
      </c>
      <c r="C875" s="1" t="s">
        <v>16</v>
      </c>
      <c r="D875" s="2">
        <v>5038</v>
      </c>
      <c r="E875" s="2">
        <v>82521</v>
      </c>
      <c r="F875" s="4">
        <v>17770</v>
      </c>
    </row>
    <row r="876" spans="1:6" x14ac:dyDescent="0.3">
      <c r="A876" s="3">
        <v>2019</v>
      </c>
      <c r="B876" s="1" t="s">
        <v>62</v>
      </c>
      <c r="C876" s="1" t="s">
        <v>17</v>
      </c>
      <c r="D876" s="2">
        <v>33183</v>
      </c>
      <c r="E876" s="2">
        <v>622987</v>
      </c>
      <c r="F876" s="4">
        <v>24703</v>
      </c>
    </row>
    <row r="877" spans="1:6" x14ac:dyDescent="0.3">
      <c r="A877" s="3">
        <v>2019</v>
      </c>
      <c r="B877" s="1" t="s">
        <v>62</v>
      </c>
      <c r="C877" s="1" t="s">
        <v>18</v>
      </c>
      <c r="D877" s="2">
        <v>15776</v>
      </c>
      <c r="E877" s="2">
        <v>313889</v>
      </c>
      <c r="F877" s="4">
        <v>19660</v>
      </c>
    </row>
    <row r="878" spans="1:6" x14ac:dyDescent="0.3">
      <c r="A878" s="3">
        <v>2019</v>
      </c>
      <c r="B878" s="1" t="s">
        <v>62</v>
      </c>
      <c r="C878" s="1" t="s">
        <v>19</v>
      </c>
      <c r="D878" s="2">
        <v>8796</v>
      </c>
      <c r="E878" s="2">
        <v>144265</v>
      </c>
      <c r="F878" s="4">
        <v>17261</v>
      </c>
    </row>
    <row r="879" spans="1:6" x14ac:dyDescent="0.3">
      <c r="A879" s="3">
        <v>2019</v>
      </c>
      <c r="B879" s="1" t="s">
        <v>62</v>
      </c>
      <c r="C879" s="1" t="s">
        <v>20</v>
      </c>
      <c r="D879" s="2">
        <v>6871</v>
      </c>
      <c r="E879" s="2">
        <v>130101</v>
      </c>
      <c r="F879" s="4">
        <v>17333</v>
      </c>
    </row>
    <row r="880" spans="1:6" x14ac:dyDescent="0.3">
      <c r="A880" s="3">
        <v>2019</v>
      </c>
      <c r="B880" s="1" t="s">
        <v>62</v>
      </c>
      <c r="C880" s="1" t="s">
        <v>21</v>
      </c>
      <c r="D880" s="2">
        <v>10118</v>
      </c>
      <c r="E880" s="2">
        <v>201748</v>
      </c>
      <c r="F880" s="4">
        <v>18350</v>
      </c>
    </row>
    <row r="881" spans="1:6" x14ac:dyDescent="0.3">
      <c r="A881" s="3">
        <v>2019</v>
      </c>
      <c r="B881" s="1" t="s">
        <v>62</v>
      </c>
      <c r="C881" s="1" t="s">
        <v>22</v>
      </c>
      <c r="D881" s="2">
        <v>12912</v>
      </c>
      <c r="E881" s="2">
        <v>237469</v>
      </c>
      <c r="F881" s="4">
        <v>21789</v>
      </c>
    </row>
    <row r="882" spans="1:6" x14ac:dyDescent="0.3">
      <c r="A882" s="3">
        <v>2019</v>
      </c>
      <c r="B882" s="1" t="s">
        <v>62</v>
      </c>
      <c r="C882" s="1" t="s">
        <v>23</v>
      </c>
      <c r="D882" s="2">
        <v>5132</v>
      </c>
      <c r="E882" s="2">
        <v>69501</v>
      </c>
      <c r="F882" s="4">
        <v>23169</v>
      </c>
    </row>
    <row r="883" spans="1:6" x14ac:dyDescent="0.3">
      <c r="A883" s="3">
        <v>2019</v>
      </c>
      <c r="B883" s="1" t="s">
        <v>62</v>
      </c>
      <c r="C883" s="1" t="s">
        <v>24</v>
      </c>
      <c r="D883" s="2">
        <v>15043</v>
      </c>
      <c r="E883" s="2">
        <v>282746</v>
      </c>
      <c r="F883" s="4">
        <v>24758</v>
      </c>
    </row>
    <row r="884" spans="1:6" x14ac:dyDescent="0.3">
      <c r="A884" s="3">
        <v>2019</v>
      </c>
      <c r="B884" s="1" t="s">
        <v>62</v>
      </c>
      <c r="C884" s="1" t="s">
        <v>25</v>
      </c>
      <c r="D884" s="2">
        <v>20740</v>
      </c>
      <c r="E884" s="2">
        <v>379863</v>
      </c>
      <c r="F884" s="4">
        <v>29500</v>
      </c>
    </row>
    <row r="885" spans="1:6" x14ac:dyDescent="0.3">
      <c r="A885" s="3">
        <v>2019</v>
      </c>
      <c r="B885" s="1" t="s">
        <v>62</v>
      </c>
      <c r="C885" s="1" t="s">
        <v>26</v>
      </c>
      <c r="D885" s="2">
        <v>23113</v>
      </c>
      <c r="E885" s="2">
        <v>434299</v>
      </c>
      <c r="F885" s="4">
        <v>21121</v>
      </c>
    </row>
    <row r="886" spans="1:6" x14ac:dyDescent="0.3">
      <c r="A886" s="3">
        <v>2019</v>
      </c>
      <c r="B886" s="1" t="s">
        <v>62</v>
      </c>
      <c r="C886" s="1" t="s">
        <v>27</v>
      </c>
      <c r="D886" s="2">
        <v>15325</v>
      </c>
      <c r="E886" s="2">
        <v>275608</v>
      </c>
      <c r="F886" s="4">
        <v>23261</v>
      </c>
    </row>
    <row r="887" spans="1:6" x14ac:dyDescent="0.3">
      <c r="A887" s="3">
        <v>2019</v>
      </c>
      <c r="B887" s="1" t="s">
        <v>62</v>
      </c>
      <c r="C887" s="1" t="s">
        <v>28</v>
      </c>
      <c r="D887" s="2">
        <v>6514</v>
      </c>
      <c r="E887" s="2">
        <v>136282</v>
      </c>
      <c r="F887" s="4">
        <v>17817</v>
      </c>
    </row>
    <row r="888" spans="1:6" x14ac:dyDescent="0.3">
      <c r="A888" s="3">
        <v>2019</v>
      </c>
      <c r="B888" s="1" t="s">
        <v>62</v>
      </c>
      <c r="C888" s="1" t="s">
        <v>29</v>
      </c>
      <c r="D888" s="2">
        <v>15195</v>
      </c>
      <c r="E888" s="2">
        <v>308646</v>
      </c>
      <c r="F888" s="4">
        <v>21614</v>
      </c>
    </row>
    <row r="889" spans="1:6" x14ac:dyDescent="0.3">
      <c r="A889" s="3">
        <v>2019</v>
      </c>
      <c r="B889" s="1" t="s">
        <v>62</v>
      </c>
      <c r="C889" s="1" t="s">
        <v>30</v>
      </c>
      <c r="D889" s="2">
        <v>5052</v>
      </c>
      <c r="E889" s="2">
        <v>67008</v>
      </c>
      <c r="F889" s="4">
        <v>19955</v>
      </c>
    </row>
    <row r="890" spans="1:6" x14ac:dyDescent="0.3">
      <c r="A890" s="3">
        <v>2019</v>
      </c>
      <c r="B890" s="1" t="s">
        <v>62</v>
      </c>
      <c r="C890" s="1" t="s">
        <v>31</v>
      </c>
      <c r="D890" s="2">
        <v>5609</v>
      </c>
      <c r="E890" s="2">
        <v>93856</v>
      </c>
      <c r="F890" s="4">
        <v>17213</v>
      </c>
    </row>
    <row r="891" spans="1:6" x14ac:dyDescent="0.3">
      <c r="A891" s="3">
        <v>2019</v>
      </c>
      <c r="B891" s="1" t="s">
        <v>62</v>
      </c>
      <c r="C891" s="1" t="s">
        <v>32</v>
      </c>
      <c r="D891" s="2">
        <v>8716</v>
      </c>
      <c r="E891" s="2">
        <v>355178</v>
      </c>
      <c r="F891" s="4">
        <v>34432</v>
      </c>
    </row>
    <row r="892" spans="1:6" x14ac:dyDescent="0.3">
      <c r="A892" s="3">
        <v>2019</v>
      </c>
      <c r="B892" s="1" t="s">
        <v>62</v>
      </c>
      <c r="C892" s="1" t="s">
        <v>33</v>
      </c>
      <c r="D892" s="2">
        <v>4675</v>
      </c>
      <c r="E892" s="2">
        <v>73214</v>
      </c>
      <c r="F892" s="4">
        <v>22783</v>
      </c>
    </row>
    <row r="893" spans="1:6" x14ac:dyDescent="0.3">
      <c r="A893" s="3">
        <v>2019</v>
      </c>
      <c r="B893" s="1" t="s">
        <v>62</v>
      </c>
      <c r="C893" s="1" t="s">
        <v>34</v>
      </c>
      <c r="D893" s="2">
        <v>24526</v>
      </c>
      <c r="E893" s="2">
        <v>391519</v>
      </c>
      <c r="F893" s="4">
        <v>26347</v>
      </c>
    </row>
    <row r="894" spans="1:6" x14ac:dyDescent="0.3">
      <c r="A894" s="3">
        <v>2019</v>
      </c>
      <c r="B894" s="1" t="s">
        <v>62</v>
      </c>
      <c r="C894" s="1" t="s">
        <v>35</v>
      </c>
      <c r="D894" s="2">
        <v>5277</v>
      </c>
      <c r="E894" s="2">
        <v>99656</v>
      </c>
      <c r="F894" s="4">
        <v>19571</v>
      </c>
    </row>
    <row r="895" spans="1:6" x14ac:dyDescent="0.3">
      <c r="A895" s="3">
        <v>2019</v>
      </c>
      <c r="B895" s="1" t="s">
        <v>62</v>
      </c>
      <c r="C895" s="1" t="s">
        <v>36</v>
      </c>
      <c r="D895" s="2">
        <v>65868</v>
      </c>
      <c r="E895" s="2">
        <v>957897</v>
      </c>
      <c r="F895" s="4">
        <v>35828</v>
      </c>
    </row>
    <row r="896" spans="1:6" x14ac:dyDescent="0.3">
      <c r="A896" s="3">
        <v>2019</v>
      </c>
      <c r="B896" s="1" t="s">
        <v>62</v>
      </c>
      <c r="C896" s="1" t="s">
        <v>37</v>
      </c>
      <c r="D896" s="2">
        <v>26474</v>
      </c>
      <c r="E896" s="2">
        <v>515152</v>
      </c>
      <c r="F896" s="4">
        <v>20460</v>
      </c>
    </row>
    <row r="897" spans="1:6" x14ac:dyDescent="0.3">
      <c r="A897" s="3">
        <v>2019</v>
      </c>
      <c r="B897" s="1" t="s">
        <v>62</v>
      </c>
      <c r="C897" s="1" t="s">
        <v>38</v>
      </c>
      <c r="D897" s="2">
        <v>2610</v>
      </c>
      <c r="E897" s="2">
        <v>40423</v>
      </c>
      <c r="F897" s="4">
        <v>18573</v>
      </c>
    </row>
    <row r="898" spans="1:6" x14ac:dyDescent="0.3">
      <c r="A898" s="3">
        <v>2019</v>
      </c>
      <c r="B898" s="1" t="s">
        <v>62</v>
      </c>
      <c r="C898" s="1" t="s">
        <v>39</v>
      </c>
      <c r="D898" s="2">
        <v>29035</v>
      </c>
      <c r="E898" s="2">
        <v>570254</v>
      </c>
      <c r="F898" s="4">
        <v>20197</v>
      </c>
    </row>
    <row r="899" spans="1:6" x14ac:dyDescent="0.3">
      <c r="A899" s="3">
        <v>2019</v>
      </c>
      <c r="B899" s="1" t="s">
        <v>62</v>
      </c>
      <c r="C899" s="1" t="s">
        <v>40</v>
      </c>
      <c r="D899" s="2">
        <v>9209</v>
      </c>
      <c r="E899" s="2">
        <v>174213</v>
      </c>
      <c r="F899" s="4">
        <v>18600</v>
      </c>
    </row>
    <row r="900" spans="1:6" x14ac:dyDescent="0.3">
      <c r="A900" s="3">
        <v>2019</v>
      </c>
      <c r="B900" s="1" t="s">
        <v>62</v>
      </c>
      <c r="C900" s="1" t="s">
        <v>41</v>
      </c>
      <c r="D900" s="2">
        <v>14116</v>
      </c>
      <c r="E900" s="2">
        <v>213454</v>
      </c>
      <c r="F900" s="4">
        <v>23818</v>
      </c>
    </row>
    <row r="901" spans="1:6" x14ac:dyDescent="0.3">
      <c r="A901" s="3">
        <v>2019</v>
      </c>
      <c r="B901" s="1" t="s">
        <v>62</v>
      </c>
      <c r="C901" s="1" t="s">
        <v>42</v>
      </c>
      <c r="D901" s="2">
        <v>33729</v>
      </c>
      <c r="E901" s="2">
        <v>577911</v>
      </c>
      <c r="F901" s="4">
        <v>22011</v>
      </c>
    </row>
    <row r="902" spans="1:6" x14ac:dyDescent="0.3">
      <c r="A902" s="3">
        <v>2019</v>
      </c>
      <c r="B902" s="1" t="s">
        <v>62</v>
      </c>
      <c r="C902" s="1" t="s">
        <v>43</v>
      </c>
      <c r="D902" s="2">
        <v>3873</v>
      </c>
      <c r="E902" s="2">
        <v>60008</v>
      </c>
      <c r="F902" s="4">
        <v>23680</v>
      </c>
    </row>
    <row r="903" spans="1:6" x14ac:dyDescent="0.3">
      <c r="A903" s="3">
        <v>2019</v>
      </c>
      <c r="B903" s="1" t="s">
        <v>62</v>
      </c>
      <c r="C903" s="1" t="s">
        <v>44</v>
      </c>
      <c r="D903" s="2">
        <v>13400</v>
      </c>
      <c r="E903" s="2">
        <v>270473</v>
      </c>
      <c r="F903" s="4">
        <v>18816</v>
      </c>
    </row>
    <row r="904" spans="1:6" x14ac:dyDescent="0.3">
      <c r="A904" s="3">
        <v>2019</v>
      </c>
      <c r="B904" s="1" t="s">
        <v>62</v>
      </c>
      <c r="C904" s="1" t="s">
        <v>45</v>
      </c>
      <c r="D904" s="2">
        <v>3191</v>
      </c>
      <c r="E904" s="2">
        <v>47413</v>
      </c>
      <c r="F904" s="4">
        <v>17519</v>
      </c>
    </row>
    <row r="905" spans="1:6" x14ac:dyDescent="0.3">
      <c r="A905" s="3">
        <v>2019</v>
      </c>
      <c r="B905" s="1" t="s">
        <v>62</v>
      </c>
      <c r="C905" s="1" t="s">
        <v>46</v>
      </c>
      <c r="D905" s="2">
        <v>16924</v>
      </c>
      <c r="E905" s="2">
        <v>347181</v>
      </c>
      <c r="F905" s="4">
        <v>23878</v>
      </c>
    </row>
    <row r="906" spans="1:6" x14ac:dyDescent="0.3">
      <c r="A906" s="3">
        <v>2019</v>
      </c>
      <c r="B906" s="1" t="s">
        <v>62</v>
      </c>
      <c r="C906" s="1" t="s">
        <v>47</v>
      </c>
      <c r="D906" s="2">
        <v>65057</v>
      </c>
      <c r="E906" s="2">
        <v>1394036</v>
      </c>
      <c r="F906" s="4">
        <v>22762</v>
      </c>
    </row>
    <row r="907" spans="1:6" x14ac:dyDescent="0.3">
      <c r="A907" s="3">
        <v>2019</v>
      </c>
      <c r="B907" s="1" t="s">
        <v>62</v>
      </c>
      <c r="C907" s="1" t="s">
        <v>48</v>
      </c>
      <c r="D907" s="2">
        <v>7570</v>
      </c>
      <c r="E907" s="2">
        <v>153412</v>
      </c>
      <c r="F907" s="4">
        <v>20955</v>
      </c>
    </row>
    <row r="908" spans="1:6" x14ac:dyDescent="0.3">
      <c r="A908" s="3">
        <v>2019</v>
      </c>
      <c r="B908" s="1" t="s">
        <v>62</v>
      </c>
      <c r="C908" s="1" t="s">
        <v>49</v>
      </c>
      <c r="D908" s="2">
        <v>2268</v>
      </c>
      <c r="E908" s="2">
        <v>37208</v>
      </c>
      <c r="F908" s="4">
        <v>23863</v>
      </c>
    </row>
    <row r="909" spans="1:6" x14ac:dyDescent="0.3">
      <c r="A909" s="3">
        <v>2019</v>
      </c>
      <c r="B909" s="1" t="s">
        <v>62</v>
      </c>
      <c r="C909" s="1" t="s">
        <v>50</v>
      </c>
      <c r="D909" s="2">
        <v>20743</v>
      </c>
      <c r="E909" s="2">
        <v>408354</v>
      </c>
      <c r="F909" s="4">
        <v>21582</v>
      </c>
    </row>
    <row r="910" spans="1:6" x14ac:dyDescent="0.3">
      <c r="A910" s="3">
        <v>2019</v>
      </c>
      <c r="B910" s="1" t="s">
        <v>62</v>
      </c>
      <c r="C910" s="1" t="s">
        <v>51</v>
      </c>
      <c r="D910" s="2">
        <v>20637</v>
      </c>
      <c r="E910" s="2">
        <v>341265</v>
      </c>
      <c r="F910" s="4">
        <v>26566</v>
      </c>
    </row>
    <row r="911" spans="1:6" x14ac:dyDescent="0.3">
      <c r="A911" s="3">
        <v>2019</v>
      </c>
      <c r="B911" s="1" t="s">
        <v>62</v>
      </c>
      <c r="C911" s="1" t="s">
        <v>52</v>
      </c>
      <c r="D911" s="2">
        <v>4658</v>
      </c>
      <c r="E911" s="2">
        <v>75027</v>
      </c>
      <c r="F911" s="4">
        <v>18256</v>
      </c>
    </row>
    <row r="912" spans="1:6" x14ac:dyDescent="0.3">
      <c r="A912" s="3">
        <v>2019</v>
      </c>
      <c r="B912" s="1" t="s">
        <v>62</v>
      </c>
      <c r="C912" s="1" t="s">
        <v>53</v>
      </c>
      <c r="D912" s="2">
        <v>17015</v>
      </c>
      <c r="E912" s="2">
        <v>285279</v>
      </c>
      <c r="F912" s="4">
        <v>18758</v>
      </c>
    </row>
    <row r="913" spans="1:6" x14ac:dyDescent="0.3">
      <c r="A913" s="3">
        <v>2019</v>
      </c>
      <c r="B913" s="1" t="s">
        <v>62</v>
      </c>
      <c r="C913" s="1" t="s">
        <v>54</v>
      </c>
      <c r="D913" s="2">
        <v>2398</v>
      </c>
      <c r="E913" s="2">
        <v>37041</v>
      </c>
      <c r="F913" s="4">
        <v>21994</v>
      </c>
    </row>
    <row r="914" spans="1:6" x14ac:dyDescent="0.3">
      <c r="A914" s="3">
        <v>2019</v>
      </c>
      <c r="B914" s="1" t="s">
        <v>63</v>
      </c>
      <c r="C914" s="1" t="s">
        <v>7</v>
      </c>
      <c r="D914" s="2">
        <v>10189</v>
      </c>
      <c r="E914" s="2">
        <v>46816</v>
      </c>
      <c r="F914" s="4">
        <v>38607</v>
      </c>
    </row>
    <row r="915" spans="1:6" x14ac:dyDescent="0.3">
      <c r="A915" s="3">
        <v>2019</v>
      </c>
      <c r="B915" s="1" t="s">
        <v>63</v>
      </c>
      <c r="C915" s="1" t="s">
        <v>8</v>
      </c>
      <c r="D915" s="2">
        <v>10674</v>
      </c>
      <c r="E915" s="2">
        <v>75782</v>
      </c>
      <c r="F915" s="4">
        <v>39965</v>
      </c>
    </row>
    <row r="916" spans="1:6" x14ac:dyDescent="0.3">
      <c r="A916" s="3">
        <v>2019</v>
      </c>
      <c r="B916" s="1" t="s">
        <v>63</v>
      </c>
      <c r="C916" s="1" t="s">
        <v>9</v>
      </c>
      <c r="D916" s="2">
        <v>5359</v>
      </c>
      <c r="E916" s="2">
        <v>25279</v>
      </c>
      <c r="F916" s="4">
        <v>36115</v>
      </c>
    </row>
    <row r="917" spans="1:6" x14ac:dyDescent="0.3">
      <c r="A917" s="3">
        <v>2019</v>
      </c>
      <c r="B917" s="1" t="s">
        <v>63</v>
      </c>
      <c r="C917" s="1" t="s">
        <v>10</v>
      </c>
      <c r="D917" s="2">
        <v>97442</v>
      </c>
      <c r="E917" s="2">
        <v>547972</v>
      </c>
      <c r="F917" s="4">
        <v>42293</v>
      </c>
    </row>
    <row r="918" spans="1:6" x14ac:dyDescent="0.3">
      <c r="A918" s="3">
        <v>2019</v>
      </c>
      <c r="B918" s="1" t="s">
        <v>63</v>
      </c>
      <c r="C918" s="1" t="s">
        <v>11</v>
      </c>
      <c r="D918" s="2">
        <v>17008</v>
      </c>
      <c r="E918" s="2">
        <v>84571</v>
      </c>
      <c r="F918" s="4">
        <v>42381</v>
      </c>
    </row>
    <row r="919" spans="1:6" x14ac:dyDescent="0.3">
      <c r="A919" s="3">
        <v>2019</v>
      </c>
      <c r="B919" s="1" t="s">
        <v>63</v>
      </c>
      <c r="C919" s="1" t="s">
        <v>12</v>
      </c>
      <c r="D919" s="2">
        <v>18146</v>
      </c>
      <c r="E919" s="2">
        <v>66497</v>
      </c>
      <c r="F919" s="4">
        <v>34861</v>
      </c>
    </row>
    <row r="920" spans="1:6" x14ac:dyDescent="0.3">
      <c r="A920" s="3">
        <v>2019</v>
      </c>
      <c r="B920" s="1" t="s">
        <v>63</v>
      </c>
      <c r="C920" s="1" t="s">
        <v>13</v>
      </c>
      <c r="D920" s="2">
        <v>2052</v>
      </c>
      <c r="E920" s="2">
        <v>12125</v>
      </c>
      <c r="F920" s="4">
        <v>35636</v>
      </c>
    </row>
    <row r="921" spans="1:6" x14ac:dyDescent="0.3">
      <c r="A921" s="3">
        <v>2019</v>
      </c>
      <c r="B921" s="1" t="s">
        <v>63</v>
      </c>
      <c r="C921" s="1" t="s">
        <v>14</v>
      </c>
      <c r="D921" s="2">
        <v>56765</v>
      </c>
      <c r="E921" s="2">
        <v>281975</v>
      </c>
      <c r="F921" s="4">
        <v>37969</v>
      </c>
    </row>
    <row r="922" spans="1:6" x14ac:dyDescent="0.3">
      <c r="A922" s="3">
        <v>2019</v>
      </c>
      <c r="B922" s="1" t="s">
        <v>63</v>
      </c>
      <c r="C922" s="1" t="s">
        <v>15</v>
      </c>
      <c r="D922" s="2">
        <v>18227</v>
      </c>
      <c r="E922" s="2">
        <v>111902</v>
      </c>
      <c r="F922" s="4">
        <v>37971</v>
      </c>
    </row>
    <row r="923" spans="1:6" x14ac:dyDescent="0.3">
      <c r="A923" s="3">
        <v>2019</v>
      </c>
      <c r="B923" s="1" t="s">
        <v>63</v>
      </c>
      <c r="C923" s="1" t="s">
        <v>16</v>
      </c>
      <c r="D923" s="2">
        <v>3845</v>
      </c>
      <c r="E923" s="2">
        <v>19414</v>
      </c>
      <c r="F923" s="4">
        <v>32615</v>
      </c>
    </row>
    <row r="924" spans="1:6" x14ac:dyDescent="0.3">
      <c r="A924" s="3">
        <v>2019</v>
      </c>
      <c r="B924" s="1" t="s">
        <v>63</v>
      </c>
      <c r="C924" s="1" t="s">
        <v>17</v>
      </c>
      <c r="D924" s="2">
        <v>39884</v>
      </c>
      <c r="E924" s="2">
        <v>209967</v>
      </c>
      <c r="F924" s="4">
        <v>43714</v>
      </c>
    </row>
    <row r="925" spans="1:6" x14ac:dyDescent="0.3">
      <c r="A925" s="3">
        <v>2019</v>
      </c>
      <c r="B925" s="1" t="s">
        <v>63</v>
      </c>
      <c r="C925" s="1" t="s">
        <v>18</v>
      </c>
      <c r="D925" s="2">
        <v>12916</v>
      </c>
      <c r="E925" s="2">
        <v>89273</v>
      </c>
      <c r="F925" s="4">
        <v>33759</v>
      </c>
    </row>
    <row r="926" spans="1:6" x14ac:dyDescent="0.3">
      <c r="A926" s="3">
        <v>2019</v>
      </c>
      <c r="B926" s="1" t="s">
        <v>63</v>
      </c>
      <c r="C926" s="1" t="s">
        <v>19</v>
      </c>
      <c r="D926" s="2">
        <v>8547</v>
      </c>
      <c r="E926" s="2">
        <v>42519</v>
      </c>
      <c r="F926" s="4">
        <v>36534</v>
      </c>
    </row>
    <row r="927" spans="1:6" x14ac:dyDescent="0.3">
      <c r="A927" s="3">
        <v>2019</v>
      </c>
      <c r="B927" s="1" t="s">
        <v>63</v>
      </c>
      <c r="C927" s="1" t="s">
        <v>20</v>
      </c>
      <c r="D927" s="2">
        <v>5938</v>
      </c>
      <c r="E927" s="2">
        <v>34833</v>
      </c>
      <c r="F927" s="4">
        <v>35624</v>
      </c>
    </row>
    <row r="928" spans="1:6" x14ac:dyDescent="0.3">
      <c r="A928" s="3">
        <v>2019</v>
      </c>
      <c r="B928" s="1" t="s">
        <v>63</v>
      </c>
      <c r="C928" s="1" t="s">
        <v>21</v>
      </c>
      <c r="D928" s="2">
        <v>10404</v>
      </c>
      <c r="E928" s="2">
        <v>46571</v>
      </c>
      <c r="F928" s="4">
        <v>34846</v>
      </c>
    </row>
    <row r="929" spans="1:6" x14ac:dyDescent="0.3">
      <c r="A929" s="3">
        <v>2019</v>
      </c>
      <c r="B929" s="1" t="s">
        <v>63</v>
      </c>
      <c r="C929" s="1" t="s">
        <v>22</v>
      </c>
      <c r="D929" s="2">
        <v>9280</v>
      </c>
      <c r="E929" s="2">
        <v>46391</v>
      </c>
      <c r="F929" s="4">
        <v>38963</v>
      </c>
    </row>
    <row r="930" spans="1:6" x14ac:dyDescent="0.3">
      <c r="A930" s="3">
        <v>2019</v>
      </c>
      <c r="B930" s="1" t="s">
        <v>63</v>
      </c>
      <c r="C930" s="1" t="s">
        <v>23</v>
      </c>
      <c r="D930" s="2">
        <v>3777</v>
      </c>
      <c r="E930" s="2">
        <v>17863</v>
      </c>
      <c r="F930" s="4">
        <v>35322</v>
      </c>
    </row>
    <row r="931" spans="1:6" x14ac:dyDescent="0.3">
      <c r="A931" s="3">
        <v>2019</v>
      </c>
      <c r="B931" s="1" t="s">
        <v>63</v>
      </c>
      <c r="C931" s="1" t="s">
        <v>24</v>
      </c>
      <c r="D931" s="2">
        <v>19358</v>
      </c>
      <c r="E931" s="2">
        <v>91545</v>
      </c>
      <c r="F931" s="4">
        <v>44150</v>
      </c>
    </row>
    <row r="932" spans="1:6" x14ac:dyDescent="0.3">
      <c r="A932" s="3">
        <v>2019</v>
      </c>
      <c r="B932" s="1" t="s">
        <v>63</v>
      </c>
      <c r="C932" s="1" t="s">
        <v>25</v>
      </c>
      <c r="D932" s="2">
        <v>22046</v>
      </c>
      <c r="E932" s="2">
        <v>121404</v>
      </c>
      <c r="F932" s="4">
        <v>40421</v>
      </c>
    </row>
    <row r="933" spans="1:6" x14ac:dyDescent="0.3">
      <c r="A933" s="3">
        <v>2019</v>
      </c>
      <c r="B933" s="1" t="s">
        <v>63</v>
      </c>
      <c r="C933" s="1" t="s">
        <v>26</v>
      </c>
      <c r="D933" s="2">
        <v>32480</v>
      </c>
      <c r="E933" s="2">
        <v>140352</v>
      </c>
      <c r="F933" s="4">
        <v>34330</v>
      </c>
    </row>
    <row r="934" spans="1:6" x14ac:dyDescent="0.3">
      <c r="A934" s="3">
        <v>2019</v>
      </c>
      <c r="B934" s="1" t="s">
        <v>63</v>
      </c>
      <c r="C934" s="1" t="s">
        <v>27</v>
      </c>
      <c r="D934" s="2">
        <v>17266</v>
      </c>
      <c r="E934" s="2">
        <v>91238</v>
      </c>
      <c r="F934" s="4">
        <v>35478</v>
      </c>
    </row>
    <row r="935" spans="1:6" x14ac:dyDescent="0.3">
      <c r="A935" s="3">
        <v>2019</v>
      </c>
      <c r="B935" s="1" t="s">
        <v>63</v>
      </c>
      <c r="C935" s="1" t="s">
        <v>28</v>
      </c>
      <c r="D935" s="2">
        <v>4589</v>
      </c>
      <c r="E935" s="2">
        <v>21043</v>
      </c>
      <c r="F935" s="4">
        <v>36243</v>
      </c>
    </row>
    <row r="936" spans="1:6" x14ac:dyDescent="0.3">
      <c r="A936" s="3">
        <v>2019</v>
      </c>
      <c r="B936" s="1" t="s">
        <v>63</v>
      </c>
      <c r="C936" s="1" t="s">
        <v>29</v>
      </c>
      <c r="D936" s="2">
        <v>13240</v>
      </c>
      <c r="E936" s="2">
        <v>75829</v>
      </c>
      <c r="F936" s="4">
        <v>35224</v>
      </c>
    </row>
    <row r="937" spans="1:6" x14ac:dyDescent="0.3">
      <c r="A937" s="3">
        <v>2019</v>
      </c>
      <c r="B937" s="1" t="s">
        <v>63</v>
      </c>
      <c r="C937" s="1" t="s">
        <v>30</v>
      </c>
      <c r="D937" s="2">
        <v>4153</v>
      </c>
      <c r="E937" s="2">
        <v>18442</v>
      </c>
      <c r="F937" s="4">
        <v>31791</v>
      </c>
    </row>
    <row r="938" spans="1:6" x14ac:dyDescent="0.3">
      <c r="A938" s="3">
        <v>2019</v>
      </c>
      <c r="B938" s="1" t="s">
        <v>63</v>
      </c>
      <c r="C938" s="1" t="s">
        <v>31</v>
      </c>
      <c r="D938" s="2">
        <v>4572</v>
      </c>
      <c r="E938" s="2">
        <v>25509</v>
      </c>
      <c r="F938" s="4">
        <v>33587</v>
      </c>
    </row>
    <row r="939" spans="1:6" x14ac:dyDescent="0.3">
      <c r="A939" s="3">
        <v>2019</v>
      </c>
      <c r="B939" s="1" t="s">
        <v>63</v>
      </c>
      <c r="C939" s="1" t="s">
        <v>32</v>
      </c>
      <c r="D939" s="2">
        <v>5140</v>
      </c>
      <c r="E939" s="2">
        <v>35449</v>
      </c>
      <c r="F939" s="4">
        <v>38479</v>
      </c>
    </row>
    <row r="940" spans="1:6" x14ac:dyDescent="0.3">
      <c r="A940" s="3">
        <v>2019</v>
      </c>
      <c r="B940" s="1" t="s">
        <v>63</v>
      </c>
      <c r="C940" s="1" t="s">
        <v>33</v>
      </c>
      <c r="D940" s="2">
        <v>4011</v>
      </c>
      <c r="E940" s="2">
        <v>21600</v>
      </c>
      <c r="F940" s="4">
        <v>39236</v>
      </c>
    </row>
    <row r="941" spans="1:6" x14ac:dyDescent="0.3">
      <c r="A941" s="3">
        <v>2019</v>
      </c>
      <c r="B941" s="1" t="s">
        <v>63</v>
      </c>
      <c r="C941" s="1" t="s">
        <v>34</v>
      </c>
      <c r="D941" s="2">
        <v>24469</v>
      </c>
      <c r="E941" s="2">
        <v>138255</v>
      </c>
      <c r="F941" s="4">
        <v>37373</v>
      </c>
    </row>
    <row r="942" spans="1:6" x14ac:dyDescent="0.3">
      <c r="A942" s="3">
        <v>2019</v>
      </c>
      <c r="B942" s="1" t="s">
        <v>63</v>
      </c>
      <c r="C942" s="1" t="s">
        <v>35</v>
      </c>
      <c r="D942" s="2">
        <v>4216</v>
      </c>
      <c r="E942" s="2">
        <v>21214</v>
      </c>
      <c r="F942" s="4">
        <v>35417</v>
      </c>
    </row>
    <row r="943" spans="1:6" x14ac:dyDescent="0.3">
      <c r="A943" s="3">
        <v>2019</v>
      </c>
      <c r="B943" s="1" t="s">
        <v>63</v>
      </c>
      <c r="C943" s="1" t="s">
        <v>36</v>
      </c>
      <c r="D943" s="2">
        <v>72430</v>
      </c>
      <c r="E943" s="2">
        <v>371218</v>
      </c>
      <c r="F943" s="4">
        <v>43410</v>
      </c>
    </row>
    <row r="944" spans="1:6" x14ac:dyDescent="0.3">
      <c r="A944" s="3">
        <v>2019</v>
      </c>
      <c r="B944" s="1" t="s">
        <v>63</v>
      </c>
      <c r="C944" s="1" t="s">
        <v>37</v>
      </c>
      <c r="D944" s="2">
        <v>24457</v>
      </c>
      <c r="E944" s="2">
        <v>115119</v>
      </c>
      <c r="F944" s="4">
        <v>36624</v>
      </c>
    </row>
    <row r="945" spans="1:6" x14ac:dyDescent="0.3">
      <c r="A945" s="3">
        <v>2019</v>
      </c>
      <c r="B945" s="1" t="s">
        <v>63</v>
      </c>
      <c r="C945" s="1" t="s">
        <v>38</v>
      </c>
      <c r="D945" s="2">
        <v>2047</v>
      </c>
      <c r="E945" s="2">
        <v>11337</v>
      </c>
      <c r="F945" s="4">
        <v>38696</v>
      </c>
    </row>
    <row r="946" spans="1:6" x14ac:dyDescent="0.3">
      <c r="A946" s="3">
        <v>2019</v>
      </c>
      <c r="B946" s="1" t="s">
        <v>63</v>
      </c>
      <c r="C946" s="1" t="s">
        <v>39</v>
      </c>
      <c r="D946" s="2">
        <v>23639</v>
      </c>
      <c r="E946" s="2">
        <v>157001</v>
      </c>
      <c r="F946" s="4">
        <v>35006</v>
      </c>
    </row>
    <row r="947" spans="1:6" x14ac:dyDescent="0.3">
      <c r="A947" s="3">
        <v>2019</v>
      </c>
      <c r="B947" s="1" t="s">
        <v>63</v>
      </c>
      <c r="C947" s="1" t="s">
        <v>40</v>
      </c>
      <c r="D947" s="2">
        <v>6589</v>
      </c>
      <c r="E947" s="2">
        <v>36706</v>
      </c>
      <c r="F947" s="4">
        <v>36151</v>
      </c>
    </row>
    <row r="948" spans="1:6" x14ac:dyDescent="0.3">
      <c r="A948" s="3">
        <v>2019</v>
      </c>
      <c r="B948" s="1" t="s">
        <v>63</v>
      </c>
      <c r="C948" s="1" t="s">
        <v>41</v>
      </c>
      <c r="D948" s="2">
        <v>25468</v>
      </c>
      <c r="E948" s="2">
        <v>78423</v>
      </c>
      <c r="F948" s="4">
        <v>35467</v>
      </c>
    </row>
    <row r="949" spans="1:6" x14ac:dyDescent="0.3">
      <c r="A949" s="3">
        <v>2019</v>
      </c>
      <c r="B949" s="1" t="s">
        <v>63</v>
      </c>
      <c r="C949" s="1" t="s">
        <v>42</v>
      </c>
      <c r="D949" s="2">
        <v>33082</v>
      </c>
      <c r="E949" s="2">
        <v>202171</v>
      </c>
      <c r="F949" s="4">
        <v>35131</v>
      </c>
    </row>
    <row r="950" spans="1:6" x14ac:dyDescent="0.3">
      <c r="A950" s="3">
        <v>2019</v>
      </c>
      <c r="B950" s="1" t="s">
        <v>63</v>
      </c>
      <c r="C950" s="1" t="s">
        <v>43</v>
      </c>
      <c r="D950" s="2">
        <v>3537</v>
      </c>
      <c r="E950" s="2">
        <v>18157</v>
      </c>
      <c r="F950" s="4">
        <v>34466</v>
      </c>
    </row>
    <row r="951" spans="1:6" x14ac:dyDescent="0.3">
      <c r="A951" s="3">
        <v>2019</v>
      </c>
      <c r="B951" s="1" t="s">
        <v>63</v>
      </c>
      <c r="C951" s="1" t="s">
        <v>44</v>
      </c>
      <c r="D951" s="2">
        <v>12142</v>
      </c>
      <c r="E951" s="2">
        <v>54906</v>
      </c>
      <c r="F951" s="4">
        <v>34386</v>
      </c>
    </row>
    <row r="952" spans="1:6" x14ac:dyDescent="0.3">
      <c r="A952" s="3">
        <v>2019</v>
      </c>
      <c r="B952" s="1" t="s">
        <v>63</v>
      </c>
      <c r="C952" s="1" t="s">
        <v>45</v>
      </c>
      <c r="D952" s="2">
        <v>2223</v>
      </c>
      <c r="E952" s="2">
        <v>11326</v>
      </c>
      <c r="F952" s="4">
        <v>34233</v>
      </c>
    </row>
    <row r="953" spans="1:6" x14ac:dyDescent="0.3">
      <c r="A953" s="3">
        <v>2019</v>
      </c>
      <c r="B953" s="1" t="s">
        <v>63</v>
      </c>
      <c r="C953" s="1" t="s">
        <v>46</v>
      </c>
      <c r="D953" s="2">
        <v>15931</v>
      </c>
      <c r="E953" s="2">
        <v>80484</v>
      </c>
      <c r="F953" s="4">
        <v>36227</v>
      </c>
    </row>
    <row r="954" spans="1:6" x14ac:dyDescent="0.3">
      <c r="A954" s="3">
        <v>2019</v>
      </c>
      <c r="B954" s="1" t="s">
        <v>63</v>
      </c>
      <c r="C954" s="1" t="s">
        <v>47</v>
      </c>
      <c r="D954" s="2">
        <v>57504</v>
      </c>
      <c r="E954" s="2">
        <v>343287</v>
      </c>
      <c r="F954" s="4">
        <v>41110</v>
      </c>
    </row>
    <row r="955" spans="1:6" x14ac:dyDescent="0.3">
      <c r="A955" s="3">
        <v>2019</v>
      </c>
      <c r="B955" s="1" t="s">
        <v>63</v>
      </c>
      <c r="C955" s="1" t="s">
        <v>48</v>
      </c>
      <c r="D955" s="2">
        <v>6492</v>
      </c>
      <c r="E955" s="2">
        <v>37200</v>
      </c>
      <c r="F955" s="4">
        <v>37389</v>
      </c>
    </row>
    <row r="956" spans="1:6" x14ac:dyDescent="0.3">
      <c r="A956" s="3">
        <v>2019</v>
      </c>
      <c r="B956" s="1" t="s">
        <v>63</v>
      </c>
      <c r="C956" s="1" t="s">
        <v>49</v>
      </c>
      <c r="D956" s="2">
        <v>1990</v>
      </c>
      <c r="E956" s="2">
        <v>8772</v>
      </c>
      <c r="F956" s="4">
        <v>37394</v>
      </c>
    </row>
    <row r="957" spans="1:6" x14ac:dyDescent="0.3">
      <c r="A957" s="3">
        <v>2019</v>
      </c>
      <c r="B957" s="1" t="s">
        <v>63</v>
      </c>
      <c r="C957" s="1" t="s">
        <v>50</v>
      </c>
      <c r="D957" s="2">
        <v>29777</v>
      </c>
      <c r="E957" s="2">
        <v>140456</v>
      </c>
      <c r="F957" s="4">
        <v>45136</v>
      </c>
    </row>
    <row r="958" spans="1:6" x14ac:dyDescent="0.3">
      <c r="A958" s="3">
        <v>2019</v>
      </c>
      <c r="B958" s="1" t="s">
        <v>63</v>
      </c>
      <c r="C958" s="1" t="s">
        <v>51</v>
      </c>
      <c r="D958" s="2">
        <v>19915</v>
      </c>
      <c r="E958" s="2">
        <v>102632</v>
      </c>
      <c r="F958" s="4">
        <v>42585</v>
      </c>
    </row>
    <row r="959" spans="1:6" x14ac:dyDescent="0.3">
      <c r="A959" s="3">
        <v>2019</v>
      </c>
      <c r="B959" s="1" t="s">
        <v>63</v>
      </c>
      <c r="C959" s="1" t="s">
        <v>52</v>
      </c>
      <c r="D959" s="2">
        <v>5797</v>
      </c>
      <c r="E959" s="2">
        <v>20164</v>
      </c>
      <c r="F959" s="4">
        <v>32080</v>
      </c>
    </row>
    <row r="960" spans="1:6" x14ac:dyDescent="0.3">
      <c r="A960" s="3">
        <v>2019</v>
      </c>
      <c r="B960" s="1" t="s">
        <v>63</v>
      </c>
      <c r="C960" s="1" t="s">
        <v>53</v>
      </c>
      <c r="D960" s="2">
        <v>13757</v>
      </c>
      <c r="E960" s="2">
        <v>84267</v>
      </c>
      <c r="F960" s="4">
        <v>31908</v>
      </c>
    </row>
    <row r="961" spans="1:6" x14ac:dyDescent="0.3">
      <c r="A961" s="3">
        <v>2019</v>
      </c>
      <c r="B961" s="1" t="s">
        <v>63</v>
      </c>
      <c r="C961" s="1" t="s">
        <v>54</v>
      </c>
      <c r="D961" s="2">
        <v>1655</v>
      </c>
      <c r="E961" s="2">
        <v>7188</v>
      </c>
      <c r="F961" s="4">
        <v>39255</v>
      </c>
    </row>
    <row r="962" spans="1:6" x14ac:dyDescent="0.3">
      <c r="A962" s="3">
        <v>2018</v>
      </c>
      <c r="B962" s="1" t="s">
        <v>6</v>
      </c>
      <c r="C962" s="1" t="s">
        <v>7</v>
      </c>
      <c r="D962" s="2">
        <v>1843</v>
      </c>
      <c r="E962" s="2">
        <v>18397</v>
      </c>
      <c r="F962" s="4">
        <v>56388</v>
      </c>
    </row>
    <row r="963" spans="1:6" x14ac:dyDescent="0.3">
      <c r="A963" s="3">
        <v>2018</v>
      </c>
      <c r="B963" s="1" t="s">
        <v>6</v>
      </c>
      <c r="C963" s="1" t="s">
        <v>8</v>
      </c>
      <c r="D963" s="2">
        <v>1328</v>
      </c>
      <c r="E963" s="2">
        <v>38653</v>
      </c>
      <c r="F963" s="4">
        <v>50854</v>
      </c>
    </row>
    <row r="964" spans="1:6" x14ac:dyDescent="0.3">
      <c r="A964" s="3">
        <v>2018</v>
      </c>
      <c r="B964" s="1" t="s">
        <v>6</v>
      </c>
      <c r="C964" s="1" t="s">
        <v>9</v>
      </c>
      <c r="D964" s="2">
        <v>2525</v>
      </c>
      <c r="E964" s="2">
        <v>16334</v>
      </c>
      <c r="F964" s="4">
        <v>47616</v>
      </c>
    </row>
    <row r="965" spans="1:6" x14ac:dyDescent="0.3">
      <c r="A965" s="3">
        <v>2018</v>
      </c>
      <c r="B965" s="1" t="s">
        <v>6</v>
      </c>
      <c r="C965" s="1" t="s">
        <v>10</v>
      </c>
      <c r="D965" s="2">
        <v>17605</v>
      </c>
      <c r="E965" s="2">
        <v>443542</v>
      </c>
      <c r="F965" s="4">
        <v>38595</v>
      </c>
    </row>
    <row r="966" spans="1:6" x14ac:dyDescent="0.3">
      <c r="A966" s="3">
        <v>2018</v>
      </c>
      <c r="B966" s="1" t="s">
        <v>6</v>
      </c>
      <c r="C966" s="1" t="s">
        <v>11</v>
      </c>
      <c r="D966" s="2">
        <v>3256</v>
      </c>
      <c r="E966" s="2">
        <v>46357</v>
      </c>
      <c r="F966" s="4">
        <v>88489</v>
      </c>
    </row>
    <row r="967" spans="1:6" x14ac:dyDescent="0.3">
      <c r="A967" s="3">
        <v>2018</v>
      </c>
      <c r="B967" s="1" t="s">
        <v>6</v>
      </c>
      <c r="C967" s="1" t="s">
        <v>12</v>
      </c>
      <c r="D967" s="1">
        <v>441</v>
      </c>
      <c r="E967" s="2">
        <v>5272</v>
      </c>
      <c r="F967" s="4">
        <v>40054</v>
      </c>
    </row>
    <row r="968" spans="1:6" x14ac:dyDescent="0.3">
      <c r="A968" s="3">
        <v>2018</v>
      </c>
      <c r="B968" s="1" t="s">
        <v>6</v>
      </c>
      <c r="C968" s="1" t="s">
        <v>13</v>
      </c>
      <c r="D968" s="1">
        <v>177</v>
      </c>
      <c r="E968" s="2">
        <v>1535</v>
      </c>
      <c r="F968" s="4">
        <v>39987</v>
      </c>
    </row>
    <row r="969" spans="1:6" x14ac:dyDescent="0.3">
      <c r="A969" s="3">
        <v>2018</v>
      </c>
      <c r="B969" s="1" t="s">
        <v>6</v>
      </c>
      <c r="C969" s="1" t="s">
        <v>14</v>
      </c>
      <c r="D969" s="2">
        <v>5289</v>
      </c>
      <c r="E969" s="2">
        <v>72507</v>
      </c>
      <c r="F969" s="4">
        <v>34681</v>
      </c>
    </row>
    <row r="970" spans="1:6" x14ac:dyDescent="0.3">
      <c r="A970" s="3">
        <v>2018</v>
      </c>
      <c r="B970" s="1" t="s">
        <v>6</v>
      </c>
      <c r="C970" s="1" t="s">
        <v>15</v>
      </c>
      <c r="D970" s="2">
        <v>2630</v>
      </c>
      <c r="E970" s="2">
        <v>29395</v>
      </c>
      <c r="F970" s="4">
        <v>42010</v>
      </c>
    </row>
    <row r="971" spans="1:6" x14ac:dyDescent="0.3">
      <c r="A971" s="3">
        <v>2018</v>
      </c>
      <c r="B971" s="1" t="s">
        <v>6</v>
      </c>
      <c r="C971" s="1" t="s">
        <v>16</v>
      </c>
      <c r="D971" s="2">
        <v>2500</v>
      </c>
      <c r="E971" s="2">
        <v>26636</v>
      </c>
      <c r="F971" s="4">
        <v>39998</v>
      </c>
    </row>
    <row r="972" spans="1:6" x14ac:dyDescent="0.3">
      <c r="A972" s="3">
        <v>2018</v>
      </c>
      <c r="B972" s="1" t="s">
        <v>6</v>
      </c>
      <c r="C972" s="1" t="s">
        <v>17</v>
      </c>
      <c r="D972" s="2">
        <v>2785</v>
      </c>
      <c r="E972" s="2">
        <v>26452</v>
      </c>
      <c r="F972" s="4">
        <v>50101</v>
      </c>
    </row>
    <row r="973" spans="1:6" x14ac:dyDescent="0.3">
      <c r="A973" s="3">
        <v>2018</v>
      </c>
      <c r="B973" s="1" t="s">
        <v>6</v>
      </c>
      <c r="C973" s="1" t="s">
        <v>18</v>
      </c>
      <c r="D973" s="2">
        <v>2217</v>
      </c>
      <c r="E973" s="2">
        <v>21236</v>
      </c>
      <c r="F973" s="4">
        <v>48605</v>
      </c>
    </row>
    <row r="974" spans="1:6" x14ac:dyDescent="0.3">
      <c r="A974" s="3">
        <v>2018</v>
      </c>
      <c r="B974" s="1" t="s">
        <v>6</v>
      </c>
      <c r="C974" s="1" t="s">
        <v>19</v>
      </c>
      <c r="D974" s="2">
        <v>2830</v>
      </c>
      <c r="E974" s="2">
        <v>23077</v>
      </c>
      <c r="F974" s="4">
        <v>42989</v>
      </c>
    </row>
    <row r="975" spans="1:6" x14ac:dyDescent="0.3">
      <c r="A975" s="3">
        <v>2018</v>
      </c>
      <c r="B975" s="1" t="s">
        <v>6</v>
      </c>
      <c r="C975" s="1" t="s">
        <v>20</v>
      </c>
      <c r="D975" s="2">
        <v>2658</v>
      </c>
      <c r="E975" s="2">
        <v>19284</v>
      </c>
      <c r="F975" s="4">
        <v>47004</v>
      </c>
    </row>
    <row r="976" spans="1:6" x14ac:dyDescent="0.3">
      <c r="A976" s="3">
        <v>2018</v>
      </c>
      <c r="B976" s="1" t="s">
        <v>6</v>
      </c>
      <c r="C976" s="1" t="s">
        <v>21</v>
      </c>
      <c r="D976" s="2">
        <v>1559</v>
      </c>
      <c r="E976" s="2">
        <v>18569</v>
      </c>
      <c r="F976" s="4">
        <v>56223</v>
      </c>
    </row>
    <row r="977" spans="1:6" x14ac:dyDescent="0.3">
      <c r="A977" s="3">
        <v>2018</v>
      </c>
      <c r="B977" s="1" t="s">
        <v>6</v>
      </c>
      <c r="C977" s="1" t="s">
        <v>22</v>
      </c>
      <c r="D977" s="2">
        <v>3089</v>
      </c>
      <c r="E977" s="2">
        <v>43598</v>
      </c>
      <c r="F977" s="4">
        <v>84277</v>
      </c>
    </row>
    <row r="978" spans="1:6" x14ac:dyDescent="0.3">
      <c r="A978" s="3">
        <v>2018</v>
      </c>
      <c r="B978" s="1" t="s">
        <v>6</v>
      </c>
      <c r="C978" s="1" t="s">
        <v>23</v>
      </c>
      <c r="D978" s="2">
        <v>1372</v>
      </c>
      <c r="E978" s="2">
        <v>7143</v>
      </c>
      <c r="F978" s="4">
        <v>41187</v>
      </c>
    </row>
    <row r="979" spans="1:6" x14ac:dyDescent="0.3">
      <c r="A979" s="3">
        <v>2018</v>
      </c>
      <c r="B979" s="1" t="s">
        <v>6</v>
      </c>
      <c r="C979" s="1" t="s">
        <v>24</v>
      </c>
      <c r="D979" s="1">
        <v>723</v>
      </c>
      <c r="E979" s="2">
        <v>6447</v>
      </c>
      <c r="F979" s="4">
        <v>43100</v>
      </c>
    </row>
    <row r="980" spans="1:6" x14ac:dyDescent="0.3">
      <c r="A980" s="3">
        <v>2018</v>
      </c>
      <c r="B980" s="1" t="s">
        <v>6</v>
      </c>
      <c r="C980" s="1" t="s">
        <v>25</v>
      </c>
      <c r="D980" s="1">
        <v>985</v>
      </c>
      <c r="E980" s="2">
        <v>9626</v>
      </c>
      <c r="F980" s="4">
        <v>61244</v>
      </c>
    </row>
    <row r="981" spans="1:6" x14ac:dyDescent="0.3">
      <c r="A981" s="3">
        <v>2018</v>
      </c>
      <c r="B981" s="1" t="s">
        <v>6</v>
      </c>
      <c r="C981" s="1" t="s">
        <v>26</v>
      </c>
      <c r="D981" s="2">
        <v>3282</v>
      </c>
      <c r="E981" s="2">
        <v>35874</v>
      </c>
      <c r="F981" s="4">
        <v>40516</v>
      </c>
    </row>
    <row r="982" spans="1:6" x14ac:dyDescent="0.3">
      <c r="A982" s="3">
        <v>2018</v>
      </c>
      <c r="B982" s="1" t="s">
        <v>6</v>
      </c>
      <c r="C982" s="1" t="s">
        <v>27</v>
      </c>
      <c r="D982" s="2">
        <v>3071</v>
      </c>
      <c r="E982" s="2">
        <v>27642</v>
      </c>
      <c r="F982" s="4">
        <v>50521</v>
      </c>
    </row>
    <row r="983" spans="1:6" x14ac:dyDescent="0.3">
      <c r="A983" s="3">
        <v>2018</v>
      </c>
      <c r="B983" s="1" t="s">
        <v>6</v>
      </c>
      <c r="C983" s="1" t="s">
        <v>28</v>
      </c>
      <c r="D983" s="2">
        <v>2153</v>
      </c>
      <c r="E983" s="2">
        <v>16234</v>
      </c>
      <c r="F983" s="4">
        <v>47028</v>
      </c>
    </row>
    <row r="984" spans="1:6" x14ac:dyDescent="0.3">
      <c r="A984" s="3">
        <v>2018</v>
      </c>
      <c r="B984" s="1" t="s">
        <v>6</v>
      </c>
      <c r="C984" s="1" t="s">
        <v>29</v>
      </c>
      <c r="D984" s="2">
        <v>1935</v>
      </c>
      <c r="E984" s="2">
        <v>16642</v>
      </c>
      <c r="F984" s="4">
        <v>43331</v>
      </c>
    </row>
    <row r="985" spans="1:6" x14ac:dyDescent="0.3">
      <c r="A985" s="3">
        <v>2018</v>
      </c>
      <c r="B985" s="1" t="s">
        <v>6</v>
      </c>
      <c r="C985" s="1" t="s">
        <v>30</v>
      </c>
      <c r="D985" s="2">
        <v>1771</v>
      </c>
      <c r="E985" s="2">
        <v>12503</v>
      </c>
      <c r="F985" s="4">
        <v>67090</v>
      </c>
    </row>
    <row r="986" spans="1:6" x14ac:dyDescent="0.3">
      <c r="A986" s="3">
        <v>2018</v>
      </c>
      <c r="B986" s="1" t="s">
        <v>6</v>
      </c>
      <c r="C986" s="1" t="s">
        <v>31</v>
      </c>
      <c r="D986" s="2">
        <v>2378</v>
      </c>
      <c r="E986" s="2">
        <v>15823</v>
      </c>
      <c r="F986" s="4">
        <v>41084</v>
      </c>
    </row>
    <row r="987" spans="1:6" x14ac:dyDescent="0.3">
      <c r="A987" s="3">
        <v>2018</v>
      </c>
      <c r="B987" s="1" t="s">
        <v>6</v>
      </c>
      <c r="C987" s="1" t="s">
        <v>32</v>
      </c>
      <c r="D987" s="1">
        <v>641</v>
      </c>
      <c r="E987" s="2">
        <v>19336</v>
      </c>
      <c r="F987" s="4">
        <v>82872</v>
      </c>
    </row>
    <row r="988" spans="1:6" x14ac:dyDescent="0.3">
      <c r="A988" s="3">
        <v>2018</v>
      </c>
      <c r="B988" s="1" t="s">
        <v>6</v>
      </c>
      <c r="C988" s="1" t="s">
        <v>33</v>
      </c>
      <c r="D988" s="1">
        <v>344</v>
      </c>
      <c r="E988" s="2">
        <v>2619</v>
      </c>
      <c r="F988" s="4">
        <v>42081</v>
      </c>
    </row>
    <row r="989" spans="1:6" x14ac:dyDescent="0.3">
      <c r="A989" s="3">
        <v>2018</v>
      </c>
      <c r="B989" s="1" t="s">
        <v>6</v>
      </c>
      <c r="C989" s="1" t="s">
        <v>34</v>
      </c>
      <c r="D989" s="2">
        <v>1003</v>
      </c>
      <c r="E989" s="2">
        <v>12165</v>
      </c>
      <c r="F989" s="4">
        <v>39981</v>
      </c>
    </row>
    <row r="990" spans="1:6" x14ac:dyDescent="0.3">
      <c r="A990" s="3">
        <v>2018</v>
      </c>
      <c r="B990" s="1" t="s">
        <v>6</v>
      </c>
      <c r="C990" s="1" t="s">
        <v>35</v>
      </c>
      <c r="D990" s="2">
        <v>2007</v>
      </c>
      <c r="E990" s="2">
        <v>35856</v>
      </c>
      <c r="F990" s="4">
        <v>64393</v>
      </c>
    </row>
    <row r="991" spans="1:6" x14ac:dyDescent="0.3">
      <c r="A991" s="3">
        <v>2018</v>
      </c>
      <c r="B991" s="1" t="s">
        <v>6</v>
      </c>
      <c r="C991" s="1" t="s">
        <v>36</v>
      </c>
      <c r="D991" s="2">
        <v>3062</v>
      </c>
      <c r="E991" s="2">
        <v>31787</v>
      </c>
      <c r="F991" s="4">
        <v>41230</v>
      </c>
    </row>
    <row r="992" spans="1:6" x14ac:dyDescent="0.3">
      <c r="A992" s="3">
        <v>2018</v>
      </c>
      <c r="B992" s="1" t="s">
        <v>6</v>
      </c>
      <c r="C992" s="1" t="s">
        <v>37</v>
      </c>
      <c r="D992" s="2">
        <v>3330</v>
      </c>
      <c r="E992" s="2">
        <v>30208</v>
      </c>
      <c r="F992" s="4">
        <v>39062</v>
      </c>
    </row>
    <row r="993" spans="1:6" x14ac:dyDescent="0.3">
      <c r="A993" s="3">
        <v>2018</v>
      </c>
      <c r="B993" s="1" t="s">
        <v>6</v>
      </c>
      <c r="C993" s="1" t="s">
        <v>38</v>
      </c>
      <c r="D993" s="2">
        <v>1766</v>
      </c>
      <c r="E993" s="2">
        <v>25422</v>
      </c>
      <c r="F993" s="4">
        <v>95073</v>
      </c>
    </row>
    <row r="994" spans="1:6" x14ac:dyDescent="0.3">
      <c r="A994" s="3">
        <v>2018</v>
      </c>
      <c r="B994" s="1" t="s">
        <v>6</v>
      </c>
      <c r="C994" s="1" t="s">
        <v>39</v>
      </c>
      <c r="D994" s="2">
        <v>2470</v>
      </c>
      <c r="E994" s="2">
        <v>28520</v>
      </c>
      <c r="F994" s="4">
        <v>51145</v>
      </c>
    </row>
    <row r="995" spans="1:6" x14ac:dyDescent="0.3">
      <c r="A995" s="3">
        <v>2018</v>
      </c>
      <c r="B995" s="1" t="s">
        <v>6</v>
      </c>
      <c r="C995" s="1" t="s">
        <v>40</v>
      </c>
      <c r="D995" s="2">
        <v>4348</v>
      </c>
      <c r="E995" s="2">
        <v>64020</v>
      </c>
      <c r="F995" s="4">
        <v>91135</v>
      </c>
    </row>
    <row r="996" spans="1:6" x14ac:dyDescent="0.3">
      <c r="A996" s="3">
        <v>2018</v>
      </c>
      <c r="B996" s="1" t="s">
        <v>6</v>
      </c>
      <c r="C996" s="1" t="s">
        <v>41</v>
      </c>
      <c r="D996" s="2">
        <v>4560</v>
      </c>
      <c r="E996" s="2">
        <v>53530</v>
      </c>
      <c r="F996" s="4">
        <v>37495</v>
      </c>
    </row>
    <row r="997" spans="1:6" x14ac:dyDescent="0.3">
      <c r="A997" s="3">
        <v>2018</v>
      </c>
      <c r="B997" s="1" t="s">
        <v>6</v>
      </c>
      <c r="C997" s="1" t="s">
        <v>42</v>
      </c>
      <c r="D997" s="2">
        <v>3585</v>
      </c>
      <c r="E997" s="2">
        <v>52523</v>
      </c>
      <c r="F997" s="4">
        <v>62951</v>
      </c>
    </row>
    <row r="998" spans="1:6" x14ac:dyDescent="0.3">
      <c r="A998" s="3">
        <v>2018</v>
      </c>
      <c r="B998" s="1" t="s">
        <v>6</v>
      </c>
      <c r="C998" s="1" t="s">
        <v>43</v>
      </c>
      <c r="D998" s="1">
        <v>194</v>
      </c>
      <c r="E998" s="2">
        <v>1056</v>
      </c>
      <c r="F998" s="4">
        <v>39071</v>
      </c>
    </row>
    <row r="999" spans="1:6" x14ac:dyDescent="0.3">
      <c r="A999" s="3">
        <v>2018</v>
      </c>
      <c r="B999" s="1" t="s">
        <v>6</v>
      </c>
      <c r="C999" s="1" t="s">
        <v>44</v>
      </c>
      <c r="D999" s="2">
        <v>1286</v>
      </c>
      <c r="E999" s="2">
        <v>12662</v>
      </c>
      <c r="F999" s="4">
        <v>40536</v>
      </c>
    </row>
    <row r="1000" spans="1:6" x14ac:dyDescent="0.3">
      <c r="A1000" s="3">
        <v>2018</v>
      </c>
      <c r="B1000" s="1" t="s">
        <v>6</v>
      </c>
      <c r="C1000" s="1" t="s">
        <v>45</v>
      </c>
      <c r="D1000" s="2">
        <v>1047</v>
      </c>
      <c r="E1000" s="2">
        <v>6831</v>
      </c>
      <c r="F1000" s="4">
        <v>42904</v>
      </c>
    </row>
    <row r="1001" spans="1:6" x14ac:dyDescent="0.3">
      <c r="A1001" s="3">
        <v>2018</v>
      </c>
      <c r="B1001" s="1" t="s">
        <v>6</v>
      </c>
      <c r="C1001" s="1" t="s">
        <v>46</v>
      </c>
      <c r="D1001" s="2">
        <v>1099</v>
      </c>
      <c r="E1001" s="2">
        <v>11051</v>
      </c>
      <c r="F1001" s="4">
        <v>46634</v>
      </c>
    </row>
    <row r="1002" spans="1:6" x14ac:dyDescent="0.3">
      <c r="A1002" s="3">
        <v>2018</v>
      </c>
      <c r="B1002" s="1" t="s">
        <v>6</v>
      </c>
      <c r="C1002" s="1" t="s">
        <v>47</v>
      </c>
      <c r="D1002" s="2">
        <v>19761</v>
      </c>
      <c r="E1002" s="2">
        <v>304275</v>
      </c>
      <c r="F1002" s="4">
        <v>109449</v>
      </c>
    </row>
    <row r="1003" spans="1:6" x14ac:dyDescent="0.3">
      <c r="A1003" s="3">
        <v>2018</v>
      </c>
      <c r="B1003" s="1" t="s">
        <v>6</v>
      </c>
      <c r="C1003" s="1" t="s">
        <v>48</v>
      </c>
      <c r="D1003" s="2">
        <v>1002</v>
      </c>
      <c r="E1003" s="2">
        <v>15159</v>
      </c>
      <c r="F1003" s="4">
        <v>61171</v>
      </c>
    </row>
    <row r="1004" spans="1:6" x14ac:dyDescent="0.3">
      <c r="A1004" s="3">
        <v>2018</v>
      </c>
      <c r="B1004" s="1" t="s">
        <v>6</v>
      </c>
      <c r="C1004" s="1" t="s">
        <v>49</v>
      </c>
      <c r="D1004" s="1">
        <v>548</v>
      </c>
      <c r="E1004" s="2">
        <v>3930</v>
      </c>
      <c r="F1004" s="4">
        <v>38605</v>
      </c>
    </row>
    <row r="1005" spans="1:6" x14ac:dyDescent="0.3">
      <c r="A1005" s="3">
        <v>2018</v>
      </c>
      <c r="B1005" s="1" t="s">
        <v>6</v>
      </c>
      <c r="C1005" s="1" t="s">
        <v>50</v>
      </c>
      <c r="D1005" s="2">
        <v>2101</v>
      </c>
      <c r="E1005" s="2">
        <v>19281</v>
      </c>
      <c r="F1005" s="4">
        <v>47043</v>
      </c>
    </row>
    <row r="1006" spans="1:6" x14ac:dyDescent="0.3">
      <c r="A1006" s="3">
        <v>2018</v>
      </c>
      <c r="B1006" s="1" t="s">
        <v>6</v>
      </c>
      <c r="C1006" s="1" t="s">
        <v>51</v>
      </c>
      <c r="D1006" s="2">
        <v>7317</v>
      </c>
      <c r="E1006" s="2">
        <v>109210</v>
      </c>
      <c r="F1006" s="4">
        <v>33346</v>
      </c>
    </row>
    <row r="1007" spans="1:6" x14ac:dyDescent="0.3">
      <c r="A1007" s="3">
        <v>2018</v>
      </c>
      <c r="B1007" s="1" t="s">
        <v>6</v>
      </c>
      <c r="C1007" s="1" t="s">
        <v>52</v>
      </c>
      <c r="D1007" s="2">
        <v>1199</v>
      </c>
      <c r="E1007" s="2">
        <v>23481</v>
      </c>
      <c r="F1007" s="4">
        <v>80012</v>
      </c>
    </row>
    <row r="1008" spans="1:6" x14ac:dyDescent="0.3">
      <c r="A1008" s="3">
        <v>2018</v>
      </c>
      <c r="B1008" s="1" t="s">
        <v>6</v>
      </c>
      <c r="C1008" s="1" t="s">
        <v>53</v>
      </c>
      <c r="D1008" s="2">
        <v>2926</v>
      </c>
      <c r="E1008" s="2">
        <v>32257</v>
      </c>
      <c r="F1008" s="4">
        <v>39437</v>
      </c>
    </row>
    <row r="1009" spans="1:6" x14ac:dyDescent="0.3">
      <c r="A1009" s="3">
        <v>2018</v>
      </c>
      <c r="B1009" s="1" t="s">
        <v>6</v>
      </c>
      <c r="C1009" s="1" t="s">
        <v>54</v>
      </c>
      <c r="D1009" s="2">
        <v>1438</v>
      </c>
      <c r="E1009" s="2">
        <v>23488</v>
      </c>
      <c r="F1009" s="4">
        <v>83751</v>
      </c>
    </row>
    <row r="1010" spans="1:6" x14ac:dyDescent="0.3">
      <c r="A1010" s="3">
        <v>2018</v>
      </c>
      <c r="B1010" s="1" t="s">
        <v>55</v>
      </c>
      <c r="C1010" s="1" t="s">
        <v>7</v>
      </c>
      <c r="D1010" s="2">
        <v>9897</v>
      </c>
      <c r="E1010" s="2">
        <v>89207</v>
      </c>
      <c r="F1010" s="4">
        <v>53957</v>
      </c>
    </row>
    <row r="1011" spans="1:6" x14ac:dyDescent="0.3">
      <c r="A1011" s="3">
        <v>2018</v>
      </c>
      <c r="B1011" s="1" t="s">
        <v>55</v>
      </c>
      <c r="C1011" s="1" t="s">
        <v>8</v>
      </c>
      <c r="D1011" s="2">
        <v>12867</v>
      </c>
      <c r="E1011" s="2">
        <v>158251</v>
      </c>
      <c r="F1011" s="4">
        <v>55989</v>
      </c>
    </row>
    <row r="1012" spans="1:6" x14ac:dyDescent="0.3">
      <c r="A1012" s="3">
        <v>2018</v>
      </c>
      <c r="B1012" s="1" t="s">
        <v>55</v>
      </c>
      <c r="C1012" s="1" t="s">
        <v>9</v>
      </c>
      <c r="D1012" s="2">
        <v>6945</v>
      </c>
      <c r="E1012" s="2">
        <v>50848</v>
      </c>
      <c r="F1012" s="4">
        <v>47988</v>
      </c>
    </row>
    <row r="1013" spans="1:6" x14ac:dyDescent="0.3">
      <c r="A1013" s="3">
        <v>2018</v>
      </c>
      <c r="B1013" s="1" t="s">
        <v>55</v>
      </c>
      <c r="C1013" s="1" t="s">
        <v>10</v>
      </c>
      <c r="D1013" s="2">
        <v>80657</v>
      </c>
      <c r="E1013" s="2">
        <v>860278</v>
      </c>
      <c r="F1013" s="4">
        <v>70084</v>
      </c>
    </row>
    <row r="1014" spans="1:6" x14ac:dyDescent="0.3">
      <c r="A1014" s="3">
        <v>2018</v>
      </c>
      <c r="B1014" s="1" t="s">
        <v>55</v>
      </c>
      <c r="C1014" s="1" t="s">
        <v>11</v>
      </c>
      <c r="D1014" s="2">
        <v>19884</v>
      </c>
      <c r="E1014" s="2">
        <v>173096</v>
      </c>
      <c r="F1014" s="4">
        <v>62414</v>
      </c>
    </row>
    <row r="1015" spans="1:6" x14ac:dyDescent="0.3">
      <c r="A1015" s="3">
        <v>2018</v>
      </c>
      <c r="B1015" s="1" t="s">
        <v>55</v>
      </c>
      <c r="C1015" s="1" t="s">
        <v>12</v>
      </c>
      <c r="D1015" s="2">
        <v>9399</v>
      </c>
      <c r="E1015" s="2">
        <v>58769</v>
      </c>
      <c r="F1015" s="4">
        <v>69727</v>
      </c>
    </row>
    <row r="1016" spans="1:6" x14ac:dyDescent="0.3">
      <c r="A1016" s="3">
        <v>2018</v>
      </c>
      <c r="B1016" s="1" t="s">
        <v>55</v>
      </c>
      <c r="C1016" s="1" t="s">
        <v>13</v>
      </c>
      <c r="D1016" s="2">
        <v>2871</v>
      </c>
      <c r="E1016" s="2">
        <v>22192</v>
      </c>
      <c r="F1016" s="4">
        <v>59797</v>
      </c>
    </row>
    <row r="1017" spans="1:6" x14ac:dyDescent="0.3">
      <c r="A1017" s="3">
        <v>2018</v>
      </c>
      <c r="B1017" s="1" t="s">
        <v>55</v>
      </c>
      <c r="C1017" s="1" t="s">
        <v>14</v>
      </c>
      <c r="D1017" s="2">
        <v>70819</v>
      </c>
      <c r="E1017" s="2">
        <v>541083</v>
      </c>
      <c r="F1017" s="4">
        <v>51286</v>
      </c>
    </row>
    <row r="1018" spans="1:6" x14ac:dyDescent="0.3">
      <c r="A1018" s="3">
        <v>2018</v>
      </c>
      <c r="B1018" s="1" t="s">
        <v>55</v>
      </c>
      <c r="C1018" s="1" t="s">
        <v>15</v>
      </c>
      <c r="D1018" s="2">
        <v>20577</v>
      </c>
      <c r="E1018" s="2">
        <v>195221</v>
      </c>
      <c r="F1018" s="4">
        <v>61018</v>
      </c>
    </row>
    <row r="1019" spans="1:6" x14ac:dyDescent="0.3">
      <c r="A1019" s="3">
        <v>2018</v>
      </c>
      <c r="B1019" s="1" t="s">
        <v>55</v>
      </c>
      <c r="C1019" s="1" t="s">
        <v>16</v>
      </c>
      <c r="D1019" s="2">
        <v>8174</v>
      </c>
      <c r="E1019" s="2">
        <v>46827</v>
      </c>
      <c r="F1019" s="4">
        <v>44285</v>
      </c>
    </row>
    <row r="1020" spans="1:6" x14ac:dyDescent="0.3">
      <c r="A1020" s="3">
        <v>2018</v>
      </c>
      <c r="B1020" s="1" t="s">
        <v>55</v>
      </c>
      <c r="C1020" s="1" t="s">
        <v>17</v>
      </c>
      <c r="D1020" s="2">
        <v>32305</v>
      </c>
      <c r="E1020" s="2">
        <v>225991</v>
      </c>
      <c r="F1020" s="4">
        <v>71957</v>
      </c>
    </row>
    <row r="1021" spans="1:6" x14ac:dyDescent="0.3">
      <c r="A1021" s="3">
        <v>2018</v>
      </c>
      <c r="B1021" s="1" t="s">
        <v>55</v>
      </c>
      <c r="C1021" s="1" t="s">
        <v>18</v>
      </c>
      <c r="D1021" s="2">
        <v>15176</v>
      </c>
      <c r="E1021" s="2">
        <v>141028</v>
      </c>
      <c r="F1021" s="4">
        <v>58404</v>
      </c>
    </row>
    <row r="1022" spans="1:6" x14ac:dyDescent="0.3">
      <c r="A1022" s="3">
        <v>2018</v>
      </c>
      <c r="B1022" s="1" t="s">
        <v>55</v>
      </c>
      <c r="C1022" s="1" t="s">
        <v>19</v>
      </c>
      <c r="D1022" s="2">
        <v>9447</v>
      </c>
      <c r="E1022" s="2">
        <v>77230</v>
      </c>
      <c r="F1022" s="4">
        <v>57435</v>
      </c>
    </row>
    <row r="1023" spans="1:6" x14ac:dyDescent="0.3">
      <c r="A1023" s="3">
        <v>2018</v>
      </c>
      <c r="B1023" s="1" t="s">
        <v>55</v>
      </c>
      <c r="C1023" s="1" t="s">
        <v>20</v>
      </c>
      <c r="D1023" s="2">
        <v>7555</v>
      </c>
      <c r="E1023" s="2">
        <v>61206</v>
      </c>
      <c r="F1023" s="4">
        <v>54735</v>
      </c>
    </row>
    <row r="1024" spans="1:6" x14ac:dyDescent="0.3">
      <c r="A1024" s="3">
        <v>2018</v>
      </c>
      <c r="B1024" s="1" t="s">
        <v>55</v>
      </c>
      <c r="C1024" s="1" t="s">
        <v>21</v>
      </c>
      <c r="D1024" s="2">
        <v>9466</v>
      </c>
      <c r="E1024" s="2">
        <v>77934</v>
      </c>
      <c r="F1024" s="4">
        <v>53957</v>
      </c>
    </row>
    <row r="1025" spans="1:6" x14ac:dyDescent="0.3">
      <c r="A1025" s="3">
        <v>2018</v>
      </c>
      <c r="B1025" s="1" t="s">
        <v>55</v>
      </c>
      <c r="C1025" s="1" t="s">
        <v>22</v>
      </c>
      <c r="D1025" s="2">
        <v>10844</v>
      </c>
      <c r="E1025" s="2">
        <v>151993</v>
      </c>
      <c r="F1025" s="4">
        <v>63892</v>
      </c>
    </row>
    <row r="1026" spans="1:6" x14ac:dyDescent="0.3">
      <c r="A1026" s="3">
        <v>2018</v>
      </c>
      <c r="B1026" s="1" t="s">
        <v>55</v>
      </c>
      <c r="C1026" s="1" t="s">
        <v>23</v>
      </c>
      <c r="D1026" s="2">
        <v>5475</v>
      </c>
      <c r="E1026" s="2">
        <v>29285</v>
      </c>
      <c r="F1026" s="4">
        <v>49575</v>
      </c>
    </row>
    <row r="1027" spans="1:6" x14ac:dyDescent="0.3">
      <c r="A1027" s="3">
        <v>2018</v>
      </c>
      <c r="B1027" s="1" t="s">
        <v>55</v>
      </c>
      <c r="C1027" s="1" t="s">
        <v>24</v>
      </c>
      <c r="D1027" s="2">
        <v>16487</v>
      </c>
      <c r="E1027" s="2">
        <v>163210</v>
      </c>
      <c r="F1027" s="4">
        <v>65971</v>
      </c>
    </row>
    <row r="1028" spans="1:6" x14ac:dyDescent="0.3">
      <c r="A1028" s="3">
        <v>2018</v>
      </c>
      <c r="B1028" s="1" t="s">
        <v>55</v>
      </c>
      <c r="C1028" s="1" t="s">
        <v>25</v>
      </c>
      <c r="D1028" s="2">
        <v>21120</v>
      </c>
      <c r="E1028" s="2">
        <v>158656</v>
      </c>
      <c r="F1028" s="4">
        <v>78802</v>
      </c>
    </row>
    <row r="1029" spans="1:6" x14ac:dyDescent="0.3">
      <c r="A1029" s="3">
        <v>2018</v>
      </c>
      <c r="B1029" s="1" t="s">
        <v>55</v>
      </c>
      <c r="C1029" s="1" t="s">
        <v>26</v>
      </c>
      <c r="D1029" s="2">
        <v>19952</v>
      </c>
      <c r="E1029" s="2">
        <v>168632</v>
      </c>
      <c r="F1029" s="4">
        <v>62378</v>
      </c>
    </row>
    <row r="1030" spans="1:6" x14ac:dyDescent="0.3">
      <c r="A1030" s="3">
        <v>2018</v>
      </c>
      <c r="B1030" s="1" t="s">
        <v>55</v>
      </c>
      <c r="C1030" s="1" t="s">
        <v>27</v>
      </c>
      <c r="D1030" s="2">
        <v>16480</v>
      </c>
      <c r="E1030" s="2">
        <v>121665</v>
      </c>
      <c r="F1030" s="4">
        <v>67248</v>
      </c>
    </row>
    <row r="1031" spans="1:6" x14ac:dyDescent="0.3">
      <c r="A1031" s="3">
        <v>2018</v>
      </c>
      <c r="B1031" s="1" t="s">
        <v>55</v>
      </c>
      <c r="C1031" s="1" t="s">
        <v>28</v>
      </c>
      <c r="D1031" s="2">
        <v>5760</v>
      </c>
      <c r="E1031" s="2">
        <v>43911</v>
      </c>
      <c r="F1031" s="4">
        <v>50325</v>
      </c>
    </row>
    <row r="1032" spans="1:6" x14ac:dyDescent="0.3">
      <c r="A1032" s="3">
        <v>2018</v>
      </c>
      <c r="B1032" s="1" t="s">
        <v>55</v>
      </c>
      <c r="C1032" s="1" t="s">
        <v>29</v>
      </c>
      <c r="D1032" s="2">
        <v>14591</v>
      </c>
      <c r="E1032" s="2">
        <v>122662</v>
      </c>
      <c r="F1032" s="4">
        <v>59442</v>
      </c>
    </row>
    <row r="1033" spans="1:6" x14ac:dyDescent="0.3">
      <c r="A1033" s="3">
        <v>2018</v>
      </c>
      <c r="B1033" s="1" t="s">
        <v>55</v>
      </c>
      <c r="C1033" s="1" t="s">
        <v>30</v>
      </c>
      <c r="D1033" s="2">
        <v>6514</v>
      </c>
      <c r="E1033" s="2">
        <v>29077</v>
      </c>
      <c r="F1033" s="4">
        <v>52969</v>
      </c>
    </row>
    <row r="1034" spans="1:6" x14ac:dyDescent="0.3">
      <c r="A1034" s="3">
        <v>2018</v>
      </c>
      <c r="B1034" s="1" t="s">
        <v>55</v>
      </c>
      <c r="C1034" s="1" t="s">
        <v>31</v>
      </c>
      <c r="D1034" s="2">
        <v>7068</v>
      </c>
      <c r="E1034" s="2">
        <v>52320</v>
      </c>
      <c r="F1034" s="4">
        <v>51657</v>
      </c>
    </row>
    <row r="1035" spans="1:6" x14ac:dyDescent="0.3">
      <c r="A1035" s="3">
        <v>2018</v>
      </c>
      <c r="B1035" s="1" t="s">
        <v>55</v>
      </c>
      <c r="C1035" s="1" t="s">
        <v>32</v>
      </c>
      <c r="D1035" s="2">
        <v>5898</v>
      </c>
      <c r="E1035" s="2">
        <v>89125</v>
      </c>
      <c r="F1035" s="4">
        <v>61123</v>
      </c>
    </row>
    <row r="1036" spans="1:6" x14ac:dyDescent="0.3">
      <c r="A1036" s="3">
        <v>2018</v>
      </c>
      <c r="B1036" s="1" t="s">
        <v>55</v>
      </c>
      <c r="C1036" s="1" t="s">
        <v>33</v>
      </c>
      <c r="D1036" s="2">
        <v>4498</v>
      </c>
      <c r="E1036" s="2">
        <v>26890</v>
      </c>
      <c r="F1036" s="4">
        <v>62661</v>
      </c>
    </row>
    <row r="1037" spans="1:6" x14ac:dyDescent="0.3">
      <c r="A1037" s="3">
        <v>2018</v>
      </c>
      <c r="B1037" s="1" t="s">
        <v>55</v>
      </c>
      <c r="C1037" s="1" t="s">
        <v>34</v>
      </c>
      <c r="D1037" s="2">
        <v>22416</v>
      </c>
      <c r="E1037" s="2">
        <v>157147</v>
      </c>
      <c r="F1037" s="4">
        <v>72658</v>
      </c>
    </row>
    <row r="1038" spans="1:6" x14ac:dyDescent="0.3">
      <c r="A1038" s="3">
        <v>2018</v>
      </c>
      <c r="B1038" s="1" t="s">
        <v>55</v>
      </c>
      <c r="C1038" s="1" t="s">
        <v>35</v>
      </c>
      <c r="D1038" s="2">
        <v>5337</v>
      </c>
      <c r="E1038" s="2">
        <v>47224</v>
      </c>
      <c r="F1038" s="4">
        <v>49350</v>
      </c>
    </row>
    <row r="1039" spans="1:6" x14ac:dyDescent="0.3">
      <c r="A1039" s="3">
        <v>2018</v>
      </c>
      <c r="B1039" s="1" t="s">
        <v>55</v>
      </c>
      <c r="C1039" s="1" t="s">
        <v>36</v>
      </c>
      <c r="D1039" s="2">
        <v>50281</v>
      </c>
      <c r="E1039" s="2">
        <v>399629</v>
      </c>
      <c r="F1039" s="4">
        <v>73248</v>
      </c>
    </row>
    <row r="1040" spans="1:6" x14ac:dyDescent="0.3">
      <c r="A1040" s="3">
        <v>2018</v>
      </c>
      <c r="B1040" s="1" t="s">
        <v>55</v>
      </c>
      <c r="C1040" s="1" t="s">
        <v>37</v>
      </c>
      <c r="D1040" s="2">
        <v>26741</v>
      </c>
      <c r="E1040" s="2">
        <v>220692</v>
      </c>
      <c r="F1040" s="4">
        <v>54587</v>
      </c>
    </row>
    <row r="1041" spans="1:6" x14ac:dyDescent="0.3">
      <c r="A1041" s="3">
        <v>2018</v>
      </c>
      <c r="B1041" s="1" t="s">
        <v>55</v>
      </c>
      <c r="C1041" s="1" t="s">
        <v>38</v>
      </c>
      <c r="D1041" s="2">
        <v>3798</v>
      </c>
      <c r="E1041" s="2">
        <v>26002</v>
      </c>
      <c r="F1041" s="4">
        <v>64586</v>
      </c>
    </row>
    <row r="1042" spans="1:6" x14ac:dyDescent="0.3">
      <c r="A1042" s="3">
        <v>2018</v>
      </c>
      <c r="B1042" s="1" t="s">
        <v>55</v>
      </c>
      <c r="C1042" s="1" t="s">
        <v>39</v>
      </c>
      <c r="D1042" s="2">
        <v>23076</v>
      </c>
      <c r="E1042" s="2">
        <v>220709</v>
      </c>
      <c r="F1042" s="4">
        <v>61194</v>
      </c>
    </row>
    <row r="1043" spans="1:6" x14ac:dyDescent="0.3">
      <c r="A1043" s="3">
        <v>2018</v>
      </c>
      <c r="B1043" s="1" t="s">
        <v>55</v>
      </c>
      <c r="C1043" s="1" t="s">
        <v>40</v>
      </c>
      <c r="D1043" s="2">
        <v>9765</v>
      </c>
      <c r="E1043" s="2">
        <v>80295</v>
      </c>
      <c r="F1043" s="4">
        <v>52777</v>
      </c>
    </row>
    <row r="1044" spans="1:6" x14ac:dyDescent="0.3">
      <c r="A1044" s="3">
        <v>2018</v>
      </c>
      <c r="B1044" s="1" t="s">
        <v>55</v>
      </c>
      <c r="C1044" s="1" t="s">
        <v>41</v>
      </c>
      <c r="D1044" s="2">
        <v>14244</v>
      </c>
      <c r="E1044" s="2">
        <v>104561</v>
      </c>
      <c r="F1044" s="4">
        <v>60523</v>
      </c>
    </row>
    <row r="1045" spans="1:6" x14ac:dyDescent="0.3">
      <c r="A1045" s="3">
        <v>2018</v>
      </c>
      <c r="B1045" s="1" t="s">
        <v>55</v>
      </c>
      <c r="C1045" s="1" t="s">
        <v>42</v>
      </c>
      <c r="D1045" s="2">
        <v>28749</v>
      </c>
      <c r="E1045" s="2">
        <v>255910</v>
      </c>
      <c r="F1045" s="4">
        <v>66852</v>
      </c>
    </row>
    <row r="1046" spans="1:6" x14ac:dyDescent="0.3">
      <c r="A1046" s="3">
        <v>2018</v>
      </c>
      <c r="B1046" s="1" t="s">
        <v>55</v>
      </c>
      <c r="C1046" s="1" t="s">
        <v>43</v>
      </c>
      <c r="D1046" s="2">
        <v>3743</v>
      </c>
      <c r="E1046" s="2">
        <v>19229</v>
      </c>
      <c r="F1046" s="4">
        <v>61579</v>
      </c>
    </row>
    <row r="1047" spans="1:6" x14ac:dyDescent="0.3">
      <c r="A1047" s="3">
        <v>2018</v>
      </c>
      <c r="B1047" s="1" t="s">
        <v>55</v>
      </c>
      <c r="C1047" s="1" t="s">
        <v>44</v>
      </c>
      <c r="D1047" s="2">
        <v>12124</v>
      </c>
      <c r="E1047" s="2">
        <v>104324</v>
      </c>
      <c r="F1047" s="4">
        <v>52634</v>
      </c>
    </row>
    <row r="1048" spans="1:6" x14ac:dyDescent="0.3">
      <c r="A1048" s="3">
        <v>2018</v>
      </c>
      <c r="B1048" s="1" t="s">
        <v>55</v>
      </c>
      <c r="C1048" s="1" t="s">
        <v>45</v>
      </c>
      <c r="D1048" s="2">
        <v>3884</v>
      </c>
      <c r="E1048" s="2">
        <v>22971</v>
      </c>
      <c r="F1048" s="4">
        <v>48981</v>
      </c>
    </row>
    <row r="1049" spans="1:6" x14ac:dyDescent="0.3">
      <c r="A1049" s="3">
        <v>2018</v>
      </c>
      <c r="B1049" s="1" t="s">
        <v>55</v>
      </c>
      <c r="C1049" s="1" t="s">
        <v>46</v>
      </c>
      <c r="D1049" s="2">
        <v>12110</v>
      </c>
      <c r="E1049" s="2">
        <v>124488</v>
      </c>
      <c r="F1049" s="4">
        <v>57033</v>
      </c>
    </row>
    <row r="1050" spans="1:6" x14ac:dyDescent="0.3">
      <c r="A1050" s="3">
        <v>2018</v>
      </c>
      <c r="B1050" s="1" t="s">
        <v>55</v>
      </c>
      <c r="C1050" s="1" t="s">
        <v>47</v>
      </c>
      <c r="D1050" s="2">
        <v>51405</v>
      </c>
      <c r="E1050" s="2">
        <v>739156</v>
      </c>
      <c r="F1050" s="4">
        <v>65554</v>
      </c>
    </row>
    <row r="1051" spans="1:6" x14ac:dyDescent="0.3">
      <c r="A1051" s="3">
        <v>2018</v>
      </c>
      <c r="B1051" s="1" t="s">
        <v>55</v>
      </c>
      <c r="C1051" s="1" t="s">
        <v>48</v>
      </c>
      <c r="D1051" s="2">
        <v>11572</v>
      </c>
      <c r="E1051" s="2">
        <v>104339</v>
      </c>
      <c r="F1051" s="4">
        <v>51052</v>
      </c>
    </row>
    <row r="1052" spans="1:6" x14ac:dyDescent="0.3">
      <c r="A1052" s="3">
        <v>2018</v>
      </c>
      <c r="B1052" s="1" t="s">
        <v>55</v>
      </c>
      <c r="C1052" s="1" t="s">
        <v>49</v>
      </c>
      <c r="D1052" s="2">
        <v>2878</v>
      </c>
      <c r="E1052" s="2">
        <v>15262</v>
      </c>
      <c r="F1052" s="4">
        <v>51025</v>
      </c>
    </row>
    <row r="1053" spans="1:6" x14ac:dyDescent="0.3">
      <c r="A1053" s="3">
        <v>2018</v>
      </c>
      <c r="B1053" s="1" t="s">
        <v>55</v>
      </c>
      <c r="C1053" s="1" t="s">
        <v>50</v>
      </c>
      <c r="D1053" s="2">
        <v>21508</v>
      </c>
      <c r="E1053" s="2">
        <v>197292</v>
      </c>
      <c r="F1053" s="4">
        <v>58050</v>
      </c>
    </row>
    <row r="1054" spans="1:6" x14ac:dyDescent="0.3">
      <c r="A1054" s="3">
        <v>2018</v>
      </c>
      <c r="B1054" s="1" t="s">
        <v>55</v>
      </c>
      <c r="C1054" s="1" t="s">
        <v>51</v>
      </c>
      <c r="D1054" s="2">
        <v>26015</v>
      </c>
      <c r="E1054" s="2">
        <v>199867</v>
      </c>
      <c r="F1054" s="4">
        <v>64432</v>
      </c>
    </row>
    <row r="1055" spans="1:6" x14ac:dyDescent="0.3">
      <c r="A1055" s="3">
        <v>2018</v>
      </c>
      <c r="B1055" s="1" t="s">
        <v>55</v>
      </c>
      <c r="C1055" s="1" t="s">
        <v>52</v>
      </c>
      <c r="D1055" s="2">
        <v>4435</v>
      </c>
      <c r="E1055" s="2">
        <v>40126</v>
      </c>
      <c r="F1055" s="4">
        <v>72255</v>
      </c>
    </row>
    <row r="1056" spans="1:6" x14ac:dyDescent="0.3">
      <c r="A1056" s="3">
        <v>2018</v>
      </c>
      <c r="B1056" s="1" t="s">
        <v>55</v>
      </c>
      <c r="C1056" s="1" t="s">
        <v>53</v>
      </c>
      <c r="D1056" s="2">
        <v>14814</v>
      </c>
      <c r="E1056" s="2">
        <v>122396</v>
      </c>
      <c r="F1056" s="4">
        <v>62063</v>
      </c>
    </row>
    <row r="1057" spans="1:6" x14ac:dyDescent="0.3">
      <c r="A1057" s="3">
        <v>2018</v>
      </c>
      <c r="B1057" s="1" t="s">
        <v>55</v>
      </c>
      <c r="C1057" s="1" t="s">
        <v>54</v>
      </c>
      <c r="D1057" s="2">
        <v>3375</v>
      </c>
      <c r="E1057" s="2">
        <v>20253</v>
      </c>
      <c r="F1057" s="4">
        <v>53554</v>
      </c>
    </row>
    <row r="1058" spans="1:6" x14ac:dyDescent="0.3">
      <c r="A1058" s="3">
        <v>2018</v>
      </c>
      <c r="B1058" s="1" t="s">
        <v>56</v>
      </c>
      <c r="C1058" s="1" t="s">
        <v>7</v>
      </c>
      <c r="D1058" s="2">
        <v>5566</v>
      </c>
      <c r="E1058" s="2">
        <v>266798</v>
      </c>
      <c r="F1058" s="4">
        <v>57068</v>
      </c>
    </row>
    <row r="1059" spans="1:6" x14ac:dyDescent="0.3">
      <c r="A1059" s="3">
        <v>2018</v>
      </c>
      <c r="B1059" s="1" t="s">
        <v>56</v>
      </c>
      <c r="C1059" s="1" t="s">
        <v>8</v>
      </c>
      <c r="D1059" s="2">
        <v>4926</v>
      </c>
      <c r="E1059" s="2">
        <v>169675</v>
      </c>
      <c r="F1059" s="4">
        <v>76139</v>
      </c>
    </row>
    <row r="1060" spans="1:6" x14ac:dyDescent="0.3">
      <c r="A1060" s="3">
        <v>2018</v>
      </c>
      <c r="B1060" s="1" t="s">
        <v>56</v>
      </c>
      <c r="C1060" s="1" t="s">
        <v>9</v>
      </c>
      <c r="D1060" s="2">
        <v>2918</v>
      </c>
      <c r="E1060" s="2">
        <v>160597</v>
      </c>
      <c r="F1060" s="4">
        <v>47984</v>
      </c>
    </row>
    <row r="1061" spans="1:6" x14ac:dyDescent="0.3">
      <c r="A1061" s="3">
        <v>2018</v>
      </c>
      <c r="B1061" s="1" t="s">
        <v>56</v>
      </c>
      <c r="C1061" s="1" t="s">
        <v>10</v>
      </c>
      <c r="D1061" s="2">
        <v>44706</v>
      </c>
      <c r="E1061" s="2">
        <v>1320068</v>
      </c>
      <c r="F1061" s="4">
        <v>95627</v>
      </c>
    </row>
    <row r="1062" spans="1:6" x14ac:dyDescent="0.3">
      <c r="A1062" s="3">
        <v>2018</v>
      </c>
      <c r="B1062" s="1" t="s">
        <v>56</v>
      </c>
      <c r="C1062" s="1" t="s">
        <v>11</v>
      </c>
      <c r="D1062" s="2">
        <v>5804</v>
      </c>
      <c r="E1062" s="2">
        <v>147285</v>
      </c>
      <c r="F1062" s="4">
        <v>70677</v>
      </c>
    </row>
    <row r="1063" spans="1:6" x14ac:dyDescent="0.3">
      <c r="A1063" s="3">
        <v>2018</v>
      </c>
      <c r="B1063" s="1" t="s">
        <v>56</v>
      </c>
      <c r="C1063" s="1" t="s">
        <v>12</v>
      </c>
      <c r="D1063" s="2">
        <v>4408</v>
      </c>
      <c r="E1063" s="2">
        <v>160500</v>
      </c>
      <c r="F1063" s="4">
        <v>82569</v>
      </c>
    </row>
    <row r="1064" spans="1:6" x14ac:dyDescent="0.3">
      <c r="A1064" s="3">
        <v>2018</v>
      </c>
      <c r="B1064" s="1" t="s">
        <v>56</v>
      </c>
      <c r="C1064" s="1" t="s">
        <v>13</v>
      </c>
      <c r="D1064" s="1">
        <v>661</v>
      </c>
      <c r="E1064" s="2">
        <v>27077</v>
      </c>
      <c r="F1064" s="4">
        <v>64153</v>
      </c>
    </row>
    <row r="1065" spans="1:6" x14ac:dyDescent="0.3">
      <c r="A1065" s="3">
        <v>2018</v>
      </c>
      <c r="B1065" s="1" t="s">
        <v>56</v>
      </c>
      <c r="C1065" s="1" t="s">
        <v>14</v>
      </c>
      <c r="D1065" s="2">
        <v>20548</v>
      </c>
      <c r="E1065" s="2">
        <v>371590</v>
      </c>
      <c r="F1065" s="4">
        <v>61740</v>
      </c>
    </row>
    <row r="1066" spans="1:6" x14ac:dyDescent="0.3">
      <c r="A1066" s="3">
        <v>2018</v>
      </c>
      <c r="B1066" s="1" t="s">
        <v>56</v>
      </c>
      <c r="C1066" s="1" t="s">
        <v>15</v>
      </c>
      <c r="D1066" s="2">
        <v>9884</v>
      </c>
      <c r="E1066" s="2">
        <v>406818</v>
      </c>
      <c r="F1066" s="4">
        <v>59168</v>
      </c>
    </row>
    <row r="1067" spans="1:6" x14ac:dyDescent="0.3">
      <c r="A1067" s="3">
        <v>2018</v>
      </c>
      <c r="B1067" s="1" t="s">
        <v>56</v>
      </c>
      <c r="C1067" s="1" t="s">
        <v>16</v>
      </c>
      <c r="D1067" s="2">
        <v>2807</v>
      </c>
      <c r="E1067" s="2">
        <v>67792</v>
      </c>
      <c r="F1067" s="4">
        <v>63932</v>
      </c>
    </row>
    <row r="1068" spans="1:6" x14ac:dyDescent="0.3">
      <c r="A1068" s="3">
        <v>2018</v>
      </c>
      <c r="B1068" s="1" t="s">
        <v>56</v>
      </c>
      <c r="C1068" s="1" t="s">
        <v>17</v>
      </c>
      <c r="D1068" s="2">
        <v>17883</v>
      </c>
      <c r="E1068" s="2">
        <v>586130</v>
      </c>
      <c r="F1068" s="4">
        <v>71895</v>
      </c>
    </row>
    <row r="1069" spans="1:6" x14ac:dyDescent="0.3">
      <c r="A1069" s="3">
        <v>2018</v>
      </c>
      <c r="B1069" s="1" t="s">
        <v>56</v>
      </c>
      <c r="C1069" s="1" t="s">
        <v>18</v>
      </c>
      <c r="D1069" s="2">
        <v>8825</v>
      </c>
      <c r="E1069" s="2">
        <v>541836</v>
      </c>
      <c r="F1069" s="4">
        <v>62680</v>
      </c>
    </row>
    <row r="1070" spans="1:6" x14ac:dyDescent="0.3">
      <c r="A1070" s="3">
        <v>2018</v>
      </c>
      <c r="B1070" s="1" t="s">
        <v>56</v>
      </c>
      <c r="C1070" s="1" t="s">
        <v>19</v>
      </c>
      <c r="D1070" s="2">
        <v>4142</v>
      </c>
      <c r="E1070" s="2">
        <v>222586</v>
      </c>
      <c r="F1070" s="4">
        <v>60257</v>
      </c>
    </row>
    <row r="1071" spans="1:6" x14ac:dyDescent="0.3">
      <c r="A1071" s="3">
        <v>2018</v>
      </c>
      <c r="B1071" s="1" t="s">
        <v>56</v>
      </c>
      <c r="C1071" s="1" t="s">
        <v>20</v>
      </c>
      <c r="D1071" s="2">
        <v>3143</v>
      </c>
      <c r="E1071" s="2">
        <v>165056</v>
      </c>
      <c r="F1071" s="4">
        <v>59206</v>
      </c>
    </row>
    <row r="1072" spans="1:6" x14ac:dyDescent="0.3">
      <c r="A1072" s="3">
        <v>2018</v>
      </c>
      <c r="B1072" s="1" t="s">
        <v>56</v>
      </c>
      <c r="C1072" s="1" t="s">
        <v>21</v>
      </c>
      <c r="D1072" s="2">
        <v>4443</v>
      </c>
      <c r="E1072" s="2">
        <v>251454</v>
      </c>
      <c r="F1072" s="4">
        <v>59208</v>
      </c>
    </row>
    <row r="1073" spans="1:6" x14ac:dyDescent="0.3">
      <c r="A1073" s="3">
        <v>2018</v>
      </c>
      <c r="B1073" s="1" t="s">
        <v>56</v>
      </c>
      <c r="C1073" s="1" t="s">
        <v>22</v>
      </c>
      <c r="D1073" s="2">
        <v>4428</v>
      </c>
      <c r="E1073" s="2">
        <v>135510</v>
      </c>
      <c r="F1073" s="4">
        <v>75881</v>
      </c>
    </row>
    <row r="1074" spans="1:6" x14ac:dyDescent="0.3">
      <c r="A1074" s="3">
        <v>2018</v>
      </c>
      <c r="B1074" s="1" t="s">
        <v>56</v>
      </c>
      <c r="C1074" s="1" t="s">
        <v>23</v>
      </c>
      <c r="D1074" s="2">
        <v>1856</v>
      </c>
      <c r="E1074" s="2">
        <v>51836</v>
      </c>
      <c r="F1074" s="4">
        <v>55894</v>
      </c>
    </row>
    <row r="1075" spans="1:6" x14ac:dyDescent="0.3">
      <c r="A1075" s="3">
        <v>2018</v>
      </c>
      <c r="B1075" s="1" t="s">
        <v>56</v>
      </c>
      <c r="C1075" s="1" t="s">
        <v>24</v>
      </c>
      <c r="D1075" s="2">
        <v>4035</v>
      </c>
      <c r="E1075" s="2">
        <v>109683</v>
      </c>
      <c r="F1075" s="4">
        <v>78350</v>
      </c>
    </row>
    <row r="1076" spans="1:6" x14ac:dyDescent="0.3">
      <c r="A1076" s="3">
        <v>2018</v>
      </c>
      <c r="B1076" s="1" t="s">
        <v>56</v>
      </c>
      <c r="C1076" s="1" t="s">
        <v>25</v>
      </c>
      <c r="D1076" s="2">
        <v>6711</v>
      </c>
      <c r="E1076" s="2">
        <v>245091</v>
      </c>
      <c r="F1076" s="4">
        <v>88576</v>
      </c>
    </row>
    <row r="1077" spans="1:6" x14ac:dyDescent="0.3">
      <c r="A1077" s="3">
        <v>2018</v>
      </c>
      <c r="B1077" s="1" t="s">
        <v>56</v>
      </c>
      <c r="C1077" s="1" t="s">
        <v>26</v>
      </c>
      <c r="D1077" s="2">
        <v>16070</v>
      </c>
      <c r="E1077" s="2">
        <v>627751</v>
      </c>
      <c r="F1077" s="4">
        <v>67537</v>
      </c>
    </row>
    <row r="1078" spans="1:6" x14ac:dyDescent="0.3">
      <c r="A1078" s="3">
        <v>2018</v>
      </c>
      <c r="B1078" s="1" t="s">
        <v>56</v>
      </c>
      <c r="C1078" s="1" t="s">
        <v>27</v>
      </c>
      <c r="D1078" s="2">
        <v>8487</v>
      </c>
      <c r="E1078" s="2">
        <v>321908</v>
      </c>
      <c r="F1078" s="4">
        <v>67096</v>
      </c>
    </row>
    <row r="1079" spans="1:6" x14ac:dyDescent="0.3">
      <c r="A1079" s="3">
        <v>2018</v>
      </c>
      <c r="B1079" s="1" t="s">
        <v>56</v>
      </c>
      <c r="C1079" s="1" t="s">
        <v>28</v>
      </c>
      <c r="D1079" s="2">
        <v>2421</v>
      </c>
      <c r="E1079" s="2">
        <v>144816</v>
      </c>
      <c r="F1079" s="4">
        <v>49254</v>
      </c>
    </row>
    <row r="1080" spans="1:6" x14ac:dyDescent="0.3">
      <c r="A1080" s="3">
        <v>2018</v>
      </c>
      <c r="B1080" s="1" t="s">
        <v>56</v>
      </c>
      <c r="C1080" s="1" t="s">
        <v>29</v>
      </c>
      <c r="D1080" s="2">
        <v>6476</v>
      </c>
      <c r="E1080" s="2">
        <v>273163</v>
      </c>
      <c r="F1080" s="4">
        <v>58359</v>
      </c>
    </row>
    <row r="1081" spans="1:6" x14ac:dyDescent="0.3">
      <c r="A1081" s="3">
        <v>2018</v>
      </c>
      <c r="B1081" s="1" t="s">
        <v>56</v>
      </c>
      <c r="C1081" s="1" t="s">
        <v>30</v>
      </c>
      <c r="D1081" s="2">
        <v>1634</v>
      </c>
      <c r="E1081" s="2">
        <v>20560</v>
      </c>
      <c r="F1081" s="4">
        <v>50194</v>
      </c>
    </row>
    <row r="1082" spans="1:6" x14ac:dyDescent="0.3">
      <c r="A1082" s="3">
        <v>2018</v>
      </c>
      <c r="B1082" s="1" t="s">
        <v>56</v>
      </c>
      <c r="C1082" s="1" t="s">
        <v>31</v>
      </c>
      <c r="D1082" s="2">
        <v>1988</v>
      </c>
      <c r="E1082" s="2">
        <v>99807</v>
      </c>
      <c r="F1082" s="4">
        <v>51566</v>
      </c>
    </row>
    <row r="1083" spans="1:6" x14ac:dyDescent="0.3">
      <c r="A1083" s="3">
        <v>2018</v>
      </c>
      <c r="B1083" s="1" t="s">
        <v>56</v>
      </c>
      <c r="C1083" s="1" t="s">
        <v>32</v>
      </c>
      <c r="D1083" s="2">
        <v>2066</v>
      </c>
      <c r="E1083" s="2">
        <v>55405</v>
      </c>
      <c r="F1083" s="4">
        <v>58543</v>
      </c>
    </row>
    <row r="1084" spans="1:6" x14ac:dyDescent="0.3">
      <c r="A1084" s="3">
        <v>2018</v>
      </c>
      <c r="B1084" s="1" t="s">
        <v>56</v>
      </c>
      <c r="C1084" s="1" t="s">
        <v>33</v>
      </c>
      <c r="D1084" s="2">
        <v>2032</v>
      </c>
      <c r="E1084" s="2">
        <v>70582</v>
      </c>
      <c r="F1084" s="4">
        <v>71722</v>
      </c>
    </row>
    <row r="1085" spans="1:6" x14ac:dyDescent="0.3">
      <c r="A1085" s="3">
        <v>2018</v>
      </c>
      <c r="B1085" s="1" t="s">
        <v>56</v>
      </c>
      <c r="C1085" s="1" t="s">
        <v>34</v>
      </c>
      <c r="D1085" s="2">
        <v>8976</v>
      </c>
      <c r="E1085" s="2">
        <v>245593</v>
      </c>
      <c r="F1085" s="4">
        <v>80088</v>
      </c>
    </row>
    <row r="1086" spans="1:6" x14ac:dyDescent="0.3">
      <c r="A1086" s="3">
        <v>2018</v>
      </c>
      <c r="B1086" s="1" t="s">
        <v>56</v>
      </c>
      <c r="C1086" s="1" t="s">
        <v>35</v>
      </c>
      <c r="D1086" s="2">
        <v>1768</v>
      </c>
      <c r="E1086" s="2">
        <v>27145</v>
      </c>
      <c r="F1086" s="4">
        <v>53139</v>
      </c>
    </row>
    <row r="1087" spans="1:6" x14ac:dyDescent="0.3">
      <c r="A1087" s="3">
        <v>2018</v>
      </c>
      <c r="B1087" s="1" t="s">
        <v>56</v>
      </c>
      <c r="C1087" s="1" t="s">
        <v>36</v>
      </c>
      <c r="D1087" s="2">
        <v>16910</v>
      </c>
      <c r="E1087" s="2">
        <v>441590</v>
      </c>
      <c r="F1087" s="4">
        <v>67614</v>
      </c>
    </row>
    <row r="1088" spans="1:6" x14ac:dyDescent="0.3">
      <c r="A1088" s="3">
        <v>2018</v>
      </c>
      <c r="B1088" s="1" t="s">
        <v>56</v>
      </c>
      <c r="C1088" s="1" t="s">
        <v>37</v>
      </c>
      <c r="D1088" s="2">
        <v>10219</v>
      </c>
      <c r="E1088" s="2">
        <v>474932</v>
      </c>
      <c r="F1088" s="4">
        <v>59827</v>
      </c>
    </row>
    <row r="1089" spans="1:6" x14ac:dyDescent="0.3">
      <c r="A1089" s="3">
        <v>2018</v>
      </c>
      <c r="B1089" s="1" t="s">
        <v>56</v>
      </c>
      <c r="C1089" s="1" t="s">
        <v>38</v>
      </c>
      <c r="D1089" s="1">
        <v>807</v>
      </c>
      <c r="E1089" s="2">
        <v>25906</v>
      </c>
      <c r="F1089" s="4">
        <v>53882</v>
      </c>
    </row>
    <row r="1090" spans="1:6" x14ac:dyDescent="0.3">
      <c r="A1090" s="3">
        <v>2018</v>
      </c>
      <c r="B1090" s="1" t="s">
        <v>56</v>
      </c>
      <c r="C1090" s="1" t="s">
        <v>39</v>
      </c>
      <c r="D1090" s="2">
        <v>15409</v>
      </c>
      <c r="E1090" s="2">
        <v>698950</v>
      </c>
      <c r="F1090" s="4">
        <v>61487</v>
      </c>
    </row>
    <row r="1091" spans="1:6" x14ac:dyDescent="0.3">
      <c r="A1091" s="3">
        <v>2018</v>
      </c>
      <c r="B1091" s="1" t="s">
        <v>56</v>
      </c>
      <c r="C1091" s="1" t="s">
        <v>40</v>
      </c>
      <c r="D1091" s="2">
        <v>4164</v>
      </c>
      <c r="E1091" s="2">
        <v>137739</v>
      </c>
      <c r="F1091" s="4">
        <v>58770</v>
      </c>
    </row>
    <row r="1092" spans="1:6" x14ac:dyDescent="0.3">
      <c r="A1092" s="3">
        <v>2018</v>
      </c>
      <c r="B1092" s="1" t="s">
        <v>56</v>
      </c>
      <c r="C1092" s="1" t="s">
        <v>41</v>
      </c>
      <c r="D1092" s="2">
        <v>6240</v>
      </c>
      <c r="E1092" s="2">
        <v>194693</v>
      </c>
      <c r="F1092" s="4">
        <v>70641</v>
      </c>
    </row>
    <row r="1093" spans="1:6" x14ac:dyDescent="0.3">
      <c r="A1093" s="3">
        <v>2018</v>
      </c>
      <c r="B1093" s="1" t="s">
        <v>56</v>
      </c>
      <c r="C1093" s="1" t="s">
        <v>42</v>
      </c>
      <c r="D1093" s="2">
        <v>14407</v>
      </c>
      <c r="E1093" s="2">
        <v>569811</v>
      </c>
      <c r="F1093" s="4">
        <v>62561</v>
      </c>
    </row>
    <row r="1094" spans="1:6" x14ac:dyDescent="0.3">
      <c r="A1094" s="3">
        <v>2018</v>
      </c>
      <c r="B1094" s="1" t="s">
        <v>56</v>
      </c>
      <c r="C1094" s="1" t="s">
        <v>43</v>
      </c>
      <c r="D1094" s="2">
        <v>1572</v>
      </c>
      <c r="E1094" s="2">
        <v>40340</v>
      </c>
      <c r="F1094" s="4">
        <v>58468</v>
      </c>
    </row>
    <row r="1095" spans="1:6" x14ac:dyDescent="0.3">
      <c r="A1095" s="3">
        <v>2018</v>
      </c>
      <c r="B1095" s="1" t="s">
        <v>56</v>
      </c>
      <c r="C1095" s="1" t="s">
        <v>44</v>
      </c>
      <c r="D1095" s="2">
        <v>6087</v>
      </c>
      <c r="E1095" s="2">
        <v>249719</v>
      </c>
      <c r="F1095" s="4">
        <v>59522</v>
      </c>
    </row>
    <row r="1096" spans="1:6" x14ac:dyDescent="0.3">
      <c r="A1096" s="3">
        <v>2018</v>
      </c>
      <c r="B1096" s="1" t="s">
        <v>56</v>
      </c>
      <c r="C1096" s="1" t="s">
        <v>45</v>
      </c>
      <c r="D1096" s="2">
        <v>1084</v>
      </c>
      <c r="E1096" s="2">
        <v>44442</v>
      </c>
      <c r="F1096" s="4">
        <v>49320</v>
      </c>
    </row>
    <row r="1097" spans="1:6" x14ac:dyDescent="0.3">
      <c r="A1097" s="3">
        <v>2018</v>
      </c>
      <c r="B1097" s="1" t="s">
        <v>56</v>
      </c>
      <c r="C1097" s="1" t="s">
        <v>46</v>
      </c>
      <c r="D1097" s="2">
        <v>7051</v>
      </c>
      <c r="E1097" s="2">
        <v>351073</v>
      </c>
      <c r="F1097" s="4">
        <v>59495</v>
      </c>
    </row>
    <row r="1098" spans="1:6" x14ac:dyDescent="0.3">
      <c r="A1098" s="3">
        <v>2018</v>
      </c>
      <c r="B1098" s="1" t="s">
        <v>56</v>
      </c>
      <c r="C1098" s="1" t="s">
        <v>47</v>
      </c>
      <c r="D1098" s="2">
        <v>24758</v>
      </c>
      <c r="E1098" s="2">
        <v>879509</v>
      </c>
      <c r="F1098" s="4">
        <v>77648</v>
      </c>
    </row>
    <row r="1099" spans="1:6" x14ac:dyDescent="0.3">
      <c r="A1099" s="3">
        <v>2018</v>
      </c>
      <c r="B1099" s="1" t="s">
        <v>56</v>
      </c>
      <c r="C1099" s="1" t="s">
        <v>48</v>
      </c>
      <c r="D1099" s="2">
        <v>4386</v>
      </c>
      <c r="E1099" s="2">
        <v>132149</v>
      </c>
      <c r="F1099" s="4">
        <v>58006</v>
      </c>
    </row>
    <row r="1100" spans="1:6" x14ac:dyDescent="0.3">
      <c r="A1100" s="3">
        <v>2018</v>
      </c>
      <c r="B1100" s="1" t="s">
        <v>56</v>
      </c>
      <c r="C1100" s="1" t="s">
        <v>49</v>
      </c>
      <c r="D1100" s="2">
        <v>1108</v>
      </c>
      <c r="E1100" s="2">
        <v>29827</v>
      </c>
      <c r="F1100" s="4">
        <v>59390</v>
      </c>
    </row>
    <row r="1101" spans="1:6" x14ac:dyDescent="0.3">
      <c r="A1101" s="3">
        <v>2018</v>
      </c>
      <c r="B1101" s="1" t="s">
        <v>56</v>
      </c>
      <c r="C1101" s="1" t="s">
        <v>50</v>
      </c>
      <c r="D1101" s="2">
        <v>6750</v>
      </c>
      <c r="E1101" s="2">
        <v>238645</v>
      </c>
      <c r="F1101" s="4">
        <v>59974</v>
      </c>
    </row>
    <row r="1102" spans="1:6" x14ac:dyDescent="0.3">
      <c r="A1102" s="3">
        <v>2018</v>
      </c>
      <c r="B1102" s="1" t="s">
        <v>56</v>
      </c>
      <c r="C1102" s="1" t="s">
        <v>51</v>
      </c>
      <c r="D1102" s="2">
        <v>7798</v>
      </c>
      <c r="E1102" s="2">
        <v>284112</v>
      </c>
      <c r="F1102" s="4">
        <v>79321</v>
      </c>
    </row>
    <row r="1103" spans="1:6" x14ac:dyDescent="0.3">
      <c r="A1103" s="3">
        <v>2018</v>
      </c>
      <c r="B1103" s="1" t="s">
        <v>56</v>
      </c>
      <c r="C1103" s="1" t="s">
        <v>52</v>
      </c>
      <c r="D1103" s="2">
        <v>1268</v>
      </c>
      <c r="E1103" s="2">
        <v>46952</v>
      </c>
      <c r="F1103" s="4">
        <v>60459</v>
      </c>
    </row>
    <row r="1104" spans="1:6" x14ac:dyDescent="0.3">
      <c r="A1104" s="3">
        <v>2018</v>
      </c>
      <c r="B1104" s="1" t="s">
        <v>56</v>
      </c>
      <c r="C1104" s="1" t="s">
        <v>53</v>
      </c>
      <c r="D1104" s="2">
        <v>9432</v>
      </c>
      <c r="E1104" s="2">
        <v>475510</v>
      </c>
      <c r="F1104" s="4">
        <v>58047</v>
      </c>
    </row>
    <row r="1105" spans="1:6" x14ac:dyDescent="0.3">
      <c r="A1105" s="3">
        <v>2018</v>
      </c>
      <c r="B1105" s="1" t="s">
        <v>56</v>
      </c>
      <c r="C1105" s="1" t="s">
        <v>54</v>
      </c>
      <c r="D1105" s="1">
        <v>600</v>
      </c>
      <c r="E1105" s="2">
        <v>9721</v>
      </c>
      <c r="F1105" s="4">
        <v>67060</v>
      </c>
    </row>
    <row r="1106" spans="1:6" x14ac:dyDescent="0.3">
      <c r="A1106" s="3">
        <v>2018</v>
      </c>
      <c r="B1106" s="1" t="s">
        <v>57</v>
      </c>
      <c r="C1106" s="1" t="s">
        <v>7</v>
      </c>
      <c r="D1106" s="2">
        <v>32481</v>
      </c>
      <c r="E1106" s="2">
        <v>377561</v>
      </c>
      <c r="F1106" s="4">
        <v>41970</v>
      </c>
    </row>
    <row r="1107" spans="1:6" x14ac:dyDescent="0.3">
      <c r="A1107" s="3">
        <v>2018</v>
      </c>
      <c r="B1107" s="1" t="s">
        <v>57</v>
      </c>
      <c r="C1107" s="1" t="s">
        <v>8</v>
      </c>
      <c r="D1107" s="2">
        <v>31775</v>
      </c>
      <c r="E1107" s="2">
        <v>532318</v>
      </c>
      <c r="F1107" s="4">
        <v>46734</v>
      </c>
    </row>
    <row r="1108" spans="1:6" x14ac:dyDescent="0.3">
      <c r="A1108" s="3">
        <v>2018</v>
      </c>
      <c r="B1108" s="1" t="s">
        <v>57</v>
      </c>
      <c r="C1108" s="1" t="s">
        <v>9</v>
      </c>
      <c r="D1108" s="2">
        <v>21642</v>
      </c>
      <c r="E1108" s="2">
        <v>248584</v>
      </c>
      <c r="F1108" s="4">
        <v>41450</v>
      </c>
    </row>
    <row r="1109" spans="1:6" x14ac:dyDescent="0.3">
      <c r="A1109" s="3">
        <v>2018</v>
      </c>
      <c r="B1109" s="1" t="s">
        <v>57</v>
      </c>
      <c r="C1109" s="1" t="s">
        <v>10</v>
      </c>
      <c r="D1109" s="2">
        <v>196511</v>
      </c>
      <c r="E1109" s="2">
        <v>3033009</v>
      </c>
      <c r="F1109" s="4">
        <v>52020</v>
      </c>
    </row>
    <row r="1110" spans="1:6" x14ac:dyDescent="0.3">
      <c r="A1110" s="3">
        <v>2018</v>
      </c>
      <c r="B1110" s="1" t="s">
        <v>57</v>
      </c>
      <c r="C1110" s="1" t="s">
        <v>11</v>
      </c>
      <c r="D1110" s="2">
        <v>35891</v>
      </c>
      <c r="E1110" s="2">
        <v>466602</v>
      </c>
      <c r="F1110" s="4">
        <v>50043</v>
      </c>
    </row>
    <row r="1111" spans="1:6" x14ac:dyDescent="0.3">
      <c r="A1111" s="3">
        <v>2018</v>
      </c>
      <c r="B1111" s="1" t="s">
        <v>57</v>
      </c>
      <c r="C1111" s="1" t="s">
        <v>12</v>
      </c>
      <c r="D1111" s="2">
        <v>24902</v>
      </c>
      <c r="E1111" s="2">
        <v>296173</v>
      </c>
      <c r="F1111" s="4">
        <v>51041</v>
      </c>
    </row>
    <row r="1112" spans="1:6" x14ac:dyDescent="0.3">
      <c r="A1112" s="3">
        <v>2018</v>
      </c>
      <c r="B1112" s="1" t="s">
        <v>57</v>
      </c>
      <c r="C1112" s="1" t="s">
        <v>13</v>
      </c>
      <c r="D1112" s="2">
        <v>6850</v>
      </c>
      <c r="E1112" s="2">
        <v>79300</v>
      </c>
      <c r="F1112" s="4">
        <v>40843</v>
      </c>
    </row>
    <row r="1113" spans="1:6" x14ac:dyDescent="0.3">
      <c r="A1113" s="3">
        <v>2018</v>
      </c>
      <c r="B1113" s="1" t="s">
        <v>57</v>
      </c>
      <c r="C1113" s="1" t="s">
        <v>14</v>
      </c>
      <c r="D1113" s="2">
        <v>139486</v>
      </c>
      <c r="E1113" s="2">
        <v>1772605</v>
      </c>
      <c r="F1113" s="4">
        <v>44766</v>
      </c>
    </row>
    <row r="1114" spans="1:6" x14ac:dyDescent="0.3">
      <c r="A1114" s="3">
        <v>2018</v>
      </c>
      <c r="B1114" s="1" t="s">
        <v>57</v>
      </c>
      <c r="C1114" s="1" t="s">
        <v>15</v>
      </c>
      <c r="D1114" s="2">
        <v>60996</v>
      </c>
      <c r="E1114" s="2">
        <v>934259</v>
      </c>
      <c r="F1114" s="4">
        <v>49352</v>
      </c>
    </row>
    <row r="1115" spans="1:6" x14ac:dyDescent="0.3">
      <c r="A1115" s="3">
        <v>2018</v>
      </c>
      <c r="B1115" s="1" t="s">
        <v>57</v>
      </c>
      <c r="C1115" s="1" t="s">
        <v>16</v>
      </c>
      <c r="D1115" s="2">
        <v>11969</v>
      </c>
      <c r="E1115" s="2">
        <v>139473</v>
      </c>
      <c r="F1115" s="4">
        <v>39972</v>
      </c>
    </row>
    <row r="1116" spans="1:6" x14ac:dyDescent="0.3">
      <c r="A1116" s="3">
        <v>2018</v>
      </c>
      <c r="B1116" s="1" t="s">
        <v>57</v>
      </c>
      <c r="C1116" s="1" t="s">
        <v>17</v>
      </c>
      <c r="D1116" s="2">
        <v>78063</v>
      </c>
      <c r="E1116" s="2">
        <v>1192654</v>
      </c>
      <c r="F1116" s="4">
        <v>51570</v>
      </c>
    </row>
    <row r="1117" spans="1:6" x14ac:dyDescent="0.3">
      <c r="A1117" s="3">
        <v>2018</v>
      </c>
      <c r="B1117" s="1" t="s">
        <v>57</v>
      </c>
      <c r="C1117" s="1" t="s">
        <v>18</v>
      </c>
      <c r="D1117" s="2">
        <v>40681</v>
      </c>
      <c r="E1117" s="2">
        <v>591234</v>
      </c>
      <c r="F1117" s="4">
        <v>42092</v>
      </c>
    </row>
    <row r="1118" spans="1:6" x14ac:dyDescent="0.3">
      <c r="A1118" s="3">
        <v>2018</v>
      </c>
      <c r="B1118" s="1" t="s">
        <v>57</v>
      </c>
      <c r="C1118" s="1" t="s">
        <v>19</v>
      </c>
      <c r="D1118" s="2">
        <v>23521</v>
      </c>
      <c r="E1118" s="2">
        <v>309603</v>
      </c>
      <c r="F1118" s="4">
        <v>40539</v>
      </c>
    </row>
    <row r="1119" spans="1:6" x14ac:dyDescent="0.3">
      <c r="A1119" s="3">
        <v>2018</v>
      </c>
      <c r="B1119" s="1" t="s">
        <v>57</v>
      </c>
      <c r="C1119" s="1" t="s">
        <v>20</v>
      </c>
      <c r="D1119" s="2">
        <v>20370</v>
      </c>
      <c r="E1119" s="2">
        <v>263858</v>
      </c>
      <c r="F1119" s="4">
        <v>42235</v>
      </c>
    </row>
    <row r="1120" spans="1:6" x14ac:dyDescent="0.3">
      <c r="A1120" s="3">
        <v>2018</v>
      </c>
      <c r="B1120" s="1" t="s">
        <v>57</v>
      </c>
      <c r="C1120" s="1" t="s">
        <v>21</v>
      </c>
      <c r="D1120" s="2">
        <v>28056</v>
      </c>
      <c r="E1120" s="2">
        <v>399946</v>
      </c>
      <c r="F1120" s="4">
        <v>42623</v>
      </c>
    </row>
    <row r="1121" spans="1:6" x14ac:dyDescent="0.3">
      <c r="A1121" s="3">
        <v>2018</v>
      </c>
      <c r="B1121" s="1" t="s">
        <v>57</v>
      </c>
      <c r="C1121" s="1" t="s">
        <v>22</v>
      </c>
      <c r="D1121" s="2">
        <v>30545</v>
      </c>
      <c r="E1121" s="2">
        <v>377555</v>
      </c>
      <c r="F1121" s="4">
        <v>42196</v>
      </c>
    </row>
    <row r="1122" spans="1:6" x14ac:dyDescent="0.3">
      <c r="A1122" s="3">
        <v>2018</v>
      </c>
      <c r="B1122" s="1" t="s">
        <v>57</v>
      </c>
      <c r="C1122" s="1" t="s">
        <v>23</v>
      </c>
      <c r="D1122" s="2">
        <v>10761</v>
      </c>
      <c r="E1122" s="2">
        <v>118191</v>
      </c>
      <c r="F1122" s="4">
        <v>37589</v>
      </c>
    </row>
    <row r="1123" spans="1:6" x14ac:dyDescent="0.3">
      <c r="A1123" s="3">
        <v>2018</v>
      </c>
      <c r="B1123" s="1" t="s">
        <v>57</v>
      </c>
      <c r="C1123" s="1" t="s">
        <v>24</v>
      </c>
      <c r="D1123" s="2">
        <v>32767</v>
      </c>
      <c r="E1123" s="2">
        <v>462590</v>
      </c>
      <c r="F1123" s="4">
        <v>46648</v>
      </c>
    </row>
    <row r="1124" spans="1:6" x14ac:dyDescent="0.3">
      <c r="A1124" s="3">
        <v>2018</v>
      </c>
      <c r="B1124" s="1" t="s">
        <v>57</v>
      </c>
      <c r="C1124" s="1" t="s">
        <v>25</v>
      </c>
      <c r="D1124" s="2">
        <v>42171</v>
      </c>
      <c r="E1124" s="2">
        <v>577061</v>
      </c>
      <c r="F1124" s="4">
        <v>52937</v>
      </c>
    </row>
    <row r="1125" spans="1:6" x14ac:dyDescent="0.3">
      <c r="A1125" s="3">
        <v>2018</v>
      </c>
      <c r="B1125" s="1" t="s">
        <v>57</v>
      </c>
      <c r="C1125" s="1" t="s">
        <v>26</v>
      </c>
      <c r="D1125" s="2">
        <v>52459</v>
      </c>
      <c r="E1125" s="2">
        <v>786892</v>
      </c>
      <c r="F1125" s="4">
        <v>47200</v>
      </c>
    </row>
    <row r="1126" spans="1:6" x14ac:dyDescent="0.3">
      <c r="A1126" s="3">
        <v>2018</v>
      </c>
      <c r="B1126" s="1" t="s">
        <v>57</v>
      </c>
      <c r="C1126" s="1" t="s">
        <v>27</v>
      </c>
      <c r="D1126" s="2">
        <v>37272</v>
      </c>
      <c r="E1126" s="2">
        <v>531669</v>
      </c>
      <c r="F1126" s="4">
        <v>49570</v>
      </c>
    </row>
    <row r="1127" spans="1:6" x14ac:dyDescent="0.3">
      <c r="A1127" s="3">
        <v>2018</v>
      </c>
      <c r="B1127" s="1" t="s">
        <v>57</v>
      </c>
      <c r="C1127" s="1" t="s">
        <v>28</v>
      </c>
      <c r="D1127" s="2">
        <v>19763</v>
      </c>
      <c r="E1127" s="2">
        <v>229107</v>
      </c>
      <c r="F1127" s="4">
        <v>36497</v>
      </c>
    </row>
    <row r="1128" spans="1:6" x14ac:dyDescent="0.3">
      <c r="A1128" s="3">
        <v>2018</v>
      </c>
      <c r="B1128" s="1" t="s">
        <v>57</v>
      </c>
      <c r="C1128" s="1" t="s">
        <v>29</v>
      </c>
      <c r="D1128" s="2">
        <v>38808</v>
      </c>
      <c r="E1128" s="2">
        <v>537150</v>
      </c>
      <c r="F1128" s="4">
        <v>42469</v>
      </c>
    </row>
    <row r="1129" spans="1:6" x14ac:dyDescent="0.3">
      <c r="A1129" s="3">
        <v>2018</v>
      </c>
      <c r="B1129" s="1" t="s">
        <v>57</v>
      </c>
      <c r="C1129" s="1" t="s">
        <v>30</v>
      </c>
      <c r="D1129" s="2">
        <v>9250</v>
      </c>
      <c r="E1129" s="2">
        <v>91355</v>
      </c>
      <c r="F1129" s="4">
        <v>39170</v>
      </c>
    </row>
    <row r="1130" spans="1:6" x14ac:dyDescent="0.3">
      <c r="A1130" s="3">
        <v>2018</v>
      </c>
      <c r="B1130" s="1" t="s">
        <v>57</v>
      </c>
      <c r="C1130" s="1" t="s">
        <v>31</v>
      </c>
      <c r="D1130" s="2">
        <v>14923</v>
      </c>
      <c r="E1130" s="2">
        <v>189793</v>
      </c>
      <c r="F1130" s="4">
        <v>39891</v>
      </c>
    </row>
    <row r="1131" spans="1:6" x14ac:dyDescent="0.3">
      <c r="A1131" s="3">
        <v>2018</v>
      </c>
      <c r="B1131" s="1" t="s">
        <v>57</v>
      </c>
      <c r="C1131" s="1" t="s">
        <v>32</v>
      </c>
      <c r="D1131" s="2">
        <v>15829</v>
      </c>
      <c r="E1131" s="2">
        <v>254417</v>
      </c>
      <c r="F1131" s="4">
        <v>44190</v>
      </c>
    </row>
    <row r="1132" spans="1:6" x14ac:dyDescent="0.3">
      <c r="A1132" s="3">
        <v>2018</v>
      </c>
      <c r="B1132" s="1" t="s">
        <v>57</v>
      </c>
      <c r="C1132" s="1" t="s">
        <v>33</v>
      </c>
      <c r="D1132" s="2">
        <v>12509</v>
      </c>
      <c r="E1132" s="2">
        <v>139183</v>
      </c>
      <c r="F1132" s="4">
        <v>47777</v>
      </c>
    </row>
    <row r="1133" spans="1:6" x14ac:dyDescent="0.3">
      <c r="A1133" s="3">
        <v>2018</v>
      </c>
      <c r="B1133" s="1" t="s">
        <v>57</v>
      </c>
      <c r="C1133" s="1" t="s">
        <v>34</v>
      </c>
      <c r="D1133" s="2">
        <v>54238</v>
      </c>
      <c r="E1133" s="2">
        <v>876344</v>
      </c>
      <c r="F1133" s="4">
        <v>53723</v>
      </c>
    </row>
    <row r="1134" spans="1:6" x14ac:dyDescent="0.3">
      <c r="A1134" s="3">
        <v>2018</v>
      </c>
      <c r="B1134" s="1" t="s">
        <v>57</v>
      </c>
      <c r="C1134" s="1" t="s">
        <v>35</v>
      </c>
      <c r="D1134" s="2">
        <v>10758</v>
      </c>
      <c r="E1134" s="2">
        <v>135970</v>
      </c>
      <c r="F1134" s="4">
        <v>38078</v>
      </c>
    </row>
    <row r="1135" spans="1:6" x14ac:dyDescent="0.3">
      <c r="A1135" s="3">
        <v>2018</v>
      </c>
      <c r="B1135" s="1" t="s">
        <v>57</v>
      </c>
      <c r="C1135" s="1" t="s">
        <v>36</v>
      </c>
      <c r="D1135" s="2">
        <v>123741</v>
      </c>
      <c r="E1135" s="2">
        <v>1554768</v>
      </c>
      <c r="F1135" s="4">
        <v>51832</v>
      </c>
    </row>
    <row r="1136" spans="1:6" x14ac:dyDescent="0.3">
      <c r="A1136" s="3">
        <v>2018</v>
      </c>
      <c r="B1136" s="1" t="s">
        <v>57</v>
      </c>
      <c r="C1136" s="1" t="s">
        <v>37</v>
      </c>
      <c r="D1136" s="2">
        <v>61525</v>
      </c>
      <c r="E1136" s="2">
        <v>830550</v>
      </c>
      <c r="F1136" s="4">
        <v>43092</v>
      </c>
    </row>
    <row r="1137" spans="1:6" x14ac:dyDescent="0.3">
      <c r="A1137" s="3">
        <v>2018</v>
      </c>
      <c r="B1137" s="1" t="s">
        <v>57</v>
      </c>
      <c r="C1137" s="1" t="s">
        <v>38</v>
      </c>
      <c r="D1137" s="2">
        <v>7753</v>
      </c>
      <c r="E1137" s="2">
        <v>91635</v>
      </c>
      <c r="F1137" s="4">
        <v>49819</v>
      </c>
    </row>
    <row r="1138" spans="1:6" x14ac:dyDescent="0.3">
      <c r="A1138" s="3">
        <v>2018</v>
      </c>
      <c r="B1138" s="1" t="s">
        <v>57</v>
      </c>
      <c r="C1138" s="1" t="s">
        <v>39</v>
      </c>
      <c r="D1138" s="2">
        <v>68615</v>
      </c>
      <c r="E1138" s="2">
        <v>1017249</v>
      </c>
      <c r="F1138" s="4">
        <v>44247</v>
      </c>
    </row>
    <row r="1139" spans="1:6" x14ac:dyDescent="0.3">
      <c r="A1139" s="3">
        <v>2018</v>
      </c>
      <c r="B1139" s="1" t="s">
        <v>57</v>
      </c>
      <c r="C1139" s="1" t="s">
        <v>40</v>
      </c>
      <c r="D1139" s="2">
        <v>23748</v>
      </c>
      <c r="E1139" s="2">
        <v>297631</v>
      </c>
      <c r="F1139" s="4">
        <v>41554</v>
      </c>
    </row>
    <row r="1140" spans="1:6" x14ac:dyDescent="0.3">
      <c r="A1140" s="3">
        <v>2018</v>
      </c>
      <c r="B1140" s="1" t="s">
        <v>57</v>
      </c>
      <c r="C1140" s="1" t="s">
        <v>41</v>
      </c>
      <c r="D1140" s="2">
        <v>26503</v>
      </c>
      <c r="E1140" s="2">
        <v>349656</v>
      </c>
      <c r="F1140" s="4">
        <v>44347</v>
      </c>
    </row>
    <row r="1141" spans="1:6" x14ac:dyDescent="0.3">
      <c r="A1141" s="3">
        <v>2018</v>
      </c>
      <c r="B1141" s="1" t="s">
        <v>57</v>
      </c>
      <c r="C1141" s="1" t="s">
        <v>42</v>
      </c>
      <c r="D1141" s="2">
        <v>74845</v>
      </c>
      <c r="E1141" s="2">
        <v>1117054</v>
      </c>
      <c r="F1141" s="4">
        <v>45000</v>
      </c>
    </row>
    <row r="1142" spans="1:6" x14ac:dyDescent="0.3">
      <c r="A1142" s="3">
        <v>2018</v>
      </c>
      <c r="B1142" s="1" t="s">
        <v>57</v>
      </c>
      <c r="C1142" s="1" t="s">
        <v>43</v>
      </c>
      <c r="D1142" s="2">
        <v>7658</v>
      </c>
      <c r="E1142" s="2">
        <v>76762</v>
      </c>
      <c r="F1142" s="4">
        <v>43902</v>
      </c>
    </row>
    <row r="1143" spans="1:6" x14ac:dyDescent="0.3">
      <c r="A1143" s="3">
        <v>2018</v>
      </c>
      <c r="B1143" s="1" t="s">
        <v>57</v>
      </c>
      <c r="C1143" s="1" t="s">
        <v>44</v>
      </c>
      <c r="D1143" s="2">
        <v>30013</v>
      </c>
      <c r="E1143" s="2">
        <v>402308</v>
      </c>
      <c r="F1143" s="4">
        <v>39429</v>
      </c>
    </row>
    <row r="1144" spans="1:6" x14ac:dyDescent="0.3">
      <c r="A1144" s="3">
        <v>2018</v>
      </c>
      <c r="B1144" s="1" t="s">
        <v>57</v>
      </c>
      <c r="C1144" s="1" t="s">
        <v>45</v>
      </c>
      <c r="D1144" s="2">
        <v>8059</v>
      </c>
      <c r="E1144" s="2">
        <v>85734</v>
      </c>
      <c r="F1144" s="4">
        <v>39650</v>
      </c>
    </row>
    <row r="1145" spans="1:6" x14ac:dyDescent="0.3">
      <c r="A1145" s="3">
        <v>2018</v>
      </c>
      <c r="B1145" s="1" t="s">
        <v>57</v>
      </c>
      <c r="C1145" s="1" t="s">
        <v>46</v>
      </c>
      <c r="D1145" s="2">
        <v>40040</v>
      </c>
      <c r="E1145" s="2">
        <v>623566</v>
      </c>
      <c r="F1145" s="4">
        <v>46137</v>
      </c>
    </row>
    <row r="1146" spans="1:6" x14ac:dyDescent="0.3">
      <c r="A1146" s="3">
        <v>2018</v>
      </c>
      <c r="B1146" s="1" t="s">
        <v>57</v>
      </c>
      <c r="C1146" s="1" t="s">
        <v>47</v>
      </c>
      <c r="D1146" s="2">
        <v>147447</v>
      </c>
      <c r="E1146" s="2">
        <v>2465009</v>
      </c>
      <c r="F1146" s="4">
        <v>52337</v>
      </c>
    </row>
    <row r="1147" spans="1:6" x14ac:dyDescent="0.3">
      <c r="A1147" s="3">
        <v>2018</v>
      </c>
      <c r="B1147" s="1" t="s">
        <v>57</v>
      </c>
      <c r="C1147" s="1" t="s">
        <v>48</v>
      </c>
      <c r="D1147" s="2">
        <v>19531</v>
      </c>
      <c r="E1147" s="2">
        <v>284283</v>
      </c>
      <c r="F1147" s="4">
        <v>44163</v>
      </c>
    </row>
    <row r="1148" spans="1:6" x14ac:dyDescent="0.3">
      <c r="A1148" s="3">
        <v>2018</v>
      </c>
      <c r="B1148" s="1" t="s">
        <v>57</v>
      </c>
      <c r="C1148" s="1" t="s">
        <v>49</v>
      </c>
      <c r="D1148" s="2">
        <v>5084</v>
      </c>
      <c r="E1148" s="2">
        <v>54476</v>
      </c>
      <c r="F1148" s="4">
        <v>40351</v>
      </c>
    </row>
    <row r="1149" spans="1:6" x14ac:dyDescent="0.3">
      <c r="A1149" s="3">
        <v>2018</v>
      </c>
      <c r="B1149" s="1" t="s">
        <v>57</v>
      </c>
      <c r="C1149" s="1" t="s">
        <v>50</v>
      </c>
      <c r="D1149" s="2">
        <v>43180</v>
      </c>
      <c r="E1149" s="2">
        <v>650233</v>
      </c>
      <c r="F1149" s="4">
        <v>43886</v>
      </c>
    </row>
    <row r="1150" spans="1:6" x14ac:dyDescent="0.3">
      <c r="A1150" s="3">
        <v>2018</v>
      </c>
      <c r="B1150" s="1" t="s">
        <v>57</v>
      </c>
      <c r="C1150" s="1" t="s">
        <v>51</v>
      </c>
      <c r="D1150" s="2">
        <v>39324</v>
      </c>
      <c r="E1150" s="2">
        <v>621384</v>
      </c>
      <c r="F1150" s="4">
        <v>63994</v>
      </c>
    </row>
    <row r="1151" spans="1:6" x14ac:dyDescent="0.3">
      <c r="A1151" s="3">
        <v>2018</v>
      </c>
      <c r="B1151" s="1" t="s">
        <v>57</v>
      </c>
      <c r="C1151" s="1" t="s">
        <v>52</v>
      </c>
      <c r="D1151" s="2">
        <v>10925</v>
      </c>
      <c r="E1151" s="2">
        <v>128211</v>
      </c>
      <c r="F1151" s="4">
        <v>38698</v>
      </c>
    </row>
    <row r="1152" spans="1:6" x14ac:dyDescent="0.3">
      <c r="A1152" s="3">
        <v>2018</v>
      </c>
      <c r="B1152" s="1" t="s">
        <v>57</v>
      </c>
      <c r="C1152" s="1" t="s">
        <v>53</v>
      </c>
      <c r="D1152" s="2">
        <v>36496</v>
      </c>
      <c r="E1152" s="2">
        <v>541333</v>
      </c>
      <c r="F1152" s="4">
        <v>41512</v>
      </c>
    </row>
    <row r="1153" spans="1:6" x14ac:dyDescent="0.3">
      <c r="A1153" s="3">
        <v>2018</v>
      </c>
      <c r="B1153" s="1" t="s">
        <v>57</v>
      </c>
      <c r="C1153" s="1" t="s">
        <v>54</v>
      </c>
      <c r="D1153" s="2">
        <v>4830</v>
      </c>
      <c r="E1153" s="2">
        <v>49819</v>
      </c>
      <c r="F1153" s="4">
        <v>42737</v>
      </c>
    </row>
    <row r="1154" spans="1:6" x14ac:dyDescent="0.3">
      <c r="A1154" s="3">
        <v>2018</v>
      </c>
      <c r="B1154" s="1" t="s">
        <v>58</v>
      </c>
      <c r="C1154" s="1" t="s">
        <v>7</v>
      </c>
      <c r="D1154" s="2">
        <v>2168</v>
      </c>
      <c r="E1154" s="2">
        <v>21030</v>
      </c>
      <c r="F1154" s="4">
        <v>60025</v>
      </c>
    </row>
    <row r="1155" spans="1:6" x14ac:dyDescent="0.3">
      <c r="A1155" s="3">
        <v>2018</v>
      </c>
      <c r="B1155" s="1" t="s">
        <v>58</v>
      </c>
      <c r="C1155" s="1" t="s">
        <v>8</v>
      </c>
      <c r="D1155" s="2">
        <v>3113</v>
      </c>
      <c r="E1155" s="2">
        <v>47340</v>
      </c>
      <c r="F1155" s="4">
        <v>75499</v>
      </c>
    </row>
    <row r="1156" spans="1:6" x14ac:dyDescent="0.3">
      <c r="A1156" s="3">
        <v>2018</v>
      </c>
      <c r="B1156" s="1" t="s">
        <v>58</v>
      </c>
      <c r="C1156" s="1" t="s">
        <v>9</v>
      </c>
      <c r="D1156" s="2">
        <v>1210</v>
      </c>
      <c r="E1156" s="2">
        <v>10913</v>
      </c>
      <c r="F1156" s="4">
        <v>53828</v>
      </c>
    </row>
    <row r="1157" spans="1:6" x14ac:dyDescent="0.3">
      <c r="A1157" s="3">
        <v>2018</v>
      </c>
      <c r="B1157" s="1" t="s">
        <v>58</v>
      </c>
      <c r="C1157" s="1" t="s">
        <v>10</v>
      </c>
      <c r="D1157" s="2">
        <v>26592</v>
      </c>
      <c r="E1157" s="2">
        <v>525771</v>
      </c>
      <c r="F1157" s="4">
        <v>188173</v>
      </c>
    </row>
    <row r="1158" spans="1:6" x14ac:dyDescent="0.3">
      <c r="A1158" s="3">
        <v>2018</v>
      </c>
      <c r="B1158" s="1" t="s">
        <v>58</v>
      </c>
      <c r="C1158" s="1" t="s">
        <v>11</v>
      </c>
      <c r="D1158" s="2">
        <v>4173</v>
      </c>
      <c r="E1158" s="2">
        <v>75076</v>
      </c>
      <c r="F1158" s="4">
        <v>100735</v>
      </c>
    </row>
    <row r="1159" spans="1:6" x14ac:dyDescent="0.3">
      <c r="A1159" s="3">
        <v>2018</v>
      </c>
      <c r="B1159" s="1" t="s">
        <v>58</v>
      </c>
      <c r="C1159" s="1" t="s">
        <v>12</v>
      </c>
      <c r="D1159" s="2">
        <v>2306</v>
      </c>
      <c r="E1159" s="2">
        <v>31734</v>
      </c>
      <c r="F1159" s="4">
        <v>110642</v>
      </c>
    </row>
    <row r="1160" spans="1:6" x14ac:dyDescent="0.3">
      <c r="A1160" s="3">
        <v>2018</v>
      </c>
      <c r="B1160" s="1" t="s">
        <v>58</v>
      </c>
      <c r="C1160" s="1" t="s">
        <v>13</v>
      </c>
      <c r="D1160" s="1">
        <v>433</v>
      </c>
      <c r="E1160" s="2">
        <v>4065</v>
      </c>
      <c r="F1160" s="4">
        <v>65782</v>
      </c>
    </row>
    <row r="1161" spans="1:6" x14ac:dyDescent="0.3">
      <c r="A1161" s="3">
        <v>2018</v>
      </c>
      <c r="B1161" s="1" t="s">
        <v>58</v>
      </c>
      <c r="C1161" s="1" t="s">
        <v>14</v>
      </c>
      <c r="D1161" s="2">
        <v>11205</v>
      </c>
      <c r="E1161" s="2">
        <v>138995</v>
      </c>
      <c r="F1161" s="4">
        <v>81168</v>
      </c>
    </row>
    <row r="1162" spans="1:6" x14ac:dyDescent="0.3">
      <c r="A1162" s="3">
        <v>2018</v>
      </c>
      <c r="B1162" s="1" t="s">
        <v>58</v>
      </c>
      <c r="C1162" s="1" t="s">
        <v>15</v>
      </c>
      <c r="D1162" s="2">
        <v>5113</v>
      </c>
      <c r="E1162" s="2">
        <v>114231</v>
      </c>
      <c r="F1162" s="4">
        <v>96613</v>
      </c>
    </row>
    <row r="1163" spans="1:6" x14ac:dyDescent="0.3">
      <c r="A1163" s="3">
        <v>2018</v>
      </c>
      <c r="B1163" s="1" t="s">
        <v>58</v>
      </c>
      <c r="C1163" s="1" t="s">
        <v>16</v>
      </c>
      <c r="D1163" s="2">
        <v>1223</v>
      </c>
      <c r="E1163" s="2">
        <v>8798</v>
      </c>
      <c r="F1163" s="4">
        <v>52761</v>
      </c>
    </row>
    <row r="1164" spans="1:6" x14ac:dyDescent="0.3">
      <c r="A1164" s="3">
        <v>2018</v>
      </c>
      <c r="B1164" s="1" t="s">
        <v>58</v>
      </c>
      <c r="C1164" s="1" t="s">
        <v>17</v>
      </c>
      <c r="D1164" s="2">
        <v>6688</v>
      </c>
      <c r="E1164" s="2">
        <v>94330</v>
      </c>
      <c r="F1164" s="4">
        <v>91164</v>
      </c>
    </row>
    <row r="1165" spans="1:6" x14ac:dyDescent="0.3">
      <c r="A1165" s="3">
        <v>2018</v>
      </c>
      <c r="B1165" s="1" t="s">
        <v>58</v>
      </c>
      <c r="C1165" s="1" t="s">
        <v>18</v>
      </c>
      <c r="D1165" s="2">
        <v>2123</v>
      </c>
      <c r="E1165" s="2">
        <v>29375</v>
      </c>
      <c r="F1165" s="4">
        <v>60371</v>
      </c>
    </row>
    <row r="1166" spans="1:6" x14ac:dyDescent="0.3">
      <c r="A1166" s="3">
        <v>2018</v>
      </c>
      <c r="B1166" s="1" t="s">
        <v>58</v>
      </c>
      <c r="C1166" s="1" t="s">
        <v>19</v>
      </c>
      <c r="D1166" s="2">
        <v>1742</v>
      </c>
      <c r="E1166" s="2">
        <v>22018</v>
      </c>
      <c r="F1166" s="4">
        <v>58519</v>
      </c>
    </row>
    <row r="1167" spans="1:6" x14ac:dyDescent="0.3">
      <c r="A1167" s="3">
        <v>2018</v>
      </c>
      <c r="B1167" s="1" t="s">
        <v>58</v>
      </c>
      <c r="C1167" s="1" t="s">
        <v>20</v>
      </c>
      <c r="D1167" s="2">
        <v>1308</v>
      </c>
      <c r="E1167" s="2">
        <v>18664</v>
      </c>
      <c r="F1167" s="4">
        <v>63399</v>
      </c>
    </row>
    <row r="1168" spans="1:6" x14ac:dyDescent="0.3">
      <c r="A1168" s="3">
        <v>2018</v>
      </c>
      <c r="B1168" s="1" t="s">
        <v>58</v>
      </c>
      <c r="C1168" s="1" t="s">
        <v>21</v>
      </c>
      <c r="D1168" s="2">
        <v>1785</v>
      </c>
      <c r="E1168" s="2">
        <v>21989</v>
      </c>
      <c r="F1168" s="4">
        <v>54629</v>
      </c>
    </row>
    <row r="1169" spans="1:6" x14ac:dyDescent="0.3">
      <c r="A1169" s="3">
        <v>2018</v>
      </c>
      <c r="B1169" s="1" t="s">
        <v>58</v>
      </c>
      <c r="C1169" s="1" t="s">
        <v>22</v>
      </c>
      <c r="D1169" s="2">
        <v>1716</v>
      </c>
      <c r="E1169" s="2">
        <v>22869</v>
      </c>
      <c r="F1169" s="4">
        <v>58223</v>
      </c>
    </row>
    <row r="1170" spans="1:6" x14ac:dyDescent="0.3">
      <c r="A1170" s="3">
        <v>2018</v>
      </c>
      <c r="B1170" s="1" t="s">
        <v>58</v>
      </c>
      <c r="C1170" s="1" t="s">
        <v>23</v>
      </c>
      <c r="D1170" s="1">
        <v>849</v>
      </c>
      <c r="E1170" s="2">
        <v>7397</v>
      </c>
      <c r="F1170" s="4">
        <v>54502</v>
      </c>
    </row>
    <row r="1171" spans="1:6" x14ac:dyDescent="0.3">
      <c r="A1171" s="3">
        <v>2018</v>
      </c>
      <c r="B1171" s="1" t="s">
        <v>58</v>
      </c>
      <c r="C1171" s="1" t="s">
        <v>24</v>
      </c>
      <c r="D1171" s="2">
        <v>2737</v>
      </c>
      <c r="E1171" s="2">
        <v>36210</v>
      </c>
      <c r="F1171" s="4">
        <v>92844</v>
      </c>
    </row>
    <row r="1172" spans="1:6" x14ac:dyDescent="0.3">
      <c r="A1172" s="3">
        <v>2018</v>
      </c>
      <c r="B1172" s="1" t="s">
        <v>58</v>
      </c>
      <c r="C1172" s="1" t="s">
        <v>25</v>
      </c>
      <c r="D1172" s="2">
        <v>5379</v>
      </c>
      <c r="E1172" s="2">
        <v>91783</v>
      </c>
      <c r="F1172" s="4">
        <v>123118</v>
      </c>
    </row>
    <row r="1173" spans="1:6" x14ac:dyDescent="0.3">
      <c r="A1173" s="3">
        <v>2018</v>
      </c>
      <c r="B1173" s="1" t="s">
        <v>58</v>
      </c>
      <c r="C1173" s="1" t="s">
        <v>26</v>
      </c>
      <c r="D1173" s="2">
        <v>6287</v>
      </c>
      <c r="E1173" s="2">
        <v>56247</v>
      </c>
      <c r="F1173" s="4">
        <v>73556</v>
      </c>
    </row>
    <row r="1174" spans="1:6" x14ac:dyDescent="0.3">
      <c r="A1174" s="3">
        <v>2018</v>
      </c>
      <c r="B1174" s="1" t="s">
        <v>58</v>
      </c>
      <c r="C1174" s="1" t="s">
        <v>27</v>
      </c>
      <c r="D1174" s="2">
        <v>3977</v>
      </c>
      <c r="E1174" s="2">
        <v>49170</v>
      </c>
      <c r="F1174" s="4">
        <v>78903</v>
      </c>
    </row>
    <row r="1175" spans="1:6" x14ac:dyDescent="0.3">
      <c r="A1175" s="3">
        <v>2018</v>
      </c>
      <c r="B1175" s="1" t="s">
        <v>58</v>
      </c>
      <c r="C1175" s="1" t="s">
        <v>28</v>
      </c>
      <c r="D1175" s="1">
        <v>940</v>
      </c>
      <c r="E1175" s="2">
        <v>10980</v>
      </c>
      <c r="F1175" s="4">
        <v>49173</v>
      </c>
    </row>
    <row r="1176" spans="1:6" x14ac:dyDescent="0.3">
      <c r="A1176" s="3">
        <v>2018</v>
      </c>
      <c r="B1176" s="1" t="s">
        <v>58</v>
      </c>
      <c r="C1176" s="1" t="s">
        <v>29</v>
      </c>
      <c r="D1176" s="2">
        <v>3049</v>
      </c>
      <c r="E1176" s="2">
        <v>47666</v>
      </c>
      <c r="F1176" s="4">
        <v>81842</v>
      </c>
    </row>
    <row r="1177" spans="1:6" x14ac:dyDescent="0.3">
      <c r="A1177" s="3">
        <v>2018</v>
      </c>
      <c r="B1177" s="1" t="s">
        <v>58</v>
      </c>
      <c r="C1177" s="1" t="s">
        <v>30</v>
      </c>
      <c r="D1177" s="1">
        <v>801</v>
      </c>
      <c r="E1177" s="2">
        <v>6350</v>
      </c>
      <c r="F1177" s="4">
        <v>54475</v>
      </c>
    </row>
    <row r="1178" spans="1:6" x14ac:dyDescent="0.3">
      <c r="A1178" s="3">
        <v>2018</v>
      </c>
      <c r="B1178" s="1" t="s">
        <v>58</v>
      </c>
      <c r="C1178" s="1" t="s">
        <v>31</v>
      </c>
      <c r="D1178" s="1">
        <v>973</v>
      </c>
      <c r="E1178" s="2">
        <v>17653</v>
      </c>
      <c r="F1178" s="4">
        <v>64407</v>
      </c>
    </row>
    <row r="1179" spans="1:6" x14ac:dyDescent="0.3">
      <c r="A1179" s="3">
        <v>2018</v>
      </c>
      <c r="B1179" s="1" t="s">
        <v>58</v>
      </c>
      <c r="C1179" s="1" t="s">
        <v>32</v>
      </c>
      <c r="D1179" s="2">
        <v>1541</v>
      </c>
      <c r="E1179" s="2">
        <v>15646</v>
      </c>
      <c r="F1179" s="4">
        <v>70292</v>
      </c>
    </row>
    <row r="1180" spans="1:6" x14ac:dyDescent="0.3">
      <c r="A1180" s="3">
        <v>2018</v>
      </c>
      <c r="B1180" s="1" t="s">
        <v>58</v>
      </c>
      <c r="C1180" s="1" t="s">
        <v>33</v>
      </c>
      <c r="D1180" s="1">
        <v>892</v>
      </c>
      <c r="E1180" s="2">
        <v>12351</v>
      </c>
      <c r="F1180" s="4">
        <v>93599</v>
      </c>
    </row>
    <row r="1181" spans="1:6" x14ac:dyDescent="0.3">
      <c r="A1181" s="3">
        <v>2018</v>
      </c>
      <c r="B1181" s="1" t="s">
        <v>58</v>
      </c>
      <c r="C1181" s="1" t="s">
        <v>34</v>
      </c>
      <c r="D1181" s="2">
        <v>3722</v>
      </c>
      <c r="E1181" s="2">
        <v>69519</v>
      </c>
      <c r="F1181" s="4">
        <v>114630</v>
      </c>
    </row>
    <row r="1182" spans="1:6" x14ac:dyDescent="0.3">
      <c r="A1182" s="3">
        <v>2018</v>
      </c>
      <c r="B1182" s="1" t="s">
        <v>58</v>
      </c>
      <c r="C1182" s="1" t="s">
        <v>35</v>
      </c>
      <c r="D1182" s="1">
        <v>987</v>
      </c>
      <c r="E1182" s="2">
        <v>12015</v>
      </c>
      <c r="F1182" s="4">
        <v>53204</v>
      </c>
    </row>
    <row r="1183" spans="1:6" x14ac:dyDescent="0.3">
      <c r="A1183" s="3">
        <v>2018</v>
      </c>
      <c r="B1183" s="1" t="s">
        <v>58</v>
      </c>
      <c r="C1183" s="1" t="s">
        <v>36</v>
      </c>
      <c r="D1183" s="2">
        <v>12672</v>
      </c>
      <c r="E1183" s="2">
        <v>275598</v>
      </c>
      <c r="F1183" s="4">
        <v>129853</v>
      </c>
    </row>
    <row r="1184" spans="1:6" x14ac:dyDescent="0.3">
      <c r="A1184" s="3">
        <v>2018</v>
      </c>
      <c r="B1184" s="1" t="s">
        <v>58</v>
      </c>
      <c r="C1184" s="1" t="s">
        <v>37</v>
      </c>
      <c r="D1184" s="2">
        <v>5238</v>
      </c>
      <c r="E1184" s="2">
        <v>79945</v>
      </c>
      <c r="F1184" s="4">
        <v>83920</v>
      </c>
    </row>
    <row r="1185" spans="1:6" x14ac:dyDescent="0.3">
      <c r="A1185" s="3">
        <v>2018</v>
      </c>
      <c r="B1185" s="1" t="s">
        <v>58</v>
      </c>
      <c r="C1185" s="1" t="s">
        <v>38</v>
      </c>
      <c r="D1185" s="1">
        <v>395</v>
      </c>
      <c r="E1185" s="2">
        <v>6221</v>
      </c>
      <c r="F1185" s="4">
        <v>70208</v>
      </c>
    </row>
    <row r="1186" spans="1:6" x14ac:dyDescent="0.3">
      <c r="A1186" s="3">
        <v>2018</v>
      </c>
      <c r="B1186" s="1" t="s">
        <v>58</v>
      </c>
      <c r="C1186" s="1" t="s">
        <v>39</v>
      </c>
      <c r="D1186" s="2">
        <v>4616</v>
      </c>
      <c r="E1186" s="2">
        <v>70930</v>
      </c>
      <c r="F1186" s="4">
        <v>70006</v>
      </c>
    </row>
    <row r="1187" spans="1:6" x14ac:dyDescent="0.3">
      <c r="A1187" s="3">
        <v>2018</v>
      </c>
      <c r="B1187" s="1" t="s">
        <v>58</v>
      </c>
      <c r="C1187" s="1" t="s">
        <v>40</v>
      </c>
      <c r="D1187" s="2">
        <v>1469</v>
      </c>
      <c r="E1187" s="2">
        <v>19859</v>
      </c>
      <c r="F1187" s="4">
        <v>58997</v>
      </c>
    </row>
    <row r="1188" spans="1:6" x14ac:dyDescent="0.3">
      <c r="A1188" s="3">
        <v>2018</v>
      </c>
      <c r="B1188" s="1" t="s">
        <v>58</v>
      </c>
      <c r="C1188" s="1" t="s">
        <v>41</v>
      </c>
      <c r="D1188" s="2">
        <v>3768</v>
      </c>
      <c r="E1188" s="2">
        <v>34277</v>
      </c>
      <c r="F1188" s="4">
        <v>87733</v>
      </c>
    </row>
    <row r="1189" spans="1:6" x14ac:dyDescent="0.3">
      <c r="A1189" s="3">
        <v>2018</v>
      </c>
      <c r="B1189" s="1" t="s">
        <v>58</v>
      </c>
      <c r="C1189" s="1" t="s">
        <v>42</v>
      </c>
      <c r="D1189" s="2">
        <v>4896</v>
      </c>
      <c r="E1189" s="2">
        <v>85970</v>
      </c>
      <c r="F1189" s="4">
        <v>87091</v>
      </c>
    </row>
    <row r="1190" spans="1:6" x14ac:dyDescent="0.3">
      <c r="A1190" s="3">
        <v>2018</v>
      </c>
      <c r="B1190" s="1" t="s">
        <v>58</v>
      </c>
      <c r="C1190" s="1" t="s">
        <v>43</v>
      </c>
      <c r="D1190" s="1">
        <v>715</v>
      </c>
      <c r="E1190" s="2">
        <v>5930</v>
      </c>
      <c r="F1190" s="4">
        <v>74327</v>
      </c>
    </row>
    <row r="1191" spans="1:6" x14ac:dyDescent="0.3">
      <c r="A1191" s="3">
        <v>2018</v>
      </c>
      <c r="B1191" s="1" t="s">
        <v>58</v>
      </c>
      <c r="C1191" s="1" t="s">
        <v>44</v>
      </c>
      <c r="D1191" s="2">
        <v>2548</v>
      </c>
      <c r="E1191" s="2">
        <v>28067</v>
      </c>
      <c r="F1191" s="4">
        <v>61977</v>
      </c>
    </row>
    <row r="1192" spans="1:6" x14ac:dyDescent="0.3">
      <c r="A1192" s="3">
        <v>2018</v>
      </c>
      <c r="B1192" s="1" t="s">
        <v>58</v>
      </c>
      <c r="C1192" s="1" t="s">
        <v>45</v>
      </c>
      <c r="D1192" s="1">
        <v>561</v>
      </c>
      <c r="E1192" s="2">
        <v>5589</v>
      </c>
      <c r="F1192" s="4">
        <v>49334</v>
      </c>
    </row>
    <row r="1193" spans="1:6" x14ac:dyDescent="0.3">
      <c r="A1193" s="3">
        <v>2018</v>
      </c>
      <c r="B1193" s="1" t="s">
        <v>58</v>
      </c>
      <c r="C1193" s="1" t="s">
        <v>46</v>
      </c>
      <c r="D1193" s="2">
        <v>3519</v>
      </c>
      <c r="E1193" s="2">
        <v>44851</v>
      </c>
      <c r="F1193" s="4">
        <v>73821</v>
      </c>
    </row>
    <row r="1194" spans="1:6" x14ac:dyDescent="0.3">
      <c r="A1194" s="3">
        <v>2018</v>
      </c>
      <c r="B1194" s="1" t="s">
        <v>58</v>
      </c>
      <c r="C1194" s="1" t="s">
        <v>47</v>
      </c>
      <c r="D1194" s="2">
        <v>9828</v>
      </c>
      <c r="E1194" s="2">
        <v>203822</v>
      </c>
      <c r="F1194" s="4">
        <v>87085</v>
      </c>
    </row>
    <row r="1195" spans="1:6" x14ac:dyDescent="0.3">
      <c r="A1195" s="3">
        <v>2018</v>
      </c>
      <c r="B1195" s="1" t="s">
        <v>58</v>
      </c>
      <c r="C1195" s="1" t="s">
        <v>48</v>
      </c>
      <c r="D1195" s="2">
        <v>2489</v>
      </c>
      <c r="E1195" s="2">
        <v>36783</v>
      </c>
      <c r="F1195" s="4">
        <v>78404</v>
      </c>
    </row>
    <row r="1196" spans="1:6" x14ac:dyDescent="0.3">
      <c r="A1196" s="3">
        <v>2018</v>
      </c>
      <c r="B1196" s="1" t="s">
        <v>58</v>
      </c>
      <c r="C1196" s="1" t="s">
        <v>49</v>
      </c>
      <c r="D1196" s="1">
        <v>505</v>
      </c>
      <c r="E1196" s="2">
        <v>4280</v>
      </c>
      <c r="F1196" s="4">
        <v>59800</v>
      </c>
    </row>
    <row r="1197" spans="1:6" x14ac:dyDescent="0.3">
      <c r="A1197" s="3">
        <v>2018</v>
      </c>
      <c r="B1197" s="1" t="s">
        <v>58</v>
      </c>
      <c r="C1197" s="1" t="s">
        <v>50</v>
      </c>
      <c r="D1197" s="2">
        <v>4379</v>
      </c>
      <c r="E1197" s="2">
        <v>66998</v>
      </c>
      <c r="F1197" s="4">
        <v>100731</v>
      </c>
    </row>
    <row r="1198" spans="1:6" x14ac:dyDescent="0.3">
      <c r="A1198" s="3">
        <v>2018</v>
      </c>
      <c r="B1198" s="1" t="s">
        <v>58</v>
      </c>
      <c r="C1198" s="1" t="s">
        <v>51</v>
      </c>
      <c r="D1198" s="2">
        <v>4629</v>
      </c>
      <c r="E1198" s="2">
        <v>133126</v>
      </c>
      <c r="F1198" s="4">
        <v>194631</v>
      </c>
    </row>
    <row r="1199" spans="1:6" x14ac:dyDescent="0.3">
      <c r="A1199" s="3">
        <v>2018</v>
      </c>
      <c r="B1199" s="1" t="s">
        <v>58</v>
      </c>
      <c r="C1199" s="1" t="s">
        <v>52</v>
      </c>
      <c r="D1199" s="1">
        <v>789</v>
      </c>
      <c r="E1199" s="2">
        <v>8288</v>
      </c>
      <c r="F1199" s="4">
        <v>52508</v>
      </c>
    </row>
    <row r="1200" spans="1:6" x14ac:dyDescent="0.3">
      <c r="A1200" s="3">
        <v>2018</v>
      </c>
      <c r="B1200" s="1" t="s">
        <v>58</v>
      </c>
      <c r="C1200" s="1" t="s">
        <v>53</v>
      </c>
      <c r="D1200" s="2">
        <v>2298</v>
      </c>
      <c r="E1200" s="2">
        <v>47152</v>
      </c>
      <c r="F1200" s="4">
        <v>75414</v>
      </c>
    </row>
    <row r="1201" spans="1:6" x14ac:dyDescent="0.3">
      <c r="A1201" s="3">
        <v>2018</v>
      </c>
      <c r="B1201" s="1" t="s">
        <v>58</v>
      </c>
      <c r="C1201" s="1" t="s">
        <v>54</v>
      </c>
      <c r="D1201" s="1">
        <v>398</v>
      </c>
      <c r="E1201" s="2">
        <v>3554</v>
      </c>
      <c r="F1201" s="4">
        <v>47401</v>
      </c>
    </row>
    <row r="1202" spans="1:6" x14ac:dyDescent="0.3">
      <c r="A1202" s="3">
        <v>2018</v>
      </c>
      <c r="B1202" s="1" t="s">
        <v>59</v>
      </c>
      <c r="C1202" s="1" t="s">
        <v>7</v>
      </c>
      <c r="D1202" s="2">
        <v>13364</v>
      </c>
      <c r="E1202" s="2">
        <v>94561</v>
      </c>
      <c r="F1202" s="4">
        <v>69240</v>
      </c>
    </row>
    <row r="1203" spans="1:6" x14ac:dyDescent="0.3">
      <c r="A1203" s="3">
        <v>2018</v>
      </c>
      <c r="B1203" s="1" t="s">
        <v>59</v>
      </c>
      <c r="C1203" s="1" t="s">
        <v>8</v>
      </c>
      <c r="D1203" s="2">
        <v>17978</v>
      </c>
      <c r="E1203" s="2">
        <v>214637</v>
      </c>
      <c r="F1203" s="4">
        <v>70877</v>
      </c>
    </row>
    <row r="1204" spans="1:6" x14ac:dyDescent="0.3">
      <c r="A1204" s="3">
        <v>2018</v>
      </c>
      <c r="B1204" s="1" t="s">
        <v>59</v>
      </c>
      <c r="C1204" s="1" t="s">
        <v>9</v>
      </c>
      <c r="D1204" s="2">
        <v>8418</v>
      </c>
      <c r="E1204" s="2">
        <v>50647</v>
      </c>
      <c r="F1204" s="4">
        <v>58119</v>
      </c>
    </row>
    <row r="1205" spans="1:6" x14ac:dyDescent="0.3">
      <c r="A1205" s="3">
        <v>2018</v>
      </c>
      <c r="B1205" s="1" t="s">
        <v>59</v>
      </c>
      <c r="C1205" s="1" t="s">
        <v>10</v>
      </c>
      <c r="D1205" s="2">
        <v>106953</v>
      </c>
      <c r="E1205" s="2">
        <v>835896</v>
      </c>
      <c r="F1205" s="4">
        <v>107228</v>
      </c>
    </row>
    <row r="1206" spans="1:6" x14ac:dyDescent="0.3">
      <c r="A1206" s="3">
        <v>2018</v>
      </c>
      <c r="B1206" s="1" t="s">
        <v>59</v>
      </c>
      <c r="C1206" s="1" t="s">
        <v>11</v>
      </c>
      <c r="D1206" s="2">
        <v>23326</v>
      </c>
      <c r="E1206" s="2">
        <v>164801</v>
      </c>
      <c r="F1206" s="4">
        <v>84615</v>
      </c>
    </row>
    <row r="1207" spans="1:6" x14ac:dyDescent="0.3">
      <c r="A1207" s="3">
        <v>2018</v>
      </c>
      <c r="B1207" s="1" t="s">
        <v>59</v>
      </c>
      <c r="C1207" s="1" t="s">
        <v>12</v>
      </c>
      <c r="D1207" s="2">
        <v>10879</v>
      </c>
      <c r="E1207" s="2">
        <v>123655</v>
      </c>
      <c r="F1207" s="4">
        <v>155433</v>
      </c>
    </row>
    <row r="1208" spans="1:6" x14ac:dyDescent="0.3">
      <c r="A1208" s="3">
        <v>2018</v>
      </c>
      <c r="B1208" s="1" t="s">
        <v>59</v>
      </c>
      <c r="C1208" s="1" t="s">
        <v>13</v>
      </c>
      <c r="D1208" s="2">
        <v>2859</v>
      </c>
      <c r="E1208" s="2">
        <v>47609</v>
      </c>
      <c r="F1208" s="4">
        <v>95574</v>
      </c>
    </row>
    <row r="1209" spans="1:6" x14ac:dyDescent="0.3">
      <c r="A1209" s="3">
        <v>2018</v>
      </c>
      <c r="B1209" s="1" t="s">
        <v>59</v>
      </c>
      <c r="C1209" s="1" t="s">
        <v>14</v>
      </c>
      <c r="D1209" s="2">
        <v>73412</v>
      </c>
      <c r="E1209" s="2">
        <v>570645</v>
      </c>
      <c r="F1209" s="4">
        <v>75337</v>
      </c>
    </row>
    <row r="1210" spans="1:6" x14ac:dyDescent="0.3">
      <c r="A1210" s="3">
        <v>2018</v>
      </c>
      <c r="B1210" s="1" t="s">
        <v>59</v>
      </c>
      <c r="C1210" s="1" t="s">
        <v>15</v>
      </c>
      <c r="D1210" s="2">
        <v>26225</v>
      </c>
      <c r="E1210" s="2">
        <v>237900</v>
      </c>
      <c r="F1210" s="4">
        <v>84587</v>
      </c>
    </row>
    <row r="1211" spans="1:6" x14ac:dyDescent="0.3">
      <c r="A1211" s="3">
        <v>2018</v>
      </c>
      <c r="B1211" s="1" t="s">
        <v>59</v>
      </c>
      <c r="C1211" s="1" t="s">
        <v>16</v>
      </c>
      <c r="D1211" s="2">
        <v>5824</v>
      </c>
      <c r="E1211" s="2">
        <v>32493</v>
      </c>
      <c r="F1211" s="4">
        <v>56024</v>
      </c>
    </row>
    <row r="1212" spans="1:6" x14ac:dyDescent="0.3">
      <c r="A1212" s="3">
        <v>2018</v>
      </c>
      <c r="B1212" s="1" t="s">
        <v>59</v>
      </c>
      <c r="C1212" s="1" t="s">
        <v>17</v>
      </c>
      <c r="D1212" s="2">
        <v>32448</v>
      </c>
      <c r="E1212" s="2">
        <v>373685</v>
      </c>
      <c r="F1212" s="4">
        <v>109598</v>
      </c>
    </row>
    <row r="1213" spans="1:6" x14ac:dyDescent="0.3">
      <c r="A1213" s="3">
        <v>2018</v>
      </c>
      <c r="B1213" s="1" t="s">
        <v>59</v>
      </c>
      <c r="C1213" s="1" t="s">
        <v>18</v>
      </c>
      <c r="D1213" s="2">
        <v>16542</v>
      </c>
      <c r="E1213" s="2">
        <v>133603</v>
      </c>
      <c r="F1213" s="4">
        <v>65167</v>
      </c>
    </row>
    <row r="1214" spans="1:6" x14ac:dyDescent="0.3">
      <c r="A1214" s="3">
        <v>2018</v>
      </c>
      <c r="B1214" s="1" t="s">
        <v>59</v>
      </c>
      <c r="C1214" s="1" t="s">
        <v>19</v>
      </c>
      <c r="D1214" s="2">
        <v>10213</v>
      </c>
      <c r="E1214" s="2">
        <v>109030</v>
      </c>
      <c r="F1214" s="4">
        <v>73894</v>
      </c>
    </row>
    <row r="1215" spans="1:6" x14ac:dyDescent="0.3">
      <c r="A1215" s="3">
        <v>2018</v>
      </c>
      <c r="B1215" s="1" t="s">
        <v>59</v>
      </c>
      <c r="C1215" s="1" t="s">
        <v>20</v>
      </c>
      <c r="D1215" s="2">
        <v>8870</v>
      </c>
      <c r="E1215" s="2">
        <v>73500</v>
      </c>
      <c r="F1215" s="4">
        <v>67710</v>
      </c>
    </row>
    <row r="1216" spans="1:6" x14ac:dyDescent="0.3">
      <c r="A1216" s="3">
        <v>2018</v>
      </c>
      <c r="B1216" s="1" t="s">
        <v>59</v>
      </c>
      <c r="C1216" s="1" t="s">
        <v>21</v>
      </c>
      <c r="D1216" s="2">
        <v>11035</v>
      </c>
      <c r="E1216" s="2">
        <v>92881</v>
      </c>
      <c r="F1216" s="4">
        <v>67733</v>
      </c>
    </row>
    <row r="1217" spans="1:6" x14ac:dyDescent="0.3">
      <c r="A1217" s="3">
        <v>2018</v>
      </c>
      <c r="B1217" s="1" t="s">
        <v>59</v>
      </c>
      <c r="C1217" s="1" t="s">
        <v>22</v>
      </c>
      <c r="D1217" s="2">
        <v>13754</v>
      </c>
      <c r="E1217" s="2">
        <v>85071</v>
      </c>
      <c r="F1217" s="4">
        <v>62731</v>
      </c>
    </row>
    <row r="1218" spans="1:6" x14ac:dyDescent="0.3">
      <c r="A1218" s="3">
        <v>2018</v>
      </c>
      <c r="B1218" s="1" t="s">
        <v>59</v>
      </c>
      <c r="C1218" s="1" t="s">
        <v>23</v>
      </c>
      <c r="D1218" s="2">
        <v>3804</v>
      </c>
      <c r="E1218" s="2">
        <v>29811</v>
      </c>
      <c r="F1218" s="4">
        <v>68174</v>
      </c>
    </row>
    <row r="1219" spans="1:6" x14ac:dyDescent="0.3">
      <c r="A1219" s="3">
        <v>2018</v>
      </c>
      <c r="B1219" s="1" t="s">
        <v>59</v>
      </c>
      <c r="C1219" s="1" t="s">
        <v>24</v>
      </c>
      <c r="D1219" s="2">
        <v>15277</v>
      </c>
      <c r="E1219" s="2">
        <v>138261</v>
      </c>
      <c r="F1219" s="4">
        <v>94201</v>
      </c>
    </row>
    <row r="1220" spans="1:6" x14ac:dyDescent="0.3">
      <c r="A1220" s="3">
        <v>2018</v>
      </c>
      <c r="B1220" s="1" t="s">
        <v>59</v>
      </c>
      <c r="C1220" s="1" t="s">
        <v>25</v>
      </c>
      <c r="D1220" s="2">
        <v>17504</v>
      </c>
      <c r="E1220" s="2">
        <v>217151</v>
      </c>
      <c r="F1220" s="4">
        <v>144514</v>
      </c>
    </row>
    <row r="1221" spans="1:6" x14ac:dyDescent="0.3">
      <c r="A1221" s="3">
        <v>2018</v>
      </c>
      <c r="B1221" s="1" t="s">
        <v>59</v>
      </c>
      <c r="C1221" s="1" t="s">
        <v>26</v>
      </c>
      <c r="D1221" s="2">
        <v>19082</v>
      </c>
      <c r="E1221" s="2">
        <v>203261</v>
      </c>
      <c r="F1221" s="4">
        <v>71568</v>
      </c>
    </row>
    <row r="1222" spans="1:6" x14ac:dyDescent="0.3">
      <c r="A1222" s="3">
        <v>2018</v>
      </c>
      <c r="B1222" s="1" t="s">
        <v>59</v>
      </c>
      <c r="C1222" s="1" t="s">
        <v>27</v>
      </c>
      <c r="D1222" s="2">
        <v>15877</v>
      </c>
      <c r="E1222" s="2">
        <v>178309</v>
      </c>
      <c r="F1222" s="4">
        <v>95604</v>
      </c>
    </row>
    <row r="1223" spans="1:6" x14ac:dyDescent="0.3">
      <c r="A1223" s="3">
        <v>2018</v>
      </c>
      <c r="B1223" s="1" t="s">
        <v>59</v>
      </c>
      <c r="C1223" s="1" t="s">
        <v>28</v>
      </c>
      <c r="D1223" s="2">
        <v>7959</v>
      </c>
      <c r="E1223" s="2">
        <v>42911</v>
      </c>
      <c r="F1223" s="4">
        <v>53281</v>
      </c>
    </row>
    <row r="1224" spans="1:6" x14ac:dyDescent="0.3">
      <c r="A1224" s="3">
        <v>2018</v>
      </c>
      <c r="B1224" s="1" t="s">
        <v>59</v>
      </c>
      <c r="C1224" s="1" t="s">
        <v>29</v>
      </c>
      <c r="D1224" s="2">
        <v>17251</v>
      </c>
      <c r="E1224" s="2">
        <v>162755</v>
      </c>
      <c r="F1224" s="4">
        <v>72947</v>
      </c>
    </row>
    <row r="1225" spans="1:6" x14ac:dyDescent="0.3">
      <c r="A1225" s="3">
        <v>2018</v>
      </c>
      <c r="B1225" s="1" t="s">
        <v>59</v>
      </c>
      <c r="C1225" s="1" t="s">
        <v>30</v>
      </c>
      <c r="D1225" s="2">
        <v>4297</v>
      </c>
      <c r="E1225" s="2">
        <v>21204</v>
      </c>
      <c r="F1225" s="4">
        <v>59315</v>
      </c>
    </row>
    <row r="1226" spans="1:6" x14ac:dyDescent="0.3">
      <c r="A1226" s="3">
        <v>2018</v>
      </c>
      <c r="B1226" s="1" t="s">
        <v>59</v>
      </c>
      <c r="C1226" s="1" t="s">
        <v>31</v>
      </c>
      <c r="D1226" s="2">
        <v>6683</v>
      </c>
      <c r="E1226" s="2">
        <v>66245</v>
      </c>
      <c r="F1226" s="4">
        <v>66817</v>
      </c>
    </row>
    <row r="1227" spans="1:6" x14ac:dyDescent="0.3">
      <c r="A1227" s="3">
        <v>2018</v>
      </c>
      <c r="B1227" s="1" t="s">
        <v>59</v>
      </c>
      <c r="C1227" s="1" t="s">
        <v>32</v>
      </c>
      <c r="D1227" s="2">
        <v>9082</v>
      </c>
      <c r="E1227" s="2">
        <v>63303</v>
      </c>
      <c r="F1227" s="4">
        <v>66612</v>
      </c>
    </row>
    <row r="1228" spans="1:6" x14ac:dyDescent="0.3">
      <c r="A1228" s="3">
        <v>2018</v>
      </c>
      <c r="B1228" s="1" t="s">
        <v>59</v>
      </c>
      <c r="C1228" s="1" t="s">
        <v>33</v>
      </c>
      <c r="D1228" s="2">
        <v>3838</v>
      </c>
      <c r="E1228" s="2">
        <v>33486</v>
      </c>
      <c r="F1228" s="4">
        <v>94889</v>
      </c>
    </row>
    <row r="1229" spans="1:6" x14ac:dyDescent="0.3">
      <c r="A1229" s="3">
        <v>2018</v>
      </c>
      <c r="B1229" s="1" t="s">
        <v>59</v>
      </c>
      <c r="C1229" s="1" t="s">
        <v>34</v>
      </c>
      <c r="D1229" s="2">
        <v>19963</v>
      </c>
      <c r="E1229" s="2">
        <v>242994</v>
      </c>
      <c r="F1229" s="4">
        <v>115066</v>
      </c>
    </row>
    <row r="1230" spans="1:6" x14ac:dyDescent="0.3">
      <c r="A1230" s="3">
        <v>2018</v>
      </c>
      <c r="B1230" s="1" t="s">
        <v>59</v>
      </c>
      <c r="C1230" s="1" t="s">
        <v>35</v>
      </c>
      <c r="D1230" s="2">
        <v>5293</v>
      </c>
      <c r="E1230" s="2">
        <v>32955</v>
      </c>
      <c r="F1230" s="4">
        <v>56048</v>
      </c>
    </row>
    <row r="1231" spans="1:6" x14ac:dyDescent="0.3">
      <c r="A1231" s="3">
        <v>2018</v>
      </c>
      <c r="B1231" s="1" t="s">
        <v>59</v>
      </c>
      <c r="C1231" s="1" t="s">
        <v>36</v>
      </c>
      <c r="D1231" s="2">
        <v>64317</v>
      </c>
      <c r="E1231" s="2">
        <v>714540</v>
      </c>
      <c r="F1231" s="4">
        <v>186871</v>
      </c>
    </row>
    <row r="1232" spans="1:6" x14ac:dyDescent="0.3">
      <c r="A1232" s="3">
        <v>2018</v>
      </c>
      <c r="B1232" s="1" t="s">
        <v>59</v>
      </c>
      <c r="C1232" s="1" t="s">
        <v>37</v>
      </c>
      <c r="D1232" s="2">
        <v>27776</v>
      </c>
      <c r="E1232" s="2">
        <v>233277</v>
      </c>
      <c r="F1232" s="4">
        <v>87311</v>
      </c>
    </row>
    <row r="1233" spans="1:6" x14ac:dyDescent="0.3">
      <c r="A1233" s="3">
        <v>2018</v>
      </c>
      <c r="B1233" s="1" t="s">
        <v>59</v>
      </c>
      <c r="C1233" s="1" t="s">
        <v>38</v>
      </c>
      <c r="D1233" s="2">
        <v>2995</v>
      </c>
      <c r="E1233" s="2">
        <v>23145</v>
      </c>
      <c r="F1233" s="4">
        <v>63251</v>
      </c>
    </row>
    <row r="1234" spans="1:6" x14ac:dyDescent="0.3">
      <c r="A1234" s="3">
        <v>2018</v>
      </c>
      <c r="B1234" s="1" t="s">
        <v>59</v>
      </c>
      <c r="C1234" s="1" t="s">
        <v>39</v>
      </c>
      <c r="D1234" s="2">
        <v>28783</v>
      </c>
      <c r="E1234" s="2">
        <v>293549</v>
      </c>
      <c r="F1234" s="4">
        <v>72736</v>
      </c>
    </row>
    <row r="1235" spans="1:6" x14ac:dyDescent="0.3">
      <c r="A1235" s="3">
        <v>2018</v>
      </c>
      <c r="B1235" s="1" t="s">
        <v>59</v>
      </c>
      <c r="C1235" s="1" t="s">
        <v>40</v>
      </c>
      <c r="D1235" s="2">
        <v>11458</v>
      </c>
      <c r="E1235" s="2">
        <v>77052</v>
      </c>
      <c r="F1235" s="4">
        <v>58044</v>
      </c>
    </row>
    <row r="1236" spans="1:6" x14ac:dyDescent="0.3">
      <c r="A1236" s="3">
        <v>2018</v>
      </c>
      <c r="B1236" s="1" t="s">
        <v>59</v>
      </c>
      <c r="C1236" s="1" t="s">
        <v>41</v>
      </c>
      <c r="D1236" s="2">
        <v>13030</v>
      </c>
      <c r="E1236" s="2">
        <v>84865</v>
      </c>
      <c r="F1236" s="4">
        <v>69649</v>
      </c>
    </row>
    <row r="1237" spans="1:6" x14ac:dyDescent="0.3">
      <c r="A1237" s="3">
        <v>2018</v>
      </c>
      <c r="B1237" s="1" t="s">
        <v>59</v>
      </c>
      <c r="C1237" s="1" t="s">
        <v>42</v>
      </c>
      <c r="D1237" s="2">
        <v>28823</v>
      </c>
      <c r="E1237" s="2">
        <v>325130</v>
      </c>
      <c r="F1237" s="4">
        <v>88831</v>
      </c>
    </row>
    <row r="1238" spans="1:6" x14ac:dyDescent="0.3">
      <c r="A1238" s="3">
        <v>2018</v>
      </c>
      <c r="B1238" s="1" t="s">
        <v>59</v>
      </c>
      <c r="C1238" s="1" t="s">
        <v>43</v>
      </c>
      <c r="D1238" s="2">
        <v>2869</v>
      </c>
      <c r="E1238" s="2">
        <v>32305</v>
      </c>
      <c r="F1238" s="4">
        <v>88061</v>
      </c>
    </row>
    <row r="1239" spans="1:6" x14ac:dyDescent="0.3">
      <c r="A1239" s="3">
        <v>2018</v>
      </c>
      <c r="B1239" s="1" t="s">
        <v>59</v>
      </c>
      <c r="C1239" s="1" t="s">
        <v>44</v>
      </c>
      <c r="D1239" s="2">
        <v>13166</v>
      </c>
      <c r="E1239" s="2">
        <v>100794</v>
      </c>
      <c r="F1239" s="4">
        <v>61713</v>
      </c>
    </row>
    <row r="1240" spans="1:6" x14ac:dyDescent="0.3">
      <c r="A1240" s="3">
        <v>2018</v>
      </c>
      <c r="B1240" s="1" t="s">
        <v>59</v>
      </c>
      <c r="C1240" s="1" t="s">
        <v>45</v>
      </c>
      <c r="D1240" s="2">
        <v>3259</v>
      </c>
      <c r="E1240" s="2">
        <v>28739</v>
      </c>
      <c r="F1240" s="4">
        <v>60160</v>
      </c>
    </row>
    <row r="1241" spans="1:6" x14ac:dyDescent="0.3">
      <c r="A1241" s="3">
        <v>2018</v>
      </c>
      <c r="B1241" s="1" t="s">
        <v>59</v>
      </c>
      <c r="C1241" s="1" t="s">
        <v>46</v>
      </c>
      <c r="D1241" s="2">
        <v>15698</v>
      </c>
      <c r="E1241" s="2">
        <v>150833</v>
      </c>
      <c r="F1241" s="4">
        <v>76718</v>
      </c>
    </row>
    <row r="1242" spans="1:6" x14ac:dyDescent="0.3">
      <c r="A1242" s="3">
        <v>2018</v>
      </c>
      <c r="B1242" s="1" t="s">
        <v>59</v>
      </c>
      <c r="C1242" s="1" t="s">
        <v>47</v>
      </c>
      <c r="D1242" s="2">
        <v>73679</v>
      </c>
      <c r="E1242" s="2">
        <v>756318</v>
      </c>
      <c r="F1242" s="4">
        <v>83356</v>
      </c>
    </row>
    <row r="1243" spans="1:6" x14ac:dyDescent="0.3">
      <c r="A1243" s="3">
        <v>2018</v>
      </c>
      <c r="B1243" s="1" t="s">
        <v>59</v>
      </c>
      <c r="C1243" s="1" t="s">
        <v>48</v>
      </c>
      <c r="D1243" s="2">
        <v>11520</v>
      </c>
      <c r="E1243" s="2">
        <v>87530</v>
      </c>
      <c r="F1243" s="4">
        <v>67933</v>
      </c>
    </row>
    <row r="1244" spans="1:6" x14ac:dyDescent="0.3">
      <c r="A1244" s="3">
        <v>2018</v>
      </c>
      <c r="B1244" s="1" t="s">
        <v>59</v>
      </c>
      <c r="C1244" s="1" t="s">
        <v>49</v>
      </c>
      <c r="D1244" s="2">
        <v>1694</v>
      </c>
      <c r="E1244" s="2">
        <v>11814</v>
      </c>
      <c r="F1244" s="4">
        <v>72078</v>
      </c>
    </row>
    <row r="1245" spans="1:6" x14ac:dyDescent="0.3">
      <c r="A1245" s="3">
        <v>2018</v>
      </c>
      <c r="B1245" s="1" t="s">
        <v>59</v>
      </c>
      <c r="C1245" s="1" t="s">
        <v>50</v>
      </c>
      <c r="D1245" s="2">
        <v>21938</v>
      </c>
      <c r="E1245" s="2">
        <v>194731</v>
      </c>
      <c r="F1245" s="4">
        <v>85723</v>
      </c>
    </row>
    <row r="1246" spans="1:6" x14ac:dyDescent="0.3">
      <c r="A1246" s="3">
        <v>2018</v>
      </c>
      <c r="B1246" s="1" t="s">
        <v>59</v>
      </c>
      <c r="C1246" s="1" t="s">
        <v>51</v>
      </c>
      <c r="D1246" s="2">
        <v>17577</v>
      </c>
      <c r="E1246" s="2">
        <v>147871</v>
      </c>
      <c r="F1246" s="4">
        <v>80466</v>
      </c>
    </row>
    <row r="1247" spans="1:6" x14ac:dyDescent="0.3">
      <c r="A1247" s="3">
        <v>2018</v>
      </c>
      <c r="B1247" s="1" t="s">
        <v>59</v>
      </c>
      <c r="C1247" s="1" t="s">
        <v>52</v>
      </c>
      <c r="D1247" s="2">
        <v>4029</v>
      </c>
      <c r="E1247" s="2">
        <v>24510</v>
      </c>
      <c r="F1247" s="4">
        <v>53206</v>
      </c>
    </row>
    <row r="1248" spans="1:6" x14ac:dyDescent="0.3">
      <c r="A1248" s="3">
        <v>2018</v>
      </c>
      <c r="B1248" s="1" t="s">
        <v>59</v>
      </c>
      <c r="C1248" s="1" t="s">
        <v>53</v>
      </c>
      <c r="D1248" s="2">
        <v>13917</v>
      </c>
      <c r="E1248" s="2">
        <v>148837</v>
      </c>
      <c r="F1248" s="4">
        <v>71561</v>
      </c>
    </row>
    <row r="1249" spans="1:6" x14ac:dyDescent="0.3">
      <c r="A1249" s="3">
        <v>2018</v>
      </c>
      <c r="B1249" s="1" t="s">
        <v>59</v>
      </c>
      <c r="C1249" s="1" t="s">
        <v>54</v>
      </c>
      <c r="D1249" s="2">
        <v>2283</v>
      </c>
      <c r="E1249" s="2">
        <v>11124</v>
      </c>
      <c r="F1249" s="4">
        <v>57486</v>
      </c>
    </row>
    <row r="1250" spans="1:6" x14ac:dyDescent="0.3">
      <c r="A1250" s="3">
        <v>2018</v>
      </c>
      <c r="B1250" s="1" t="s">
        <v>60</v>
      </c>
      <c r="C1250" s="1" t="s">
        <v>7</v>
      </c>
      <c r="D1250" s="2">
        <v>21888</v>
      </c>
      <c r="E1250" s="2">
        <v>245234</v>
      </c>
      <c r="F1250" s="4">
        <v>55653</v>
      </c>
    </row>
    <row r="1251" spans="1:6" x14ac:dyDescent="0.3">
      <c r="A1251" s="3">
        <v>2018</v>
      </c>
      <c r="B1251" s="1" t="s">
        <v>60</v>
      </c>
      <c r="C1251" s="1" t="s">
        <v>8</v>
      </c>
      <c r="D1251" s="2">
        <v>35993</v>
      </c>
      <c r="E1251" s="2">
        <v>430516</v>
      </c>
      <c r="F1251" s="4">
        <v>56745</v>
      </c>
    </row>
    <row r="1252" spans="1:6" x14ac:dyDescent="0.3">
      <c r="A1252" s="3">
        <v>2018</v>
      </c>
      <c r="B1252" s="1" t="s">
        <v>60</v>
      </c>
      <c r="C1252" s="1" t="s">
        <v>9</v>
      </c>
      <c r="D1252" s="2">
        <v>14308</v>
      </c>
      <c r="E1252" s="2">
        <v>146700</v>
      </c>
      <c r="F1252" s="4">
        <v>60316</v>
      </c>
    </row>
    <row r="1253" spans="1:6" x14ac:dyDescent="0.3">
      <c r="A1253" s="3">
        <v>2018</v>
      </c>
      <c r="B1253" s="1" t="s">
        <v>60</v>
      </c>
      <c r="C1253" s="1" t="s">
        <v>10</v>
      </c>
      <c r="D1253" s="2">
        <v>208425</v>
      </c>
      <c r="E1253" s="2">
        <v>2667839</v>
      </c>
      <c r="F1253" s="4">
        <v>91070</v>
      </c>
    </row>
    <row r="1254" spans="1:6" x14ac:dyDescent="0.3">
      <c r="A1254" s="3">
        <v>2018</v>
      </c>
      <c r="B1254" s="1" t="s">
        <v>60</v>
      </c>
      <c r="C1254" s="1" t="s">
        <v>11</v>
      </c>
      <c r="D1254" s="2">
        <v>52525</v>
      </c>
      <c r="E1254" s="2">
        <v>423946</v>
      </c>
      <c r="F1254" s="4">
        <v>81401</v>
      </c>
    </row>
    <row r="1255" spans="1:6" x14ac:dyDescent="0.3">
      <c r="A1255" s="3">
        <v>2018</v>
      </c>
      <c r="B1255" s="1" t="s">
        <v>60</v>
      </c>
      <c r="C1255" s="1" t="s">
        <v>12</v>
      </c>
      <c r="D1255" s="2">
        <v>23279</v>
      </c>
      <c r="E1255" s="2">
        <v>221029</v>
      </c>
      <c r="F1255" s="4">
        <v>87958</v>
      </c>
    </row>
    <row r="1256" spans="1:6" x14ac:dyDescent="0.3">
      <c r="A1256" s="3">
        <v>2018</v>
      </c>
      <c r="B1256" s="1" t="s">
        <v>60</v>
      </c>
      <c r="C1256" s="1" t="s">
        <v>13</v>
      </c>
      <c r="D1256" s="2">
        <v>8956</v>
      </c>
      <c r="E1256" s="2">
        <v>63405</v>
      </c>
      <c r="F1256" s="4">
        <v>80066</v>
      </c>
    </row>
    <row r="1257" spans="1:6" x14ac:dyDescent="0.3">
      <c r="A1257" s="3">
        <v>2018</v>
      </c>
      <c r="B1257" s="1" t="s">
        <v>60</v>
      </c>
      <c r="C1257" s="1" t="s">
        <v>14</v>
      </c>
      <c r="D1257" s="2">
        <v>161890</v>
      </c>
      <c r="E1257" s="2">
        <v>1365136</v>
      </c>
      <c r="F1257" s="4">
        <v>60914</v>
      </c>
    </row>
    <row r="1258" spans="1:6" x14ac:dyDescent="0.3">
      <c r="A1258" s="3">
        <v>2018</v>
      </c>
      <c r="B1258" s="1" t="s">
        <v>60</v>
      </c>
      <c r="C1258" s="1" t="s">
        <v>15</v>
      </c>
      <c r="D1258" s="2">
        <v>54714</v>
      </c>
      <c r="E1258" s="2">
        <v>687321</v>
      </c>
      <c r="F1258" s="4">
        <v>66989</v>
      </c>
    </row>
    <row r="1259" spans="1:6" x14ac:dyDescent="0.3">
      <c r="A1259" s="3">
        <v>2018</v>
      </c>
      <c r="B1259" s="1" t="s">
        <v>60</v>
      </c>
      <c r="C1259" s="1" t="s">
        <v>16</v>
      </c>
      <c r="D1259" s="2">
        <v>11562</v>
      </c>
      <c r="E1259" s="2">
        <v>91631</v>
      </c>
      <c r="F1259" s="4">
        <v>51695</v>
      </c>
    </row>
    <row r="1260" spans="1:6" x14ac:dyDescent="0.3">
      <c r="A1260" s="3">
        <v>2018</v>
      </c>
      <c r="B1260" s="1" t="s">
        <v>60</v>
      </c>
      <c r="C1260" s="1" t="s">
        <v>17</v>
      </c>
      <c r="D1260" s="2">
        <v>74587</v>
      </c>
      <c r="E1260" s="2">
        <v>948766</v>
      </c>
      <c r="F1260" s="4">
        <v>76586</v>
      </c>
    </row>
    <row r="1261" spans="1:6" x14ac:dyDescent="0.3">
      <c r="A1261" s="3">
        <v>2018</v>
      </c>
      <c r="B1261" s="1" t="s">
        <v>60</v>
      </c>
      <c r="C1261" s="1" t="s">
        <v>18</v>
      </c>
      <c r="D1261" s="2">
        <v>29755</v>
      </c>
      <c r="E1261" s="2">
        <v>342835</v>
      </c>
      <c r="F1261" s="4">
        <v>52468</v>
      </c>
    </row>
    <row r="1262" spans="1:6" x14ac:dyDescent="0.3">
      <c r="A1262" s="3">
        <v>2018</v>
      </c>
      <c r="B1262" s="1" t="s">
        <v>60</v>
      </c>
      <c r="C1262" s="1" t="s">
        <v>19</v>
      </c>
      <c r="D1262" s="2">
        <v>15839</v>
      </c>
      <c r="E1262" s="2">
        <v>140535</v>
      </c>
      <c r="F1262" s="4">
        <v>54071</v>
      </c>
    </row>
    <row r="1263" spans="1:6" x14ac:dyDescent="0.3">
      <c r="A1263" s="3">
        <v>2018</v>
      </c>
      <c r="B1263" s="1" t="s">
        <v>60</v>
      </c>
      <c r="C1263" s="1" t="s">
        <v>20</v>
      </c>
      <c r="D1263" s="2">
        <v>16731</v>
      </c>
      <c r="E1263" s="2">
        <v>179413</v>
      </c>
      <c r="F1263" s="4">
        <v>61288</v>
      </c>
    </row>
    <row r="1264" spans="1:6" x14ac:dyDescent="0.3">
      <c r="A1264" s="3">
        <v>2018</v>
      </c>
      <c r="B1264" s="1" t="s">
        <v>60</v>
      </c>
      <c r="C1264" s="1" t="s">
        <v>21</v>
      </c>
      <c r="D1264" s="2">
        <v>20542</v>
      </c>
      <c r="E1264" s="2">
        <v>217081</v>
      </c>
      <c r="F1264" s="4">
        <v>50087</v>
      </c>
    </row>
    <row r="1265" spans="1:6" x14ac:dyDescent="0.3">
      <c r="A1265" s="3">
        <v>2018</v>
      </c>
      <c r="B1265" s="1" t="s">
        <v>60</v>
      </c>
      <c r="C1265" s="1" t="s">
        <v>22</v>
      </c>
      <c r="D1265" s="2">
        <v>24537</v>
      </c>
      <c r="E1265" s="2">
        <v>213171</v>
      </c>
      <c r="F1265" s="4">
        <v>56446</v>
      </c>
    </row>
    <row r="1266" spans="1:6" x14ac:dyDescent="0.3">
      <c r="A1266" s="3">
        <v>2018</v>
      </c>
      <c r="B1266" s="1" t="s">
        <v>60</v>
      </c>
      <c r="C1266" s="1" t="s">
        <v>23</v>
      </c>
      <c r="D1266" s="2">
        <v>9940</v>
      </c>
      <c r="E1266" s="2">
        <v>69285</v>
      </c>
      <c r="F1266" s="4">
        <v>57328</v>
      </c>
    </row>
    <row r="1267" spans="1:6" x14ac:dyDescent="0.3">
      <c r="A1267" s="3">
        <v>2018</v>
      </c>
      <c r="B1267" s="1" t="s">
        <v>60</v>
      </c>
      <c r="C1267" s="1" t="s">
        <v>24</v>
      </c>
      <c r="D1267" s="2">
        <v>42809</v>
      </c>
      <c r="E1267" s="2">
        <v>452753</v>
      </c>
      <c r="F1267" s="4">
        <v>79500</v>
      </c>
    </row>
    <row r="1268" spans="1:6" x14ac:dyDescent="0.3">
      <c r="A1268" s="3">
        <v>2018</v>
      </c>
      <c r="B1268" s="1" t="s">
        <v>60</v>
      </c>
      <c r="C1268" s="1" t="s">
        <v>25</v>
      </c>
      <c r="D1268" s="2">
        <v>47416</v>
      </c>
      <c r="E1268" s="2">
        <v>587518</v>
      </c>
      <c r="F1268" s="4">
        <v>107875</v>
      </c>
    </row>
    <row r="1269" spans="1:6" x14ac:dyDescent="0.3">
      <c r="A1269" s="3">
        <v>2018</v>
      </c>
      <c r="B1269" s="1" t="s">
        <v>60</v>
      </c>
      <c r="C1269" s="1" t="s">
        <v>26</v>
      </c>
      <c r="D1269" s="2">
        <v>42545</v>
      </c>
      <c r="E1269" s="2">
        <v>657930</v>
      </c>
      <c r="F1269" s="4">
        <v>69377</v>
      </c>
    </row>
    <row r="1270" spans="1:6" x14ac:dyDescent="0.3">
      <c r="A1270" s="3">
        <v>2018</v>
      </c>
      <c r="B1270" s="1" t="s">
        <v>60</v>
      </c>
      <c r="C1270" s="1" t="s">
        <v>27</v>
      </c>
      <c r="D1270" s="2">
        <v>32020</v>
      </c>
      <c r="E1270" s="2">
        <v>378493</v>
      </c>
      <c r="F1270" s="4">
        <v>82535</v>
      </c>
    </row>
    <row r="1271" spans="1:6" x14ac:dyDescent="0.3">
      <c r="A1271" s="3">
        <v>2018</v>
      </c>
      <c r="B1271" s="1" t="s">
        <v>60</v>
      </c>
      <c r="C1271" s="1" t="s">
        <v>28</v>
      </c>
      <c r="D1271" s="2">
        <v>12259</v>
      </c>
      <c r="E1271" s="2">
        <v>109842</v>
      </c>
      <c r="F1271" s="4">
        <v>42132</v>
      </c>
    </row>
    <row r="1272" spans="1:6" x14ac:dyDescent="0.3">
      <c r="A1272" s="3">
        <v>2018</v>
      </c>
      <c r="B1272" s="1" t="s">
        <v>60</v>
      </c>
      <c r="C1272" s="1" t="s">
        <v>29</v>
      </c>
      <c r="D1272" s="2">
        <v>32577</v>
      </c>
      <c r="E1272" s="2">
        <v>385727</v>
      </c>
      <c r="F1272" s="4">
        <v>66429</v>
      </c>
    </row>
    <row r="1273" spans="1:6" x14ac:dyDescent="0.3">
      <c r="A1273" s="3">
        <v>2018</v>
      </c>
      <c r="B1273" s="1" t="s">
        <v>60</v>
      </c>
      <c r="C1273" s="1" t="s">
        <v>30</v>
      </c>
      <c r="D1273" s="2">
        <v>9359</v>
      </c>
      <c r="E1273" s="2">
        <v>42410</v>
      </c>
      <c r="F1273" s="4">
        <v>52271</v>
      </c>
    </row>
    <row r="1274" spans="1:6" x14ac:dyDescent="0.3">
      <c r="A1274" s="3">
        <v>2018</v>
      </c>
      <c r="B1274" s="1" t="s">
        <v>60</v>
      </c>
      <c r="C1274" s="1" t="s">
        <v>31</v>
      </c>
      <c r="D1274" s="2">
        <v>11582</v>
      </c>
      <c r="E1274" s="2">
        <v>119167</v>
      </c>
      <c r="F1274" s="4">
        <v>58836</v>
      </c>
    </row>
    <row r="1275" spans="1:6" x14ac:dyDescent="0.3">
      <c r="A1275" s="3">
        <v>2018</v>
      </c>
      <c r="B1275" s="1" t="s">
        <v>60</v>
      </c>
      <c r="C1275" s="1" t="s">
        <v>32</v>
      </c>
      <c r="D1275" s="2">
        <v>19970</v>
      </c>
      <c r="E1275" s="2">
        <v>190736</v>
      </c>
      <c r="F1275" s="4">
        <v>61821</v>
      </c>
    </row>
    <row r="1276" spans="1:6" x14ac:dyDescent="0.3">
      <c r="A1276" s="3">
        <v>2018</v>
      </c>
      <c r="B1276" s="1" t="s">
        <v>60</v>
      </c>
      <c r="C1276" s="1" t="s">
        <v>33</v>
      </c>
      <c r="D1276" s="2">
        <v>12323</v>
      </c>
      <c r="E1276" s="2">
        <v>82831</v>
      </c>
      <c r="F1276" s="4">
        <v>77486</v>
      </c>
    </row>
    <row r="1277" spans="1:6" x14ac:dyDescent="0.3">
      <c r="A1277" s="3">
        <v>2018</v>
      </c>
      <c r="B1277" s="1" t="s">
        <v>60</v>
      </c>
      <c r="C1277" s="1" t="s">
        <v>34</v>
      </c>
      <c r="D1277" s="2">
        <v>51837</v>
      </c>
      <c r="E1277" s="2">
        <v>671419</v>
      </c>
      <c r="F1277" s="4">
        <v>90784</v>
      </c>
    </row>
    <row r="1278" spans="1:6" x14ac:dyDescent="0.3">
      <c r="A1278" s="3">
        <v>2018</v>
      </c>
      <c r="B1278" s="1" t="s">
        <v>60</v>
      </c>
      <c r="C1278" s="1" t="s">
        <v>35</v>
      </c>
      <c r="D1278" s="2">
        <v>10669</v>
      </c>
      <c r="E1278" s="2">
        <v>106930</v>
      </c>
      <c r="F1278" s="4">
        <v>61899</v>
      </c>
    </row>
    <row r="1279" spans="1:6" x14ac:dyDescent="0.3">
      <c r="A1279" s="3">
        <v>2018</v>
      </c>
      <c r="B1279" s="1" t="s">
        <v>60</v>
      </c>
      <c r="C1279" s="1" t="s">
        <v>36</v>
      </c>
      <c r="D1279" s="2">
        <v>112471</v>
      </c>
      <c r="E1279" s="2">
        <v>1339421</v>
      </c>
      <c r="F1279" s="4">
        <v>95057</v>
      </c>
    </row>
    <row r="1280" spans="1:6" x14ac:dyDescent="0.3">
      <c r="A1280" s="3">
        <v>2018</v>
      </c>
      <c r="B1280" s="1" t="s">
        <v>60</v>
      </c>
      <c r="C1280" s="1" t="s">
        <v>37</v>
      </c>
      <c r="D1280" s="2">
        <v>58892</v>
      </c>
      <c r="E1280" s="2">
        <v>635554</v>
      </c>
      <c r="F1280" s="4">
        <v>65609</v>
      </c>
    </row>
    <row r="1281" spans="1:6" x14ac:dyDescent="0.3">
      <c r="A1281" s="3">
        <v>2018</v>
      </c>
      <c r="B1281" s="1" t="s">
        <v>60</v>
      </c>
      <c r="C1281" s="1" t="s">
        <v>38</v>
      </c>
      <c r="D1281" s="2">
        <v>5130</v>
      </c>
      <c r="E1281" s="2">
        <v>34560</v>
      </c>
      <c r="F1281" s="4">
        <v>61774</v>
      </c>
    </row>
    <row r="1282" spans="1:6" x14ac:dyDescent="0.3">
      <c r="A1282" s="3">
        <v>2018</v>
      </c>
      <c r="B1282" s="1" t="s">
        <v>60</v>
      </c>
      <c r="C1282" s="1" t="s">
        <v>39</v>
      </c>
      <c r="D1282" s="2">
        <v>53280</v>
      </c>
      <c r="E1282" s="2">
        <v>729430</v>
      </c>
      <c r="F1282" s="4">
        <v>64006</v>
      </c>
    </row>
    <row r="1283" spans="1:6" x14ac:dyDescent="0.3">
      <c r="A1283" s="3">
        <v>2018</v>
      </c>
      <c r="B1283" s="1" t="s">
        <v>60</v>
      </c>
      <c r="C1283" s="1" t="s">
        <v>40</v>
      </c>
      <c r="D1283" s="2">
        <v>20594</v>
      </c>
      <c r="E1283" s="2">
        <v>191261</v>
      </c>
      <c r="F1283" s="4">
        <v>52227</v>
      </c>
    </row>
    <row r="1284" spans="1:6" x14ac:dyDescent="0.3">
      <c r="A1284" s="3">
        <v>2018</v>
      </c>
      <c r="B1284" s="1" t="s">
        <v>60</v>
      </c>
      <c r="C1284" s="1" t="s">
        <v>41</v>
      </c>
      <c r="D1284" s="2">
        <v>25462</v>
      </c>
      <c r="E1284" s="2">
        <v>248627</v>
      </c>
      <c r="F1284" s="4">
        <v>69806</v>
      </c>
    </row>
    <row r="1285" spans="1:6" x14ac:dyDescent="0.3">
      <c r="A1285" s="3">
        <v>2018</v>
      </c>
      <c r="B1285" s="1" t="s">
        <v>60</v>
      </c>
      <c r="C1285" s="1" t="s">
        <v>42</v>
      </c>
      <c r="D1285" s="2">
        <v>63415</v>
      </c>
      <c r="E1285" s="2">
        <v>806555</v>
      </c>
      <c r="F1285" s="4">
        <v>78092</v>
      </c>
    </row>
    <row r="1286" spans="1:6" x14ac:dyDescent="0.3">
      <c r="A1286" s="3">
        <v>2018</v>
      </c>
      <c r="B1286" s="1" t="s">
        <v>60</v>
      </c>
      <c r="C1286" s="1" t="s">
        <v>43</v>
      </c>
      <c r="D1286" s="2">
        <v>8651</v>
      </c>
      <c r="E1286" s="2">
        <v>68430</v>
      </c>
      <c r="F1286" s="4">
        <v>68957</v>
      </c>
    </row>
    <row r="1287" spans="1:6" x14ac:dyDescent="0.3">
      <c r="A1287" s="3">
        <v>2018</v>
      </c>
      <c r="B1287" s="1" t="s">
        <v>60</v>
      </c>
      <c r="C1287" s="1" t="s">
        <v>44</v>
      </c>
      <c r="D1287" s="2">
        <v>26993</v>
      </c>
      <c r="E1287" s="2">
        <v>293499</v>
      </c>
      <c r="F1287" s="4">
        <v>50391</v>
      </c>
    </row>
    <row r="1288" spans="1:6" x14ac:dyDescent="0.3">
      <c r="A1288" s="3">
        <v>2018</v>
      </c>
      <c r="B1288" s="1" t="s">
        <v>60</v>
      </c>
      <c r="C1288" s="1" t="s">
        <v>45</v>
      </c>
      <c r="D1288" s="2">
        <v>5205</v>
      </c>
      <c r="E1288" s="2">
        <v>32354</v>
      </c>
      <c r="F1288" s="4">
        <v>56384</v>
      </c>
    </row>
    <row r="1289" spans="1:6" x14ac:dyDescent="0.3">
      <c r="A1289" s="3">
        <v>2018</v>
      </c>
      <c r="B1289" s="1" t="s">
        <v>60</v>
      </c>
      <c r="C1289" s="1" t="s">
        <v>46</v>
      </c>
      <c r="D1289" s="2">
        <v>29519</v>
      </c>
      <c r="E1289" s="2">
        <v>417345</v>
      </c>
      <c r="F1289" s="4">
        <v>59851</v>
      </c>
    </row>
    <row r="1290" spans="1:6" x14ac:dyDescent="0.3">
      <c r="A1290" s="3">
        <v>2018</v>
      </c>
      <c r="B1290" s="1" t="s">
        <v>60</v>
      </c>
      <c r="C1290" s="1" t="s">
        <v>47</v>
      </c>
      <c r="D1290" s="2">
        <v>134025</v>
      </c>
      <c r="E1290" s="2">
        <v>1736415</v>
      </c>
      <c r="F1290" s="4">
        <v>74443</v>
      </c>
    </row>
    <row r="1291" spans="1:6" x14ac:dyDescent="0.3">
      <c r="A1291" s="3">
        <v>2018</v>
      </c>
      <c r="B1291" s="1" t="s">
        <v>60</v>
      </c>
      <c r="C1291" s="1" t="s">
        <v>48</v>
      </c>
      <c r="D1291" s="2">
        <v>23036</v>
      </c>
      <c r="E1291" s="2">
        <v>215564</v>
      </c>
      <c r="F1291" s="4">
        <v>59543</v>
      </c>
    </row>
    <row r="1292" spans="1:6" x14ac:dyDescent="0.3">
      <c r="A1292" s="3">
        <v>2018</v>
      </c>
      <c r="B1292" s="1" t="s">
        <v>60</v>
      </c>
      <c r="C1292" s="1" t="s">
        <v>49</v>
      </c>
      <c r="D1292" s="2">
        <v>5661</v>
      </c>
      <c r="E1292" s="2">
        <v>28976</v>
      </c>
      <c r="F1292" s="4">
        <v>64917</v>
      </c>
    </row>
    <row r="1293" spans="1:6" x14ac:dyDescent="0.3">
      <c r="A1293" s="3">
        <v>2018</v>
      </c>
      <c r="B1293" s="1" t="s">
        <v>60</v>
      </c>
      <c r="C1293" s="1" t="s">
        <v>50</v>
      </c>
      <c r="D1293" s="2">
        <v>58849</v>
      </c>
      <c r="E1293" s="2">
        <v>746452</v>
      </c>
      <c r="F1293" s="4">
        <v>87511</v>
      </c>
    </row>
    <row r="1294" spans="1:6" x14ac:dyDescent="0.3">
      <c r="A1294" s="3">
        <v>2018</v>
      </c>
      <c r="B1294" s="1" t="s">
        <v>60</v>
      </c>
      <c r="C1294" s="1" t="s">
        <v>51</v>
      </c>
      <c r="D1294" s="2">
        <v>40209</v>
      </c>
      <c r="E1294" s="2">
        <v>414712</v>
      </c>
      <c r="F1294" s="4">
        <v>82245</v>
      </c>
    </row>
    <row r="1295" spans="1:6" x14ac:dyDescent="0.3">
      <c r="A1295" s="3">
        <v>2018</v>
      </c>
      <c r="B1295" s="1" t="s">
        <v>60</v>
      </c>
      <c r="C1295" s="1" t="s">
        <v>52</v>
      </c>
      <c r="D1295" s="2">
        <v>8323</v>
      </c>
      <c r="E1295" s="2">
        <v>68965</v>
      </c>
      <c r="F1295" s="4">
        <v>51745</v>
      </c>
    </row>
    <row r="1296" spans="1:6" x14ac:dyDescent="0.3">
      <c r="A1296" s="3">
        <v>2018</v>
      </c>
      <c r="B1296" s="1" t="s">
        <v>60</v>
      </c>
      <c r="C1296" s="1" t="s">
        <v>53</v>
      </c>
      <c r="D1296" s="2">
        <v>25856</v>
      </c>
      <c r="E1296" s="2">
        <v>327719</v>
      </c>
      <c r="F1296" s="4">
        <v>60773</v>
      </c>
    </row>
    <row r="1297" spans="1:6" x14ac:dyDescent="0.3">
      <c r="A1297" s="3">
        <v>2018</v>
      </c>
      <c r="B1297" s="1" t="s">
        <v>60</v>
      </c>
      <c r="C1297" s="1" t="s">
        <v>54</v>
      </c>
      <c r="D1297" s="2">
        <v>4559</v>
      </c>
      <c r="E1297" s="2">
        <v>18733</v>
      </c>
      <c r="F1297" s="4">
        <v>52783</v>
      </c>
    </row>
    <row r="1298" spans="1:6" x14ac:dyDescent="0.3">
      <c r="A1298" s="3">
        <v>2018</v>
      </c>
      <c r="B1298" s="1" t="s">
        <v>61</v>
      </c>
      <c r="C1298" s="1" t="s">
        <v>7</v>
      </c>
      <c r="D1298" s="2">
        <v>12678</v>
      </c>
      <c r="E1298" s="2">
        <v>233306</v>
      </c>
      <c r="F1298" s="4">
        <v>46432</v>
      </c>
    </row>
    <row r="1299" spans="1:6" x14ac:dyDescent="0.3">
      <c r="A1299" s="3">
        <v>2018</v>
      </c>
      <c r="B1299" s="1" t="s">
        <v>61</v>
      </c>
      <c r="C1299" s="1" t="s">
        <v>8</v>
      </c>
      <c r="D1299" s="2">
        <v>18037</v>
      </c>
      <c r="E1299" s="2">
        <v>440616</v>
      </c>
      <c r="F1299" s="4">
        <v>51125</v>
      </c>
    </row>
    <row r="1300" spans="1:6" x14ac:dyDescent="0.3">
      <c r="A1300" s="3">
        <v>2018</v>
      </c>
      <c r="B1300" s="1" t="s">
        <v>61</v>
      </c>
      <c r="C1300" s="1" t="s">
        <v>9</v>
      </c>
      <c r="D1300" s="2">
        <v>15788</v>
      </c>
      <c r="E1300" s="2">
        <v>186119</v>
      </c>
      <c r="F1300" s="4">
        <v>42468</v>
      </c>
    </row>
    <row r="1301" spans="1:6" x14ac:dyDescent="0.3">
      <c r="A1301" s="3">
        <v>2018</v>
      </c>
      <c r="B1301" s="1" t="s">
        <v>61</v>
      </c>
      <c r="C1301" s="1" t="s">
        <v>10</v>
      </c>
      <c r="D1301" s="2">
        <v>618901</v>
      </c>
      <c r="E1301" s="2">
        <v>2649228</v>
      </c>
      <c r="F1301" s="4">
        <v>52187</v>
      </c>
    </row>
    <row r="1302" spans="1:6" x14ac:dyDescent="0.3">
      <c r="A1302" s="3">
        <v>2018</v>
      </c>
      <c r="B1302" s="1" t="s">
        <v>61</v>
      </c>
      <c r="C1302" s="1" t="s">
        <v>11</v>
      </c>
      <c r="D1302" s="2">
        <v>21666</v>
      </c>
      <c r="E1302" s="2">
        <v>335274</v>
      </c>
      <c r="F1302" s="4">
        <v>50156</v>
      </c>
    </row>
    <row r="1303" spans="1:6" x14ac:dyDescent="0.3">
      <c r="A1303" s="3">
        <v>2018</v>
      </c>
      <c r="B1303" s="1" t="s">
        <v>61</v>
      </c>
      <c r="C1303" s="1" t="s">
        <v>12</v>
      </c>
      <c r="D1303" s="2">
        <v>13090</v>
      </c>
      <c r="E1303" s="2">
        <v>326866</v>
      </c>
      <c r="F1303" s="4">
        <v>55369</v>
      </c>
    </row>
    <row r="1304" spans="1:6" x14ac:dyDescent="0.3">
      <c r="A1304" s="3">
        <v>2018</v>
      </c>
      <c r="B1304" s="1" t="s">
        <v>61</v>
      </c>
      <c r="C1304" s="1" t="s">
        <v>13</v>
      </c>
      <c r="D1304" s="2">
        <v>5063</v>
      </c>
      <c r="E1304" s="2">
        <v>75524</v>
      </c>
      <c r="F1304" s="4">
        <v>53795</v>
      </c>
    </row>
    <row r="1305" spans="1:6" x14ac:dyDescent="0.3">
      <c r="A1305" s="3">
        <v>2018</v>
      </c>
      <c r="B1305" s="1" t="s">
        <v>61</v>
      </c>
      <c r="C1305" s="1" t="s">
        <v>14</v>
      </c>
      <c r="D1305" s="2">
        <v>73761</v>
      </c>
      <c r="E1305" s="2">
        <v>1287814</v>
      </c>
      <c r="F1305" s="4">
        <v>50781</v>
      </c>
    </row>
    <row r="1306" spans="1:6" x14ac:dyDescent="0.3">
      <c r="A1306" s="3">
        <v>2018</v>
      </c>
      <c r="B1306" s="1" t="s">
        <v>61</v>
      </c>
      <c r="C1306" s="1" t="s">
        <v>15</v>
      </c>
      <c r="D1306" s="2">
        <v>28952</v>
      </c>
      <c r="E1306" s="2">
        <v>562436</v>
      </c>
      <c r="F1306" s="4">
        <v>52062</v>
      </c>
    </row>
    <row r="1307" spans="1:6" x14ac:dyDescent="0.3">
      <c r="A1307" s="3">
        <v>2018</v>
      </c>
      <c r="B1307" s="1" t="s">
        <v>61</v>
      </c>
      <c r="C1307" s="1" t="s">
        <v>16</v>
      </c>
      <c r="D1307" s="2">
        <v>7824</v>
      </c>
      <c r="E1307" s="2">
        <v>100212</v>
      </c>
      <c r="F1307" s="4">
        <v>42047</v>
      </c>
    </row>
    <row r="1308" spans="1:6" x14ac:dyDescent="0.3">
      <c r="A1308" s="3">
        <v>2018</v>
      </c>
      <c r="B1308" s="1" t="s">
        <v>61</v>
      </c>
      <c r="C1308" s="1" t="s">
        <v>17</v>
      </c>
      <c r="D1308" s="2">
        <v>34720</v>
      </c>
      <c r="E1308" s="2">
        <v>919288</v>
      </c>
      <c r="F1308" s="4">
        <v>50959</v>
      </c>
    </row>
    <row r="1309" spans="1:6" x14ac:dyDescent="0.3">
      <c r="A1309" s="3">
        <v>2018</v>
      </c>
      <c r="B1309" s="1" t="s">
        <v>61</v>
      </c>
      <c r="C1309" s="1" t="s">
        <v>18</v>
      </c>
      <c r="D1309" s="2">
        <v>15692</v>
      </c>
      <c r="E1309" s="2">
        <v>459398</v>
      </c>
      <c r="F1309" s="4">
        <v>47681</v>
      </c>
    </row>
    <row r="1310" spans="1:6" x14ac:dyDescent="0.3">
      <c r="A1310" s="3">
        <v>2018</v>
      </c>
      <c r="B1310" s="1" t="s">
        <v>61</v>
      </c>
      <c r="C1310" s="1" t="s">
        <v>19</v>
      </c>
      <c r="D1310" s="2">
        <v>11589</v>
      </c>
      <c r="E1310" s="2">
        <v>219674</v>
      </c>
      <c r="F1310" s="4">
        <v>43022</v>
      </c>
    </row>
    <row r="1311" spans="1:6" x14ac:dyDescent="0.3">
      <c r="A1311" s="3">
        <v>2018</v>
      </c>
      <c r="B1311" s="1" t="s">
        <v>61</v>
      </c>
      <c r="C1311" s="1" t="s">
        <v>20</v>
      </c>
      <c r="D1311" s="2">
        <v>10277</v>
      </c>
      <c r="E1311" s="2">
        <v>195132</v>
      </c>
      <c r="F1311" s="4">
        <v>42586</v>
      </c>
    </row>
    <row r="1312" spans="1:6" x14ac:dyDescent="0.3">
      <c r="A1312" s="3">
        <v>2018</v>
      </c>
      <c r="B1312" s="1" t="s">
        <v>61</v>
      </c>
      <c r="C1312" s="1" t="s">
        <v>21</v>
      </c>
      <c r="D1312" s="2">
        <v>18161</v>
      </c>
      <c r="E1312" s="2">
        <v>267486</v>
      </c>
      <c r="F1312" s="4">
        <v>48210</v>
      </c>
    </row>
    <row r="1313" spans="1:6" x14ac:dyDescent="0.3">
      <c r="A1313" s="3">
        <v>2018</v>
      </c>
      <c r="B1313" s="1" t="s">
        <v>61</v>
      </c>
      <c r="C1313" s="1" t="s">
        <v>22</v>
      </c>
      <c r="D1313" s="2">
        <v>15480</v>
      </c>
      <c r="E1313" s="2">
        <v>300015</v>
      </c>
      <c r="F1313" s="4">
        <v>43339</v>
      </c>
    </row>
    <row r="1314" spans="1:6" x14ac:dyDescent="0.3">
      <c r="A1314" s="3">
        <v>2018</v>
      </c>
      <c r="B1314" s="1" t="s">
        <v>61</v>
      </c>
      <c r="C1314" s="1" t="s">
        <v>23</v>
      </c>
      <c r="D1314" s="2">
        <v>5483</v>
      </c>
      <c r="E1314" s="2">
        <v>118009</v>
      </c>
      <c r="F1314" s="4">
        <v>47535</v>
      </c>
    </row>
    <row r="1315" spans="1:6" x14ac:dyDescent="0.3">
      <c r="A1315" s="3">
        <v>2018</v>
      </c>
      <c r="B1315" s="1" t="s">
        <v>61</v>
      </c>
      <c r="C1315" s="1" t="s">
        <v>24</v>
      </c>
      <c r="D1315" s="2">
        <v>20856</v>
      </c>
      <c r="E1315" s="2">
        <v>445328</v>
      </c>
      <c r="F1315" s="4">
        <v>54310</v>
      </c>
    </row>
    <row r="1316" spans="1:6" x14ac:dyDescent="0.3">
      <c r="A1316" s="3">
        <v>2018</v>
      </c>
      <c r="B1316" s="1" t="s">
        <v>61</v>
      </c>
      <c r="C1316" s="1" t="s">
        <v>25</v>
      </c>
      <c r="D1316" s="2">
        <v>66364</v>
      </c>
      <c r="E1316" s="2">
        <v>773683</v>
      </c>
      <c r="F1316" s="4">
        <v>58448</v>
      </c>
    </row>
    <row r="1317" spans="1:6" x14ac:dyDescent="0.3">
      <c r="A1317" s="3">
        <v>2018</v>
      </c>
      <c r="B1317" s="1" t="s">
        <v>61</v>
      </c>
      <c r="C1317" s="1" t="s">
        <v>26</v>
      </c>
      <c r="D1317" s="2">
        <v>24822</v>
      </c>
      <c r="E1317" s="2">
        <v>659230</v>
      </c>
      <c r="F1317" s="4">
        <v>49739</v>
      </c>
    </row>
    <row r="1318" spans="1:6" x14ac:dyDescent="0.3">
      <c r="A1318" s="3">
        <v>2018</v>
      </c>
      <c r="B1318" s="1" t="s">
        <v>61</v>
      </c>
      <c r="C1318" s="1" t="s">
        <v>27</v>
      </c>
      <c r="D1318" s="2">
        <v>19210</v>
      </c>
      <c r="E1318" s="2">
        <v>526556</v>
      </c>
      <c r="F1318" s="4">
        <v>51469</v>
      </c>
    </row>
    <row r="1319" spans="1:6" x14ac:dyDescent="0.3">
      <c r="A1319" s="3">
        <v>2018</v>
      </c>
      <c r="B1319" s="1" t="s">
        <v>61</v>
      </c>
      <c r="C1319" s="1" t="s">
        <v>28</v>
      </c>
      <c r="D1319" s="2">
        <v>7531</v>
      </c>
      <c r="E1319" s="2">
        <v>144105</v>
      </c>
      <c r="F1319" s="4">
        <v>41620</v>
      </c>
    </row>
    <row r="1320" spans="1:6" x14ac:dyDescent="0.3">
      <c r="A1320" s="3">
        <v>2018</v>
      </c>
      <c r="B1320" s="1" t="s">
        <v>61</v>
      </c>
      <c r="C1320" s="1" t="s">
        <v>29</v>
      </c>
      <c r="D1320" s="2">
        <v>48555</v>
      </c>
      <c r="E1320" s="2">
        <v>454728</v>
      </c>
      <c r="F1320" s="4">
        <v>46127</v>
      </c>
    </row>
    <row r="1321" spans="1:6" x14ac:dyDescent="0.3">
      <c r="A1321" s="3">
        <v>2018</v>
      </c>
      <c r="B1321" s="1" t="s">
        <v>61</v>
      </c>
      <c r="C1321" s="1" t="s">
        <v>30</v>
      </c>
      <c r="D1321" s="2">
        <v>4637</v>
      </c>
      <c r="E1321" s="2">
        <v>73530</v>
      </c>
      <c r="F1321" s="4">
        <v>47539</v>
      </c>
    </row>
    <row r="1322" spans="1:6" x14ac:dyDescent="0.3">
      <c r="A1322" s="3">
        <v>2018</v>
      </c>
      <c r="B1322" s="1" t="s">
        <v>61</v>
      </c>
      <c r="C1322" s="1" t="s">
        <v>31</v>
      </c>
      <c r="D1322" s="2">
        <v>12205</v>
      </c>
      <c r="E1322" s="2">
        <v>138155</v>
      </c>
      <c r="F1322" s="4">
        <v>46678</v>
      </c>
    </row>
    <row r="1323" spans="1:6" x14ac:dyDescent="0.3">
      <c r="A1323" s="3">
        <v>2018</v>
      </c>
      <c r="B1323" s="1" t="s">
        <v>61</v>
      </c>
      <c r="C1323" s="1" t="s">
        <v>32</v>
      </c>
      <c r="D1323" s="2">
        <v>8913</v>
      </c>
      <c r="E1323" s="2">
        <v>139036</v>
      </c>
      <c r="F1323" s="4">
        <v>54167</v>
      </c>
    </row>
    <row r="1324" spans="1:6" x14ac:dyDescent="0.3">
      <c r="A1324" s="3">
        <v>2018</v>
      </c>
      <c r="B1324" s="1" t="s">
        <v>61</v>
      </c>
      <c r="C1324" s="1" t="s">
        <v>33</v>
      </c>
      <c r="D1324" s="2">
        <v>4700</v>
      </c>
      <c r="E1324" s="2">
        <v>112567</v>
      </c>
      <c r="F1324" s="4">
        <v>56317</v>
      </c>
    </row>
    <row r="1325" spans="1:6" x14ac:dyDescent="0.3">
      <c r="A1325" s="3">
        <v>2018</v>
      </c>
      <c r="B1325" s="1" t="s">
        <v>61</v>
      </c>
      <c r="C1325" s="1" t="s">
        <v>34</v>
      </c>
      <c r="D1325" s="2">
        <v>37328</v>
      </c>
      <c r="E1325" s="2">
        <v>656716</v>
      </c>
      <c r="F1325" s="4">
        <v>53402</v>
      </c>
    </row>
    <row r="1326" spans="1:6" x14ac:dyDescent="0.3">
      <c r="A1326" s="3">
        <v>2018</v>
      </c>
      <c r="B1326" s="1" t="s">
        <v>61</v>
      </c>
      <c r="C1326" s="1" t="s">
        <v>35</v>
      </c>
      <c r="D1326" s="2">
        <v>10221</v>
      </c>
      <c r="E1326" s="2">
        <v>128590</v>
      </c>
      <c r="F1326" s="4">
        <v>41645</v>
      </c>
    </row>
    <row r="1327" spans="1:6" x14ac:dyDescent="0.3">
      <c r="A1327" s="3">
        <v>2018</v>
      </c>
      <c r="B1327" s="1" t="s">
        <v>61</v>
      </c>
      <c r="C1327" s="1" t="s">
        <v>36</v>
      </c>
      <c r="D1327" s="2">
        <v>67399</v>
      </c>
      <c r="E1327" s="2">
        <v>1914153</v>
      </c>
      <c r="F1327" s="4">
        <v>53467</v>
      </c>
    </row>
    <row r="1328" spans="1:6" x14ac:dyDescent="0.3">
      <c r="A1328" s="3">
        <v>2018</v>
      </c>
      <c r="B1328" s="1" t="s">
        <v>61</v>
      </c>
      <c r="C1328" s="1" t="s">
        <v>37</v>
      </c>
      <c r="D1328" s="2">
        <v>27210</v>
      </c>
      <c r="E1328" s="2">
        <v>592067</v>
      </c>
      <c r="F1328" s="4">
        <v>48381</v>
      </c>
    </row>
    <row r="1329" spans="1:6" x14ac:dyDescent="0.3">
      <c r="A1329" s="3">
        <v>2018</v>
      </c>
      <c r="B1329" s="1" t="s">
        <v>61</v>
      </c>
      <c r="C1329" s="1" t="s">
        <v>38</v>
      </c>
      <c r="D1329" s="2">
        <v>2558</v>
      </c>
      <c r="E1329" s="2">
        <v>62184</v>
      </c>
      <c r="F1329" s="4">
        <v>51404</v>
      </c>
    </row>
    <row r="1330" spans="1:6" x14ac:dyDescent="0.3">
      <c r="A1330" s="3">
        <v>2018</v>
      </c>
      <c r="B1330" s="1" t="s">
        <v>61</v>
      </c>
      <c r="C1330" s="1" t="s">
        <v>39</v>
      </c>
      <c r="D1330" s="2">
        <v>34508</v>
      </c>
      <c r="E1330" s="2">
        <v>904140</v>
      </c>
      <c r="F1330" s="4">
        <v>46408</v>
      </c>
    </row>
    <row r="1331" spans="1:6" x14ac:dyDescent="0.3">
      <c r="A1331" s="3">
        <v>2018</v>
      </c>
      <c r="B1331" s="1" t="s">
        <v>61</v>
      </c>
      <c r="C1331" s="1" t="s">
        <v>40</v>
      </c>
      <c r="D1331" s="2">
        <v>13563</v>
      </c>
      <c r="E1331" s="2">
        <v>209863</v>
      </c>
      <c r="F1331" s="4">
        <v>45570</v>
      </c>
    </row>
    <row r="1332" spans="1:6" x14ac:dyDescent="0.3">
      <c r="A1332" s="3">
        <v>2018</v>
      </c>
      <c r="B1332" s="1" t="s">
        <v>61</v>
      </c>
      <c r="C1332" s="1" t="s">
        <v>41</v>
      </c>
      <c r="D1332" s="2">
        <v>15708</v>
      </c>
      <c r="E1332" s="2">
        <v>288939</v>
      </c>
      <c r="F1332" s="4">
        <v>50107</v>
      </c>
    </row>
    <row r="1333" spans="1:6" x14ac:dyDescent="0.3">
      <c r="A1333" s="3">
        <v>2018</v>
      </c>
      <c r="B1333" s="1" t="s">
        <v>61</v>
      </c>
      <c r="C1333" s="1" t="s">
        <v>42</v>
      </c>
      <c r="D1333" s="2">
        <v>57768</v>
      </c>
      <c r="E1333" s="2">
        <v>1209344</v>
      </c>
      <c r="F1333" s="4">
        <v>51808</v>
      </c>
    </row>
    <row r="1334" spans="1:6" x14ac:dyDescent="0.3">
      <c r="A1334" s="3">
        <v>2018</v>
      </c>
      <c r="B1334" s="1" t="s">
        <v>61</v>
      </c>
      <c r="C1334" s="1" t="s">
        <v>43</v>
      </c>
      <c r="D1334" s="2">
        <v>4545</v>
      </c>
      <c r="E1334" s="2">
        <v>100506</v>
      </c>
      <c r="F1334" s="4">
        <v>48716</v>
      </c>
    </row>
    <row r="1335" spans="1:6" x14ac:dyDescent="0.3">
      <c r="A1335" s="3">
        <v>2018</v>
      </c>
      <c r="B1335" s="1" t="s">
        <v>61</v>
      </c>
      <c r="C1335" s="1" t="s">
        <v>44</v>
      </c>
      <c r="D1335" s="2">
        <v>11971</v>
      </c>
      <c r="E1335" s="2">
        <v>234487</v>
      </c>
      <c r="F1335" s="4">
        <v>45993</v>
      </c>
    </row>
    <row r="1336" spans="1:6" x14ac:dyDescent="0.3">
      <c r="A1336" s="3">
        <v>2018</v>
      </c>
      <c r="B1336" s="1" t="s">
        <v>61</v>
      </c>
      <c r="C1336" s="1" t="s">
        <v>45</v>
      </c>
      <c r="D1336" s="2">
        <v>2839</v>
      </c>
      <c r="E1336" s="2">
        <v>67868</v>
      </c>
      <c r="F1336" s="4">
        <v>50399</v>
      </c>
    </row>
    <row r="1337" spans="1:6" x14ac:dyDescent="0.3">
      <c r="A1337" s="3">
        <v>2018</v>
      </c>
      <c r="B1337" s="1" t="s">
        <v>61</v>
      </c>
      <c r="C1337" s="1" t="s">
        <v>46</v>
      </c>
      <c r="D1337" s="2">
        <v>16127</v>
      </c>
      <c r="E1337" s="2">
        <v>420817</v>
      </c>
      <c r="F1337" s="4">
        <v>52099</v>
      </c>
    </row>
    <row r="1338" spans="1:6" x14ac:dyDescent="0.3">
      <c r="A1338" s="3">
        <v>2018</v>
      </c>
      <c r="B1338" s="1" t="s">
        <v>61</v>
      </c>
      <c r="C1338" s="1" t="s">
        <v>47</v>
      </c>
      <c r="D1338" s="2">
        <v>90552</v>
      </c>
      <c r="E1338" s="2">
        <v>1641637</v>
      </c>
      <c r="F1338" s="4">
        <v>48036</v>
      </c>
    </row>
    <row r="1339" spans="1:6" x14ac:dyDescent="0.3">
      <c r="A1339" s="3">
        <v>2018</v>
      </c>
      <c r="B1339" s="1" t="s">
        <v>61</v>
      </c>
      <c r="C1339" s="1" t="s">
        <v>48</v>
      </c>
      <c r="D1339" s="2">
        <v>12264</v>
      </c>
      <c r="E1339" s="2">
        <v>186785</v>
      </c>
      <c r="F1339" s="4">
        <v>43696</v>
      </c>
    </row>
    <row r="1340" spans="1:6" x14ac:dyDescent="0.3">
      <c r="A1340" s="3">
        <v>2018</v>
      </c>
      <c r="B1340" s="1" t="s">
        <v>61</v>
      </c>
      <c r="C1340" s="1" t="s">
        <v>49</v>
      </c>
      <c r="D1340" s="2">
        <v>2463</v>
      </c>
      <c r="E1340" s="2">
        <v>62630</v>
      </c>
      <c r="F1340" s="4">
        <v>46699</v>
      </c>
    </row>
    <row r="1341" spans="1:6" x14ac:dyDescent="0.3">
      <c r="A1341" s="3">
        <v>2018</v>
      </c>
      <c r="B1341" s="1" t="s">
        <v>61</v>
      </c>
      <c r="C1341" s="1" t="s">
        <v>50</v>
      </c>
      <c r="D1341" s="2">
        <v>43566</v>
      </c>
      <c r="E1341" s="2">
        <v>505487</v>
      </c>
      <c r="F1341" s="4">
        <v>49627</v>
      </c>
    </row>
    <row r="1342" spans="1:6" x14ac:dyDescent="0.3">
      <c r="A1342" s="3">
        <v>2018</v>
      </c>
      <c r="B1342" s="1" t="s">
        <v>61</v>
      </c>
      <c r="C1342" s="1" t="s">
        <v>51</v>
      </c>
      <c r="D1342" s="2">
        <v>61026</v>
      </c>
      <c r="E1342" s="2">
        <v>465717</v>
      </c>
      <c r="F1342" s="4">
        <v>51354</v>
      </c>
    </row>
    <row r="1343" spans="1:6" x14ac:dyDescent="0.3">
      <c r="A1343" s="3">
        <v>2018</v>
      </c>
      <c r="B1343" s="1" t="s">
        <v>61</v>
      </c>
      <c r="C1343" s="1" t="s">
        <v>52</v>
      </c>
      <c r="D1343" s="2">
        <v>5765</v>
      </c>
      <c r="E1343" s="2">
        <v>124431</v>
      </c>
      <c r="F1343" s="4">
        <v>46182</v>
      </c>
    </row>
    <row r="1344" spans="1:6" x14ac:dyDescent="0.3">
      <c r="A1344" s="3">
        <v>2018</v>
      </c>
      <c r="B1344" s="1" t="s">
        <v>61</v>
      </c>
      <c r="C1344" s="1" t="s">
        <v>53</v>
      </c>
      <c r="D1344" s="2">
        <v>28013</v>
      </c>
      <c r="E1344" s="2">
        <v>434143</v>
      </c>
      <c r="F1344" s="4">
        <v>49195</v>
      </c>
    </row>
    <row r="1345" spans="1:6" x14ac:dyDescent="0.3">
      <c r="A1345" s="3">
        <v>2018</v>
      </c>
      <c r="B1345" s="1" t="s">
        <v>61</v>
      </c>
      <c r="C1345" s="1" t="s">
        <v>54</v>
      </c>
      <c r="D1345" s="2">
        <v>3338</v>
      </c>
      <c r="E1345" s="2">
        <v>26972</v>
      </c>
      <c r="F1345" s="4">
        <v>42906</v>
      </c>
    </row>
    <row r="1346" spans="1:6" x14ac:dyDescent="0.3">
      <c r="A1346" s="3">
        <v>2018</v>
      </c>
      <c r="B1346" s="1" t="s">
        <v>62</v>
      </c>
      <c r="C1346" s="1" t="s">
        <v>7</v>
      </c>
      <c r="D1346" s="2">
        <v>10993</v>
      </c>
      <c r="E1346" s="2">
        <v>205942</v>
      </c>
      <c r="F1346" s="4">
        <v>16798</v>
      </c>
    </row>
    <row r="1347" spans="1:6" x14ac:dyDescent="0.3">
      <c r="A1347" s="3">
        <v>2018</v>
      </c>
      <c r="B1347" s="1" t="s">
        <v>62</v>
      </c>
      <c r="C1347" s="1" t="s">
        <v>8</v>
      </c>
      <c r="D1347" s="2">
        <v>13627</v>
      </c>
      <c r="E1347" s="2">
        <v>325897</v>
      </c>
      <c r="F1347" s="4">
        <v>24580</v>
      </c>
    </row>
    <row r="1348" spans="1:6" x14ac:dyDescent="0.3">
      <c r="A1348" s="3">
        <v>2018</v>
      </c>
      <c r="B1348" s="1" t="s">
        <v>62</v>
      </c>
      <c r="C1348" s="1" t="s">
        <v>9</v>
      </c>
      <c r="D1348" s="2">
        <v>7168</v>
      </c>
      <c r="E1348" s="2">
        <v>118405</v>
      </c>
      <c r="F1348" s="4">
        <v>16536</v>
      </c>
    </row>
    <row r="1349" spans="1:6" x14ac:dyDescent="0.3">
      <c r="A1349" s="3">
        <v>2018</v>
      </c>
      <c r="B1349" s="1" t="s">
        <v>62</v>
      </c>
      <c r="C1349" s="1" t="s">
        <v>10</v>
      </c>
      <c r="D1349" s="2">
        <v>111455</v>
      </c>
      <c r="E1349" s="2">
        <v>1988750</v>
      </c>
      <c r="F1349" s="4">
        <v>30527</v>
      </c>
    </row>
    <row r="1350" spans="1:6" x14ac:dyDescent="0.3">
      <c r="A1350" s="3">
        <v>2018</v>
      </c>
      <c r="B1350" s="1" t="s">
        <v>62</v>
      </c>
      <c r="C1350" s="1" t="s">
        <v>11</v>
      </c>
      <c r="D1350" s="2">
        <v>16939</v>
      </c>
      <c r="E1350" s="2">
        <v>339407</v>
      </c>
      <c r="F1350" s="4">
        <v>25878</v>
      </c>
    </row>
    <row r="1351" spans="1:6" x14ac:dyDescent="0.3">
      <c r="A1351" s="3">
        <v>2018</v>
      </c>
      <c r="B1351" s="1" t="s">
        <v>62</v>
      </c>
      <c r="C1351" s="1" t="s">
        <v>12</v>
      </c>
      <c r="D1351" s="2">
        <v>10668</v>
      </c>
      <c r="E1351" s="2">
        <v>157709</v>
      </c>
      <c r="F1351" s="4">
        <v>23705</v>
      </c>
    </row>
    <row r="1352" spans="1:6" x14ac:dyDescent="0.3">
      <c r="A1352" s="3">
        <v>2018</v>
      </c>
      <c r="B1352" s="1" t="s">
        <v>62</v>
      </c>
      <c r="C1352" s="1" t="s">
        <v>13</v>
      </c>
      <c r="D1352" s="2">
        <v>2637</v>
      </c>
      <c r="E1352" s="2">
        <v>51696</v>
      </c>
      <c r="F1352" s="4">
        <v>20414</v>
      </c>
    </row>
    <row r="1353" spans="1:6" x14ac:dyDescent="0.3">
      <c r="A1353" s="3">
        <v>2018</v>
      </c>
      <c r="B1353" s="1" t="s">
        <v>62</v>
      </c>
      <c r="C1353" s="1" t="s">
        <v>14</v>
      </c>
      <c r="D1353" s="2">
        <v>56587</v>
      </c>
      <c r="E1353" s="2">
        <v>1226786</v>
      </c>
      <c r="F1353" s="4">
        <v>25881</v>
      </c>
    </row>
    <row r="1354" spans="1:6" x14ac:dyDescent="0.3">
      <c r="A1354" s="3">
        <v>2018</v>
      </c>
      <c r="B1354" s="1" t="s">
        <v>62</v>
      </c>
      <c r="C1354" s="1" t="s">
        <v>15</v>
      </c>
      <c r="D1354" s="2">
        <v>24275</v>
      </c>
      <c r="E1354" s="2">
        <v>487598</v>
      </c>
      <c r="F1354" s="4">
        <v>20604</v>
      </c>
    </row>
    <row r="1355" spans="1:6" x14ac:dyDescent="0.3">
      <c r="A1355" s="3">
        <v>2018</v>
      </c>
      <c r="B1355" s="1" t="s">
        <v>62</v>
      </c>
      <c r="C1355" s="1" t="s">
        <v>16</v>
      </c>
      <c r="D1355" s="2">
        <v>5008</v>
      </c>
      <c r="E1355" s="2">
        <v>78912</v>
      </c>
      <c r="F1355" s="4">
        <v>17141</v>
      </c>
    </row>
    <row r="1356" spans="1:6" x14ac:dyDescent="0.3">
      <c r="A1356" s="3">
        <v>2018</v>
      </c>
      <c r="B1356" s="1" t="s">
        <v>62</v>
      </c>
      <c r="C1356" s="1" t="s">
        <v>17</v>
      </c>
      <c r="D1356" s="2">
        <v>32619</v>
      </c>
      <c r="E1356" s="2">
        <v>617101</v>
      </c>
      <c r="F1356" s="4">
        <v>23765</v>
      </c>
    </row>
    <row r="1357" spans="1:6" x14ac:dyDescent="0.3">
      <c r="A1357" s="3">
        <v>2018</v>
      </c>
      <c r="B1357" s="1" t="s">
        <v>62</v>
      </c>
      <c r="C1357" s="1" t="s">
        <v>18</v>
      </c>
      <c r="D1357" s="2">
        <v>15564</v>
      </c>
      <c r="E1357" s="2">
        <v>310335</v>
      </c>
      <c r="F1357" s="4">
        <v>18981</v>
      </c>
    </row>
    <row r="1358" spans="1:6" x14ac:dyDescent="0.3">
      <c r="A1358" s="3">
        <v>2018</v>
      </c>
      <c r="B1358" s="1" t="s">
        <v>62</v>
      </c>
      <c r="C1358" s="1" t="s">
        <v>19</v>
      </c>
      <c r="D1358" s="2">
        <v>8670</v>
      </c>
      <c r="E1358" s="2">
        <v>143729</v>
      </c>
      <c r="F1358" s="4">
        <v>16799</v>
      </c>
    </row>
    <row r="1359" spans="1:6" x14ac:dyDescent="0.3">
      <c r="A1359" s="3">
        <v>2018</v>
      </c>
      <c r="B1359" s="1" t="s">
        <v>62</v>
      </c>
      <c r="C1359" s="1" t="s">
        <v>20</v>
      </c>
      <c r="D1359" s="2">
        <v>6895</v>
      </c>
      <c r="E1359" s="2">
        <v>129372</v>
      </c>
      <c r="F1359" s="4">
        <v>16764</v>
      </c>
    </row>
    <row r="1360" spans="1:6" x14ac:dyDescent="0.3">
      <c r="A1360" s="3">
        <v>2018</v>
      </c>
      <c r="B1360" s="1" t="s">
        <v>62</v>
      </c>
      <c r="C1360" s="1" t="s">
        <v>21</v>
      </c>
      <c r="D1360" s="2">
        <v>10080</v>
      </c>
      <c r="E1360" s="2">
        <v>197894</v>
      </c>
      <c r="F1360" s="4">
        <v>17719</v>
      </c>
    </row>
    <row r="1361" spans="1:6" x14ac:dyDescent="0.3">
      <c r="A1361" s="3">
        <v>2018</v>
      </c>
      <c r="B1361" s="1" t="s">
        <v>62</v>
      </c>
      <c r="C1361" s="1" t="s">
        <v>22</v>
      </c>
      <c r="D1361" s="2">
        <v>12415</v>
      </c>
      <c r="E1361" s="2">
        <v>236357</v>
      </c>
      <c r="F1361" s="4">
        <v>21264</v>
      </c>
    </row>
    <row r="1362" spans="1:6" x14ac:dyDescent="0.3">
      <c r="A1362" s="3">
        <v>2018</v>
      </c>
      <c r="B1362" s="1" t="s">
        <v>62</v>
      </c>
      <c r="C1362" s="1" t="s">
        <v>23</v>
      </c>
      <c r="D1362" s="2">
        <v>5047</v>
      </c>
      <c r="E1362" s="2">
        <v>68406</v>
      </c>
      <c r="F1362" s="4">
        <v>22087</v>
      </c>
    </row>
    <row r="1363" spans="1:6" x14ac:dyDescent="0.3">
      <c r="A1363" s="3">
        <v>2018</v>
      </c>
      <c r="B1363" s="1" t="s">
        <v>62</v>
      </c>
      <c r="C1363" s="1" t="s">
        <v>24</v>
      </c>
      <c r="D1363" s="2">
        <v>14772</v>
      </c>
      <c r="E1363" s="2">
        <v>282009</v>
      </c>
      <c r="F1363" s="4">
        <v>24012</v>
      </c>
    </row>
    <row r="1364" spans="1:6" x14ac:dyDescent="0.3">
      <c r="A1364" s="3">
        <v>2018</v>
      </c>
      <c r="B1364" s="1" t="s">
        <v>62</v>
      </c>
      <c r="C1364" s="1" t="s">
        <v>25</v>
      </c>
      <c r="D1364" s="2">
        <v>20642</v>
      </c>
      <c r="E1364" s="2">
        <v>375767</v>
      </c>
      <c r="F1364" s="4">
        <v>27758</v>
      </c>
    </row>
    <row r="1365" spans="1:6" x14ac:dyDescent="0.3">
      <c r="A1365" s="3">
        <v>2018</v>
      </c>
      <c r="B1365" s="1" t="s">
        <v>62</v>
      </c>
      <c r="C1365" s="1" t="s">
        <v>26</v>
      </c>
      <c r="D1365" s="2">
        <v>22025</v>
      </c>
      <c r="E1365" s="2">
        <v>432290</v>
      </c>
      <c r="F1365" s="4">
        <v>20566</v>
      </c>
    </row>
    <row r="1366" spans="1:6" x14ac:dyDescent="0.3">
      <c r="A1366" s="3">
        <v>2018</v>
      </c>
      <c r="B1366" s="1" t="s">
        <v>62</v>
      </c>
      <c r="C1366" s="1" t="s">
        <v>27</v>
      </c>
      <c r="D1366" s="2">
        <v>15294</v>
      </c>
      <c r="E1366" s="2">
        <v>272821</v>
      </c>
      <c r="F1366" s="4">
        <v>22507</v>
      </c>
    </row>
    <row r="1367" spans="1:6" x14ac:dyDescent="0.3">
      <c r="A1367" s="3">
        <v>2018</v>
      </c>
      <c r="B1367" s="1" t="s">
        <v>62</v>
      </c>
      <c r="C1367" s="1" t="s">
        <v>28</v>
      </c>
      <c r="D1367" s="2">
        <v>6464</v>
      </c>
      <c r="E1367" s="2">
        <v>134785</v>
      </c>
      <c r="F1367" s="4">
        <v>17523</v>
      </c>
    </row>
    <row r="1368" spans="1:6" x14ac:dyDescent="0.3">
      <c r="A1368" s="3">
        <v>2018</v>
      </c>
      <c r="B1368" s="1" t="s">
        <v>62</v>
      </c>
      <c r="C1368" s="1" t="s">
        <v>29</v>
      </c>
      <c r="D1368" s="2">
        <v>14797</v>
      </c>
      <c r="E1368" s="2">
        <v>305418</v>
      </c>
      <c r="F1368" s="4">
        <v>20892</v>
      </c>
    </row>
    <row r="1369" spans="1:6" x14ac:dyDescent="0.3">
      <c r="A1369" s="3">
        <v>2018</v>
      </c>
      <c r="B1369" s="1" t="s">
        <v>62</v>
      </c>
      <c r="C1369" s="1" t="s">
        <v>30</v>
      </c>
      <c r="D1369" s="2">
        <v>5071</v>
      </c>
      <c r="E1369" s="2">
        <v>66044</v>
      </c>
      <c r="F1369" s="4">
        <v>19150</v>
      </c>
    </row>
    <row r="1370" spans="1:6" x14ac:dyDescent="0.3">
      <c r="A1370" s="3">
        <v>2018</v>
      </c>
      <c r="B1370" s="1" t="s">
        <v>62</v>
      </c>
      <c r="C1370" s="1" t="s">
        <v>31</v>
      </c>
      <c r="D1370" s="2">
        <v>5561</v>
      </c>
      <c r="E1370" s="2">
        <v>92581</v>
      </c>
      <c r="F1370" s="4">
        <v>16715</v>
      </c>
    </row>
    <row r="1371" spans="1:6" x14ac:dyDescent="0.3">
      <c r="A1371" s="3">
        <v>2018</v>
      </c>
      <c r="B1371" s="1" t="s">
        <v>62</v>
      </c>
      <c r="C1371" s="1" t="s">
        <v>32</v>
      </c>
      <c r="D1371" s="2">
        <v>8499</v>
      </c>
      <c r="E1371" s="2">
        <v>352051</v>
      </c>
      <c r="F1371" s="4">
        <v>33688</v>
      </c>
    </row>
    <row r="1372" spans="1:6" x14ac:dyDescent="0.3">
      <c r="A1372" s="3">
        <v>2018</v>
      </c>
      <c r="B1372" s="1" t="s">
        <v>62</v>
      </c>
      <c r="C1372" s="1" t="s">
        <v>33</v>
      </c>
      <c r="D1372" s="2">
        <v>4595</v>
      </c>
      <c r="E1372" s="2">
        <v>71975</v>
      </c>
      <c r="F1372" s="4">
        <v>21945</v>
      </c>
    </row>
    <row r="1373" spans="1:6" x14ac:dyDescent="0.3">
      <c r="A1373" s="3">
        <v>2018</v>
      </c>
      <c r="B1373" s="1" t="s">
        <v>62</v>
      </c>
      <c r="C1373" s="1" t="s">
        <v>34</v>
      </c>
      <c r="D1373" s="2">
        <v>24132</v>
      </c>
      <c r="E1373" s="2">
        <v>385616</v>
      </c>
      <c r="F1373" s="4">
        <v>26316</v>
      </c>
    </row>
    <row r="1374" spans="1:6" x14ac:dyDescent="0.3">
      <c r="A1374" s="3">
        <v>2018</v>
      </c>
      <c r="B1374" s="1" t="s">
        <v>62</v>
      </c>
      <c r="C1374" s="1" t="s">
        <v>35</v>
      </c>
      <c r="D1374" s="2">
        <v>5107</v>
      </c>
      <c r="E1374" s="2">
        <v>97785</v>
      </c>
      <c r="F1374" s="4">
        <v>18651</v>
      </c>
    </row>
    <row r="1375" spans="1:6" x14ac:dyDescent="0.3">
      <c r="A1375" s="3">
        <v>2018</v>
      </c>
      <c r="B1375" s="1" t="s">
        <v>62</v>
      </c>
      <c r="C1375" s="1" t="s">
        <v>36</v>
      </c>
      <c r="D1375" s="2">
        <v>66285</v>
      </c>
      <c r="E1375" s="2">
        <v>957343</v>
      </c>
      <c r="F1375" s="4">
        <v>33850</v>
      </c>
    </row>
    <row r="1376" spans="1:6" x14ac:dyDescent="0.3">
      <c r="A1376" s="3">
        <v>2018</v>
      </c>
      <c r="B1376" s="1" t="s">
        <v>62</v>
      </c>
      <c r="C1376" s="1" t="s">
        <v>37</v>
      </c>
      <c r="D1376" s="2">
        <v>25859</v>
      </c>
      <c r="E1376" s="2">
        <v>502877</v>
      </c>
      <c r="F1376" s="4">
        <v>19767</v>
      </c>
    </row>
    <row r="1377" spans="1:6" x14ac:dyDescent="0.3">
      <c r="A1377" s="3">
        <v>2018</v>
      </c>
      <c r="B1377" s="1" t="s">
        <v>62</v>
      </c>
      <c r="C1377" s="1" t="s">
        <v>38</v>
      </c>
      <c r="D1377" s="2">
        <v>2627</v>
      </c>
      <c r="E1377" s="2">
        <v>40375</v>
      </c>
      <c r="F1377" s="4">
        <v>17889</v>
      </c>
    </row>
    <row r="1378" spans="1:6" x14ac:dyDescent="0.3">
      <c r="A1378" s="3">
        <v>2018</v>
      </c>
      <c r="B1378" s="1" t="s">
        <v>62</v>
      </c>
      <c r="C1378" s="1" t="s">
        <v>39</v>
      </c>
      <c r="D1378" s="2">
        <v>28523</v>
      </c>
      <c r="E1378" s="2">
        <v>566681</v>
      </c>
      <c r="F1378" s="4">
        <v>19459</v>
      </c>
    </row>
    <row r="1379" spans="1:6" x14ac:dyDescent="0.3">
      <c r="A1379" s="3">
        <v>2018</v>
      </c>
      <c r="B1379" s="1" t="s">
        <v>62</v>
      </c>
      <c r="C1379" s="1" t="s">
        <v>40</v>
      </c>
      <c r="D1379" s="2">
        <v>9140</v>
      </c>
      <c r="E1379" s="2">
        <v>171567</v>
      </c>
      <c r="F1379" s="4">
        <v>18204</v>
      </c>
    </row>
    <row r="1380" spans="1:6" x14ac:dyDescent="0.3">
      <c r="A1380" s="3">
        <v>2018</v>
      </c>
      <c r="B1380" s="1" t="s">
        <v>62</v>
      </c>
      <c r="C1380" s="1" t="s">
        <v>41</v>
      </c>
      <c r="D1380" s="2">
        <v>13794</v>
      </c>
      <c r="E1380" s="2">
        <v>210781</v>
      </c>
      <c r="F1380" s="4">
        <v>22754</v>
      </c>
    </row>
    <row r="1381" spans="1:6" x14ac:dyDescent="0.3">
      <c r="A1381" s="3">
        <v>2018</v>
      </c>
      <c r="B1381" s="1" t="s">
        <v>62</v>
      </c>
      <c r="C1381" s="1" t="s">
        <v>42</v>
      </c>
      <c r="D1381" s="2">
        <v>33471</v>
      </c>
      <c r="E1381" s="2">
        <v>571799</v>
      </c>
      <c r="F1381" s="4">
        <v>21102</v>
      </c>
    </row>
    <row r="1382" spans="1:6" x14ac:dyDescent="0.3">
      <c r="A1382" s="3">
        <v>2018</v>
      </c>
      <c r="B1382" s="1" t="s">
        <v>62</v>
      </c>
      <c r="C1382" s="1" t="s">
        <v>43</v>
      </c>
      <c r="D1382" s="2">
        <v>3748</v>
      </c>
      <c r="E1382" s="2">
        <v>59154</v>
      </c>
      <c r="F1382" s="4">
        <v>22818</v>
      </c>
    </row>
    <row r="1383" spans="1:6" x14ac:dyDescent="0.3">
      <c r="A1383" s="3">
        <v>2018</v>
      </c>
      <c r="B1383" s="1" t="s">
        <v>62</v>
      </c>
      <c r="C1383" s="1" t="s">
        <v>44</v>
      </c>
      <c r="D1383" s="2">
        <v>12841</v>
      </c>
      <c r="E1383" s="2">
        <v>263743</v>
      </c>
      <c r="F1383" s="4">
        <v>17991</v>
      </c>
    </row>
    <row r="1384" spans="1:6" x14ac:dyDescent="0.3">
      <c r="A1384" s="3">
        <v>2018</v>
      </c>
      <c r="B1384" s="1" t="s">
        <v>62</v>
      </c>
      <c r="C1384" s="1" t="s">
        <v>45</v>
      </c>
      <c r="D1384" s="2">
        <v>3149</v>
      </c>
      <c r="E1384" s="2">
        <v>47321</v>
      </c>
      <c r="F1384" s="4">
        <v>16954</v>
      </c>
    </row>
    <row r="1385" spans="1:6" x14ac:dyDescent="0.3">
      <c r="A1385" s="3">
        <v>2018</v>
      </c>
      <c r="B1385" s="1" t="s">
        <v>62</v>
      </c>
      <c r="C1385" s="1" t="s">
        <v>46</v>
      </c>
      <c r="D1385" s="2">
        <v>16427</v>
      </c>
      <c r="E1385" s="2">
        <v>337857</v>
      </c>
      <c r="F1385" s="4">
        <v>23524</v>
      </c>
    </row>
    <row r="1386" spans="1:6" x14ac:dyDescent="0.3">
      <c r="A1386" s="3">
        <v>2018</v>
      </c>
      <c r="B1386" s="1" t="s">
        <v>62</v>
      </c>
      <c r="C1386" s="1" t="s">
        <v>47</v>
      </c>
      <c r="D1386" s="2">
        <v>62760</v>
      </c>
      <c r="E1386" s="2">
        <v>1354468</v>
      </c>
      <c r="F1386" s="4">
        <v>21861</v>
      </c>
    </row>
    <row r="1387" spans="1:6" x14ac:dyDescent="0.3">
      <c r="A1387" s="3">
        <v>2018</v>
      </c>
      <c r="B1387" s="1" t="s">
        <v>62</v>
      </c>
      <c r="C1387" s="1" t="s">
        <v>48</v>
      </c>
      <c r="D1387" s="2">
        <v>7374</v>
      </c>
      <c r="E1387" s="2">
        <v>148446</v>
      </c>
      <c r="F1387" s="4">
        <v>20121</v>
      </c>
    </row>
    <row r="1388" spans="1:6" x14ac:dyDescent="0.3">
      <c r="A1388" s="3">
        <v>2018</v>
      </c>
      <c r="B1388" s="1" t="s">
        <v>62</v>
      </c>
      <c r="C1388" s="1" t="s">
        <v>49</v>
      </c>
      <c r="D1388" s="2">
        <v>2279</v>
      </c>
      <c r="E1388" s="2">
        <v>37198</v>
      </c>
      <c r="F1388" s="4">
        <v>23107</v>
      </c>
    </row>
    <row r="1389" spans="1:6" x14ac:dyDescent="0.3">
      <c r="A1389" s="3">
        <v>2018</v>
      </c>
      <c r="B1389" s="1" t="s">
        <v>62</v>
      </c>
      <c r="C1389" s="1" t="s">
        <v>50</v>
      </c>
      <c r="D1389" s="2">
        <v>20479</v>
      </c>
      <c r="E1389" s="2">
        <v>406321</v>
      </c>
      <c r="F1389" s="4">
        <v>20678</v>
      </c>
    </row>
    <row r="1390" spans="1:6" x14ac:dyDescent="0.3">
      <c r="A1390" s="3">
        <v>2018</v>
      </c>
      <c r="B1390" s="1" t="s">
        <v>62</v>
      </c>
      <c r="C1390" s="1" t="s">
        <v>51</v>
      </c>
      <c r="D1390" s="2">
        <v>20431</v>
      </c>
      <c r="E1390" s="2">
        <v>335635</v>
      </c>
      <c r="F1390" s="4">
        <v>25357</v>
      </c>
    </row>
    <row r="1391" spans="1:6" x14ac:dyDescent="0.3">
      <c r="A1391" s="3">
        <v>2018</v>
      </c>
      <c r="B1391" s="1" t="s">
        <v>62</v>
      </c>
      <c r="C1391" s="1" t="s">
        <v>52</v>
      </c>
      <c r="D1391" s="2">
        <v>4722</v>
      </c>
      <c r="E1391" s="2">
        <v>74133</v>
      </c>
      <c r="F1391" s="4">
        <v>17916</v>
      </c>
    </row>
    <row r="1392" spans="1:6" x14ac:dyDescent="0.3">
      <c r="A1392" s="3">
        <v>2018</v>
      </c>
      <c r="B1392" s="1" t="s">
        <v>62</v>
      </c>
      <c r="C1392" s="1" t="s">
        <v>53</v>
      </c>
      <c r="D1392" s="2">
        <v>16931</v>
      </c>
      <c r="E1392" s="2">
        <v>282313</v>
      </c>
      <c r="F1392" s="4">
        <v>18305</v>
      </c>
    </row>
    <row r="1393" spans="1:6" x14ac:dyDescent="0.3">
      <c r="A1393" s="3">
        <v>2018</v>
      </c>
      <c r="B1393" s="1" t="s">
        <v>62</v>
      </c>
      <c r="C1393" s="1" t="s">
        <v>54</v>
      </c>
      <c r="D1393" s="2">
        <v>2383</v>
      </c>
      <c r="E1393" s="2">
        <v>36403</v>
      </c>
      <c r="F1393" s="4">
        <v>21270</v>
      </c>
    </row>
    <row r="1394" spans="1:6" x14ac:dyDescent="0.3">
      <c r="A1394" s="3">
        <v>2018</v>
      </c>
      <c r="B1394" s="1" t="s">
        <v>63</v>
      </c>
      <c r="C1394" s="1" t="s">
        <v>7</v>
      </c>
      <c r="D1394" s="2">
        <v>10102</v>
      </c>
      <c r="E1394" s="2">
        <v>46094</v>
      </c>
      <c r="F1394" s="4">
        <v>37839</v>
      </c>
    </row>
    <row r="1395" spans="1:6" x14ac:dyDescent="0.3">
      <c r="A1395" s="3">
        <v>2018</v>
      </c>
      <c r="B1395" s="1" t="s">
        <v>63</v>
      </c>
      <c r="C1395" s="1" t="s">
        <v>8</v>
      </c>
      <c r="D1395" s="2">
        <v>11119</v>
      </c>
      <c r="E1395" s="2">
        <v>75319</v>
      </c>
      <c r="F1395" s="4">
        <v>37697</v>
      </c>
    </row>
    <row r="1396" spans="1:6" x14ac:dyDescent="0.3">
      <c r="A1396" s="3">
        <v>2018</v>
      </c>
      <c r="B1396" s="1" t="s">
        <v>63</v>
      </c>
      <c r="C1396" s="1" t="s">
        <v>9</v>
      </c>
      <c r="D1396" s="2">
        <v>5345</v>
      </c>
      <c r="E1396" s="2">
        <v>24966</v>
      </c>
      <c r="F1396" s="4">
        <v>34843</v>
      </c>
    </row>
    <row r="1397" spans="1:6" x14ac:dyDescent="0.3">
      <c r="A1397" s="3">
        <v>2018</v>
      </c>
      <c r="B1397" s="1" t="s">
        <v>63</v>
      </c>
      <c r="C1397" s="1" t="s">
        <v>10</v>
      </c>
      <c r="D1397" s="2">
        <v>95398</v>
      </c>
      <c r="E1397" s="2">
        <v>541832</v>
      </c>
      <c r="F1397" s="4">
        <v>40668</v>
      </c>
    </row>
    <row r="1398" spans="1:6" x14ac:dyDescent="0.3">
      <c r="A1398" s="3">
        <v>2018</v>
      </c>
      <c r="B1398" s="1" t="s">
        <v>63</v>
      </c>
      <c r="C1398" s="1" t="s">
        <v>11</v>
      </c>
      <c r="D1398" s="2">
        <v>16405</v>
      </c>
      <c r="E1398" s="2">
        <v>82040</v>
      </c>
      <c r="F1398" s="4">
        <v>40987</v>
      </c>
    </row>
    <row r="1399" spans="1:6" x14ac:dyDescent="0.3">
      <c r="A1399" s="3">
        <v>2018</v>
      </c>
      <c r="B1399" s="1" t="s">
        <v>63</v>
      </c>
      <c r="C1399" s="1" t="s">
        <v>12</v>
      </c>
      <c r="D1399" s="2">
        <v>17517</v>
      </c>
      <c r="E1399" s="2">
        <v>66913</v>
      </c>
      <c r="F1399" s="4">
        <v>33615</v>
      </c>
    </row>
    <row r="1400" spans="1:6" x14ac:dyDescent="0.3">
      <c r="A1400" s="3">
        <v>2018</v>
      </c>
      <c r="B1400" s="1" t="s">
        <v>63</v>
      </c>
      <c r="C1400" s="1" t="s">
        <v>13</v>
      </c>
      <c r="D1400" s="2">
        <v>2054</v>
      </c>
      <c r="E1400" s="2">
        <v>11930</v>
      </c>
      <c r="F1400" s="4">
        <v>34259</v>
      </c>
    </row>
    <row r="1401" spans="1:6" x14ac:dyDescent="0.3">
      <c r="A1401" s="3">
        <v>2018</v>
      </c>
      <c r="B1401" s="1" t="s">
        <v>63</v>
      </c>
      <c r="C1401" s="1" t="s">
        <v>14</v>
      </c>
      <c r="D1401" s="2">
        <v>55687</v>
      </c>
      <c r="E1401" s="2">
        <v>279269</v>
      </c>
      <c r="F1401" s="4">
        <v>36402</v>
      </c>
    </row>
    <row r="1402" spans="1:6" x14ac:dyDescent="0.3">
      <c r="A1402" s="3">
        <v>2018</v>
      </c>
      <c r="B1402" s="1" t="s">
        <v>63</v>
      </c>
      <c r="C1402" s="1" t="s">
        <v>15</v>
      </c>
      <c r="D1402" s="2">
        <v>17999</v>
      </c>
      <c r="E1402" s="2">
        <v>108656</v>
      </c>
      <c r="F1402" s="4">
        <v>36377</v>
      </c>
    </row>
    <row r="1403" spans="1:6" x14ac:dyDescent="0.3">
      <c r="A1403" s="3">
        <v>2018</v>
      </c>
      <c r="B1403" s="1" t="s">
        <v>63</v>
      </c>
      <c r="C1403" s="1" t="s">
        <v>16</v>
      </c>
      <c r="D1403" s="2">
        <v>3985</v>
      </c>
      <c r="E1403" s="2">
        <v>18622</v>
      </c>
      <c r="F1403" s="4">
        <v>31284</v>
      </c>
    </row>
    <row r="1404" spans="1:6" x14ac:dyDescent="0.3">
      <c r="A1404" s="3">
        <v>2018</v>
      </c>
      <c r="B1404" s="1" t="s">
        <v>63</v>
      </c>
      <c r="C1404" s="1" t="s">
        <v>17</v>
      </c>
      <c r="D1404" s="2">
        <v>39449</v>
      </c>
      <c r="E1404" s="2">
        <v>208655</v>
      </c>
      <c r="F1404" s="4">
        <v>42392</v>
      </c>
    </row>
    <row r="1405" spans="1:6" x14ac:dyDescent="0.3">
      <c r="A1405" s="3">
        <v>2018</v>
      </c>
      <c r="B1405" s="1" t="s">
        <v>63</v>
      </c>
      <c r="C1405" s="1" t="s">
        <v>18</v>
      </c>
      <c r="D1405" s="2">
        <v>13122</v>
      </c>
      <c r="E1405" s="2">
        <v>87997</v>
      </c>
      <c r="F1405" s="4">
        <v>32900</v>
      </c>
    </row>
    <row r="1406" spans="1:6" x14ac:dyDescent="0.3">
      <c r="A1406" s="3">
        <v>2018</v>
      </c>
      <c r="B1406" s="1" t="s">
        <v>63</v>
      </c>
      <c r="C1406" s="1" t="s">
        <v>19</v>
      </c>
      <c r="D1406" s="2">
        <v>8669</v>
      </c>
      <c r="E1406" s="2">
        <v>42339</v>
      </c>
      <c r="F1406" s="4">
        <v>34313</v>
      </c>
    </row>
    <row r="1407" spans="1:6" x14ac:dyDescent="0.3">
      <c r="A1407" s="3">
        <v>2018</v>
      </c>
      <c r="B1407" s="1" t="s">
        <v>63</v>
      </c>
      <c r="C1407" s="1" t="s">
        <v>20</v>
      </c>
      <c r="D1407" s="2">
        <v>5983</v>
      </c>
      <c r="E1407" s="2">
        <v>33757</v>
      </c>
      <c r="F1407" s="4">
        <v>34478</v>
      </c>
    </row>
    <row r="1408" spans="1:6" x14ac:dyDescent="0.3">
      <c r="A1408" s="3">
        <v>2018</v>
      </c>
      <c r="B1408" s="1" t="s">
        <v>63</v>
      </c>
      <c r="C1408" s="1" t="s">
        <v>21</v>
      </c>
      <c r="D1408" s="2">
        <v>10697</v>
      </c>
      <c r="E1408" s="2">
        <v>46476</v>
      </c>
      <c r="F1408" s="4">
        <v>33616</v>
      </c>
    </row>
    <row r="1409" spans="1:6" x14ac:dyDescent="0.3">
      <c r="A1409" s="3">
        <v>2018</v>
      </c>
      <c r="B1409" s="1" t="s">
        <v>63</v>
      </c>
      <c r="C1409" s="1" t="s">
        <v>22</v>
      </c>
      <c r="D1409" s="2">
        <v>9230</v>
      </c>
      <c r="E1409" s="2">
        <v>45904</v>
      </c>
      <c r="F1409" s="4">
        <v>37854</v>
      </c>
    </row>
    <row r="1410" spans="1:6" x14ac:dyDescent="0.3">
      <c r="A1410" s="3">
        <v>2018</v>
      </c>
      <c r="B1410" s="1" t="s">
        <v>63</v>
      </c>
      <c r="C1410" s="1" t="s">
        <v>23</v>
      </c>
      <c r="D1410" s="2">
        <v>3832</v>
      </c>
      <c r="E1410" s="2">
        <v>18021</v>
      </c>
      <c r="F1410" s="4">
        <v>33967</v>
      </c>
    </row>
    <row r="1411" spans="1:6" x14ac:dyDescent="0.3">
      <c r="A1411" s="3">
        <v>2018</v>
      </c>
      <c r="B1411" s="1" t="s">
        <v>63</v>
      </c>
      <c r="C1411" s="1" t="s">
        <v>24</v>
      </c>
      <c r="D1411" s="2">
        <v>19354</v>
      </c>
      <c r="E1411" s="2">
        <v>91803</v>
      </c>
      <c r="F1411" s="4">
        <v>43222</v>
      </c>
    </row>
    <row r="1412" spans="1:6" x14ac:dyDescent="0.3">
      <c r="A1412" s="3">
        <v>2018</v>
      </c>
      <c r="B1412" s="1" t="s">
        <v>63</v>
      </c>
      <c r="C1412" s="1" t="s">
        <v>25</v>
      </c>
      <c r="D1412" s="2">
        <v>21621</v>
      </c>
      <c r="E1412" s="2">
        <v>119963</v>
      </c>
      <c r="F1412" s="4">
        <v>38569</v>
      </c>
    </row>
    <row r="1413" spans="1:6" x14ac:dyDescent="0.3">
      <c r="A1413" s="3">
        <v>2018</v>
      </c>
      <c r="B1413" s="1" t="s">
        <v>63</v>
      </c>
      <c r="C1413" s="1" t="s">
        <v>26</v>
      </c>
      <c r="D1413" s="2">
        <v>31024</v>
      </c>
      <c r="E1413" s="2">
        <v>139968</v>
      </c>
      <c r="F1413" s="4">
        <v>33275</v>
      </c>
    </row>
    <row r="1414" spans="1:6" x14ac:dyDescent="0.3">
      <c r="A1414" s="3">
        <v>2018</v>
      </c>
      <c r="B1414" s="1" t="s">
        <v>63</v>
      </c>
      <c r="C1414" s="1" t="s">
        <v>27</v>
      </c>
      <c r="D1414" s="2">
        <v>17099</v>
      </c>
      <c r="E1414" s="2">
        <v>90096</v>
      </c>
      <c r="F1414" s="4">
        <v>34221</v>
      </c>
    </row>
    <row r="1415" spans="1:6" x14ac:dyDescent="0.3">
      <c r="A1415" s="3">
        <v>2018</v>
      </c>
      <c r="B1415" s="1" t="s">
        <v>63</v>
      </c>
      <c r="C1415" s="1" t="s">
        <v>28</v>
      </c>
      <c r="D1415" s="2">
        <v>4645</v>
      </c>
      <c r="E1415" s="2">
        <v>21202</v>
      </c>
      <c r="F1415" s="4">
        <v>34491</v>
      </c>
    </row>
    <row r="1416" spans="1:6" x14ac:dyDescent="0.3">
      <c r="A1416" s="3">
        <v>2018</v>
      </c>
      <c r="B1416" s="1" t="s">
        <v>63</v>
      </c>
      <c r="C1416" s="1" t="s">
        <v>29</v>
      </c>
      <c r="D1416" s="2">
        <v>12996</v>
      </c>
      <c r="E1416" s="2">
        <v>75350</v>
      </c>
      <c r="F1416" s="4">
        <v>34075</v>
      </c>
    </row>
    <row r="1417" spans="1:6" x14ac:dyDescent="0.3">
      <c r="A1417" s="3">
        <v>2018</v>
      </c>
      <c r="B1417" s="1" t="s">
        <v>63</v>
      </c>
      <c r="C1417" s="1" t="s">
        <v>30</v>
      </c>
      <c r="D1417" s="2">
        <v>4285</v>
      </c>
      <c r="E1417" s="2">
        <v>18301</v>
      </c>
      <c r="F1417" s="4">
        <v>30293</v>
      </c>
    </row>
    <row r="1418" spans="1:6" x14ac:dyDescent="0.3">
      <c r="A1418" s="3">
        <v>2018</v>
      </c>
      <c r="B1418" s="1" t="s">
        <v>63</v>
      </c>
      <c r="C1418" s="1" t="s">
        <v>31</v>
      </c>
      <c r="D1418" s="2">
        <v>4614</v>
      </c>
      <c r="E1418" s="2">
        <v>25333</v>
      </c>
      <c r="F1418" s="4">
        <v>32212</v>
      </c>
    </row>
    <row r="1419" spans="1:6" x14ac:dyDescent="0.3">
      <c r="A1419" s="3">
        <v>2018</v>
      </c>
      <c r="B1419" s="1" t="s">
        <v>63</v>
      </c>
      <c r="C1419" s="1" t="s">
        <v>32</v>
      </c>
      <c r="D1419" s="2">
        <v>5080</v>
      </c>
      <c r="E1419" s="2">
        <v>34964</v>
      </c>
      <c r="F1419" s="4">
        <v>37484</v>
      </c>
    </row>
    <row r="1420" spans="1:6" x14ac:dyDescent="0.3">
      <c r="A1420" s="3">
        <v>2018</v>
      </c>
      <c r="B1420" s="1" t="s">
        <v>63</v>
      </c>
      <c r="C1420" s="1" t="s">
        <v>33</v>
      </c>
      <c r="D1420" s="2">
        <v>3934</v>
      </c>
      <c r="E1420" s="2">
        <v>20991</v>
      </c>
      <c r="F1420" s="4">
        <v>37927</v>
      </c>
    </row>
    <row r="1421" spans="1:6" x14ac:dyDescent="0.3">
      <c r="A1421" s="3">
        <v>2018</v>
      </c>
      <c r="B1421" s="1" t="s">
        <v>63</v>
      </c>
      <c r="C1421" s="1" t="s">
        <v>34</v>
      </c>
      <c r="D1421" s="2">
        <v>24105</v>
      </c>
      <c r="E1421" s="2">
        <v>135824</v>
      </c>
      <c r="F1421" s="4">
        <v>36518</v>
      </c>
    </row>
    <row r="1422" spans="1:6" x14ac:dyDescent="0.3">
      <c r="A1422" s="3">
        <v>2018</v>
      </c>
      <c r="B1422" s="1" t="s">
        <v>63</v>
      </c>
      <c r="C1422" s="1" t="s">
        <v>35</v>
      </c>
      <c r="D1422" s="2">
        <v>4073</v>
      </c>
      <c r="E1422" s="2">
        <v>20964</v>
      </c>
      <c r="F1422" s="4">
        <v>34365</v>
      </c>
    </row>
    <row r="1423" spans="1:6" x14ac:dyDescent="0.3">
      <c r="A1423" s="3">
        <v>2018</v>
      </c>
      <c r="B1423" s="1" t="s">
        <v>63</v>
      </c>
      <c r="C1423" s="1" t="s">
        <v>36</v>
      </c>
      <c r="D1423" s="2">
        <v>73275</v>
      </c>
      <c r="E1423" s="2">
        <v>370268</v>
      </c>
      <c r="F1423" s="4">
        <v>41910</v>
      </c>
    </row>
    <row r="1424" spans="1:6" x14ac:dyDescent="0.3">
      <c r="A1424" s="3">
        <v>2018</v>
      </c>
      <c r="B1424" s="1" t="s">
        <v>63</v>
      </c>
      <c r="C1424" s="1" t="s">
        <v>37</v>
      </c>
      <c r="D1424" s="2">
        <v>23444</v>
      </c>
      <c r="E1424" s="2">
        <v>109986</v>
      </c>
      <c r="F1424" s="4">
        <v>35102</v>
      </c>
    </row>
    <row r="1425" spans="1:6" x14ac:dyDescent="0.3">
      <c r="A1425" s="3">
        <v>2018</v>
      </c>
      <c r="B1425" s="1" t="s">
        <v>63</v>
      </c>
      <c r="C1425" s="1" t="s">
        <v>38</v>
      </c>
      <c r="D1425" s="2">
        <v>2051</v>
      </c>
      <c r="E1425" s="2">
        <v>11307</v>
      </c>
      <c r="F1425" s="4">
        <v>37216</v>
      </c>
    </row>
    <row r="1426" spans="1:6" x14ac:dyDescent="0.3">
      <c r="A1426" s="3">
        <v>2018</v>
      </c>
      <c r="B1426" s="1" t="s">
        <v>63</v>
      </c>
      <c r="C1426" s="1" t="s">
        <v>39</v>
      </c>
      <c r="D1426" s="2">
        <v>23542</v>
      </c>
      <c r="E1426" s="2">
        <v>156685</v>
      </c>
      <c r="F1426" s="4">
        <v>34001</v>
      </c>
    </row>
    <row r="1427" spans="1:6" x14ac:dyDescent="0.3">
      <c r="A1427" s="3">
        <v>2018</v>
      </c>
      <c r="B1427" s="1" t="s">
        <v>63</v>
      </c>
      <c r="C1427" s="1" t="s">
        <v>40</v>
      </c>
      <c r="D1427" s="2">
        <v>6640</v>
      </c>
      <c r="E1427" s="2">
        <v>36417</v>
      </c>
      <c r="F1427" s="4">
        <v>35221</v>
      </c>
    </row>
    <row r="1428" spans="1:6" x14ac:dyDescent="0.3">
      <c r="A1428" s="3">
        <v>2018</v>
      </c>
      <c r="B1428" s="1" t="s">
        <v>63</v>
      </c>
      <c r="C1428" s="1" t="s">
        <v>41</v>
      </c>
      <c r="D1428" s="2">
        <v>24302</v>
      </c>
      <c r="E1428" s="2">
        <v>77296</v>
      </c>
      <c r="F1428" s="4">
        <v>34031</v>
      </c>
    </row>
    <row r="1429" spans="1:6" x14ac:dyDescent="0.3">
      <c r="A1429" s="3">
        <v>2018</v>
      </c>
      <c r="B1429" s="1" t="s">
        <v>63</v>
      </c>
      <c r="C1429" s="1" t="s">
        <v>42</v>
      </c>
      <c r="D1429" s="2">
        <v>32530</v>
      </c>
      <c r="E1429" s="2">
        <v>199883</v>
      </c>
      <c r="F1429" s="4">
        <v>33988</v>
      </c>
    </row>
    <row r="1430" spans="1:6" x14ac:dyDescent="0.3">
      <c r="A1430" s="3">
        <v>2018</v>
      </c>
      <c r="B1430" s="1" t="s">
        <v>63</v>
      </c>
      <c r="C1430" s="1" t="s">
        <v>43</v>
      </c>
      <c r="D1430" s="2">
        <v>3459</v>
      </c>
      <c r="E1430" s="2">
        <v>17990</v>
      </c>
      <c r="F1430" s="4">
        <v>33322</v>
      </c>
    </row>
    <row r="1431" spans="1:6" x14ac:dyDescent="0.3">
      <c r="A1431" s="3">
        <v>2018</v>
      </c>
      <c r="B1431" s="1" t="s">
        <v>63</v>
      </c>
      <c r="C1431" s="1" t="s">
        <v>44</v>
      </c>
      <c r="D1431" s="2">
        <v>11329</v>
      </c>
      <c r="E1431" s="2">
        <v>53632</v>
      </c>
      <c r="F1431" s="4">
        <v>32985</v>
      </c>
    </row>
    <row r="1432" spans="1:6" x14ac:dyDescent="0.3">
      <c r="A1432" s="3">
        <v>2018</v>
      </c>
      <c r="B1432" s="1" t="s">
        <v>63</v>
      </c>
      <c r="C1432" s="1" t="s">
        <v>45</v>
      </c>
      <c r="D1432" s="2">
        <v>2201</v>
      </c>
      <c r="E1432" s="2">
        <v>11149</v>
      </c>
      <c r="F1432" s="4">
        <v>32874</v>
      </c>
    </row>
    <row r="1433" spans="1:6" x14ac:dyDescent="0.3">
      <c r="A1433" s="3">
        <v>2018</v>
      </c>
      <c r="B1433" s="1" t="s">
        <v>63</v>
      </c>
      <c r="C1433" s="1" t="s">
        <v>46</v>
      </c>
      <c r="D1433" s="2">
        <v>15494</v>
      </c>
      <c r="E1433" s="2">
        <v>78706</v>
      </c>
      <c r="F1433" s="4">
        <v>35137</v>
      </c>
    </row>
    <row r="1434" spans="1:6" x14ac:dyDescent="0.3">
      <c r="A1434" s="3">
        <v>2018</v>
      </c>
      <c r="B1434" s="1" t="s">
        <v>63</v>
      </c>
      <c r="C1434" s="1" t="s">
        <v>47</v>
      </c>
      <c r="D1434" s="2">
        <v>56598</v>
      </c>
      <c r="E1434" s="2">
        <v>334126</v>
      </c>
      <c r="F1434" s="4">
        <v>39429</v>
      </c>
    </row>
    <row r="1435" spans="1:6" x14ac:dyDescent="0.3">
      <c r="A1435" s="3">
        <v>2018</v>
      </c>
      <c r="B1435" s="1" t="s">
        <v>63</v>
      </c>
      <c r="C1435" s="1" t="s">
        <v>48</v>
      </c>
      <c r="D1435" s="2">
        <v>6320</v>
      </c>
      <c r="E1435" s="2">
        <v>36120</v>
      </c>
      <c r="F1435" s="4">
        <v>35627</v>
      </c>
    </row>
    <row r="1436" spans="1:6" x14ac:dyDescent="0.3">
      <c r="A1436" s="3">
        <v>2018</v>
      </c>
      <c r="B1436" s="1" t="s">
        <v>63</v>
      </c>
      <c r="C1436" s="1" t="s">
        <v>49</v>
      </c>
      <c r="D1436" s="2">
        <v>1954</v>
      </c>
      <c r="E1436" s="2">
        <v>8748</v>
      </c>
      <c r="F1436" s="4">
        <v>36288</v>
      </c>
    </row>
    <row r="1437" spans="1:6" x14ac:dyDescent="0.3">
      <c r="A1437" s="3">
        <v>2018</v>
      </c>
      <c r="B1437" s="1" t="s">
        <v>63</v>
      </c>
      <c r="C1437" s="1" t="s">
        <v>50</v>
      </c>
      <c r="D1437" s="2">
        <v>36204</v>
      </c>
      <c r="E1437" s="2">
        <v>145640</v>
      </c>
      <c r="F1437" s="4">
        <v>42804</v>
      </c>
    </row>
    <row r="1438" spans="1:6" x14ac:dyDescent="0.3">
      <c r="A1438" s="3">
        <v>2018</v>
      </c>
      <c r="B1438" s="1" t="s">
        <v>63</v>
      </c>
      <c r="C1438" s="1" t="s">
        <v>51</v>
      </c>
      <c r="D1438" s="2">
        <v>19893</v>
      </c>
      <c r="E1438" s="2">
        <v>99054</v>
      </c>
      <c r="F1438" s="4">
        <v>40310</v>
      </c>
    </row>
    <row r="1439" spans="1:6" x14ac:dyDescent="0.3">
      <c r="A1439" s="3">
        <v>2018</v>
      </c>
      <c r="B1439" s="1" t="s">
        <v>63</v>
      </c>
      <c r="C1439" s="1" t="s">
        <v>52</v>
      </c>
      <c r="D1439" s="2">
        <v>5536</v>
      </c>
      <c r="E1439" s="2">
        <v>19873</v>
      </c>
      <c r="F1439" s="4">
        <v>31425</v>
      </c>
    </row>
    <row r="1440" spans="1:6" x14ac:dyDescent="0.3">
      <c r="A1440" s="3">
        <v>2018</v>
      </c>
      <c r="B1440" s="1" t="s">
        <v>63</v>
      </c>
      <c r="C1440" s="1" t="s">
        <v>53</v>
      </c>
      <c r="D1440" s="2">
        <v>14009</v>
      </c>
      <c r="E1440" s="2">
        <v>84183</v>
      </c>
      <c r="F1440" s="4">
        <v>30593</v>
      </c>
    </row>
    <row r="1441" spans="1:6" x14ac:dyDescent="0.3">
      <c r="A1441" s="3">
        <v>2018</v>
      </c>
      <c r="B1441" s="1" t="s">
        <v>63</v>
      </c>
      <c r="C1441" s="1" t="s">
        <v>54</v>
      </c>
      <c r="D1441" s="2">
        <v>1664</v>
      </c>
      <c r="E1441" s="2">
        <v>7261</v>
      </c>
      <c r="F1441" s="4">
        <v>37155</v>
      </c>
    </row>
    <row r="1442" spans="1:6" x14ac:dyDescent="0.3">
      <c r="A1442" s="3">
        <v>2017</v>
      </c>
      <c r="B1442" s="1" t="s">
        <v>6</v>
      </c>
      <c r="C1442" s="1" t="s">
        <v>7</v>
      </c>
      <c r="D1442" s="2">
        <v>1815</v>
      </c>
      <c r="E1442" s="2">
        <v>17999</v>
      </c>
      <c r="F1442" s="4">
        <v>52748</v>
      </c>
    </row>
    <row r="1443" spans="1:6" x14ac:dyDescent="0.3">
      <c r="A1443" s="3">
        <v>2017</v>
      </c>
      <c r="B1443" s="1" t="s">
        <v>6</v>
      </c>
      <c r="C1443" s="1" t="s">
        <v>8</v>
      </c>
      <c r="D1443" s="2">
        <v>1257</v>
      </c>
      <c r="E1443" s="2">
        <v>37216</v>
      </c>
      <c r="F1443" s="4">
        <v>47116</v>
      </c>
    </row>
    <row r="1444" spans="1:6" x14ac:dyDescent="0.3">
      <c r="A1444" s="3">
        <v>2017</v>
      </c>
      <c r="B1444" s="1" t="s">
        <v>6</v>
      </c>
      <c r="C1444" s="1" t="s">
        <v>9</v>
      </c>
      <c r="D1444" s="2">
        <v>2551</v>
      </c>
      <c r="E1444" s="2">
        <v>16476</v>
      </c>
      <c r="F1444" s="4">
        <v>46191</v>
      </c>
    </row>
    <row r="1445" spans="1:6" x14ac:dyDescent="0.3">
      <c r="A1445" s="3">
        <v>2017</v>
      </c>
      <c r="B1445" s="1" t="s">
        <v>6</v>
      </c>
      <c r="C1445" s="1" t="s">
        <v>10</v>
      </c>
      <c r="D1445" s="2">
        <v>17021</v>
      </c>
      <c r="E1445" s="2">
        <v>441460</v>
      </c>
      <c r="F1445" s="4">
        <v>37249</v>
      </c>
    </row>
    <row r="1446" spans="1:6" x14ac:dyDescent="0.3">
      <c r="A1446" s="3">
        <v>2017</v>
      </c>
      <c r="B1446" s="1" t="s">
        <v>6</v>
      </c>
      <c r="C1446" s="1" t="s">
        <v>11</v>
      </c>
      <c r="D1446" s="2">
        <v>3202</v>
      </c>
      <c r="E1446" s="2">
        <v>43394</v>
      </c>
      <c r="F1446" s="4">
        <v>84161</v>
      </c>
    </row>
    <row r="1447" spans="1:6" x14ac:dyDescent="0.3">
      <c r="A1447" s="3">
        <v>2017</v>
      </c>
      <c r="B1447" s="1" t="s">
        <v>6</v>
      </c>
      <c r="C1447" s="1" t="s">
        <v>12</v>
      </c>
      <c r="D1447" s="1">
        <v>433</v>
      </c>
      <c r="E1447" s="2">
        <v>5305</v>
      </c>
      <c r="F1447" s="4">
        <v>40017</v>
      </c>
    </row>
    <row r="1448" spans="1:6" x14ac:dyDescent="0.3">
      <c r="A1448" s="3">
        <v>2017</v>
      </c>
      <c r="B1448" s="1" t="s">
        <v>6</v>
      </c>
      <c r="C1448" s="1" t="s">
        <v>13</v>
      </c>
      <c r="D1448" s="1">
        <v>177</v>
      </c>
      <c r="E1448" s="2">
        <v>1538</v>
      </c>
      <c r="F1448" s="4">
        <v>39651</v>
      </c>
    </row>
    <row r="1449" spans="1:6" x14ac:dyDescent="0.3">
      <c r="A1449" s="3">
        <v>2017</v>
      </c>
      <c r="B1449" s="1" t="s">
        <v>6</v>
      </c>
      <c r="C1449" s="1" t="s">
        <v>14</v>
      </c>
      <c r="D1449" s="2">
        <v>5285</v>
      </c>
      <c r="E1449" s="2">
        <v>75471</v>
      </c>
      <c r="F1449" s="4">
        <v>32773</v>
      </c>
    </row>
    <row r="1450" spans="1:6" x14ac:dyDescent="0.3">
      <c r="A1450" s="3">
        <v>2017</v>
      </c>
      <c r="B1450" s="1" t="s">
        <v>6</v>
      </c>
      <c r="C1450" s="1" t="s">
        <v>15</v>
      </c>
      <c r="D1450" s="2">
        <v>2594</v>
      </c>
      <c r="E1450" s="2">
        <v>29299</v>
      </c>
      <c r="F1450" s="4">
        <v>41048</v>
      </c>
    </row>
    <row r="1451" spans="1:6" x14ac:dyDescent="0.3">
      <c r="A1451" s="3">
        <v>2017</v>
      </c>
      <c r="B1451" s="1" t="s">
        <v>6</v>
      </c>
      <c r="C1451" s="1" t="s">
        <v>16</v>
      </c>
      <c r="D1451" s="2">
        <v>2448</v>
      </c>
      <c r="E1451" s="2">
        <v>26790</v>
      </c>
      <c r="F1451" s="4">
        <v>38417</v>
      </c>
    </row>
    <row r="1452" spans="1:6" x14ac:dyDescent="0.3">
      <c r="A1452" s="3">
        <v>2017</v>
      </c>
      <c r="B1452" s="1" t="s">
        <v>6</v>
      </c>
      <c r="C1452" s="1" t="s">
        <v>17</v>
      </c>
      <c r="D1452" s="2">
        <v>2730</v>
      </c>
      <c r="E1452" s="2">
        <v>26665</v>
      </c>
      <c r="F1452" s="4">
        <v>48549</v>
      </c>
    </row>
    <row r="1453" spans="1:6" x14ac:dyDescent="0.3">
      <c r="A1453" s="3">
        <v>2017</v>
      </c>
      <c r="B1453" s="1" t="s">
        <v>6</v>
      </c>
      <c r="C1453" s="1" t="s">
        <v>18</v>
      </c>
      <c r="D1453" s="2">
        <v>2183</v>
      </c>
      <c r="E1453" s="2">
        <v>21072</v>
      </c>
      <c r="F1453" s="4">
        <v>47269</v>
      </c>
    </row>
    <row r="1454" spans="1:6" x14ac:dyDescent="0.3">
      <c r="A1454" s="3">
        <v>2017</v>
      </c>
      <c r="B1454" s="1" t="s">
        <v>6</v>
      </c>
      <c r="C1454" s="1" t="s">
        <v>19</v>
      </c>
      <c r="D1454" s="2">
        <v>2766</v>
      </c>
      <c r="E1454" s="2">
        <v>22503</v>
      </c>
      <c r="F1454" s="4">
        <v>41388</v>
      </c>
    </row>
    <row r="1455" spans="1:6" x14ac:dyDescent="0.3">
      <c r="A1455" s="3">
        <v>2017</v>
      </c>
      <c r="B1455" s="1" t="s">
        <v>6</v>
      </c>
      <c r="C1455" s="1" t="s">
        <v>20</v>
      </c>
      <c r="D1455" s="2">
        <v>2686</v>
      </c>
      <c r="E1455" s="2">
        <v>19024</v>
      </c>
      <c r="F1455" s="4">
        <v>45105</v>
      </c>
    </row>
    <row r="1456" spans="1:6" x14ac:dyDescent="0.3">
      <c r="A1456" s="3">
        <v>2017</v>
      </c>
      <c r="B1456" s="1" t="s">
        <v>6</v>
      </c>
      <c r="C1456" s="1" t="s">
        <v>21</v>
      </c>
      <c r="D1456" s="2">
        <v>1584</v>
      </c>
      <c r="E1456" s="2">
        <v>18306</v>
      </c>
      <c r="F1456" s="4">
        <v>54943</v>
      </c>
    </row>
    <row r="1457" spans="1:6" x14ac:dyDescent="0.3">
      <c r="A1457" s="3">
        <v>2017</v>
      </c>
      <c r="B1457" s="1" t="s">
        <v>6</v>
      </c>
      <c r="C1457" s="1" t="s">
        <v>22</v>
      </c>
      <c r="D1457" s="2">
        <v>3082</v>
      </c>
      <c r="E1457" s="2">
        <v>42251</v>
      </c>
      <c r="F1457" s="4">
        <v>80128</v>
      </c>
    </row>
    <row r="1458" spans="1:6" x14ac:dyDescent="0.3">
      <c r="A1458" s="3">
        <v>2017</v>
      </c>
      <c r="B1458" s="1" t="s">
        <v>6</v>
      </c>
      <c r="C1458" s="1" t="s">
        <v>23</v>
      </c>
      <c r="D1458" s="2">
        <v>1370</v>
      </c>
      <c r="E1458" s="2">
        <v>6817</v>
      </c>
      <c r="F1458" s="4">
        <v>40118</v>
      </c>
    </row>
    <row r="1459" spans="1:6" x14ac:dyDescent="0.3">
      <c r="A1459" s="3">
        <v>2017</v>
      </c>
      <c r="B1459" s="1" t="s">
        <v>6</v>
      </c>
      <c r="C1459" s="1" t="s">
        <v>24</v>
      </c>
      <c r="D1459" s="1">
        <v>723</v>
      </c>
      <c r="E1459" s="2">
        <v>6432</v>
      </c>
      <c r="F1459" s="4">
        <v>42478</v>
      </c>
    </row>
    <row r="1460" spans="1:6" x14ac:dyDescent="0.3">
      <c r="A1460" s="3">
        <v>2017</v>
      </c>
      <c r="B1460" s="1" t="s">
        <v>6</v>
      </c>
      <c r="C1460" s="1" t="s">
        <v>25</v>
      </c>
      <c r="D1460" s="2">
        <v>1030</v>
      </c>
      <c r="E1460" s="2">
        <v>9290</v>
      </c>
      <c r="F1460" s="4">
        <v>61286</v>
      </c>
    </row>
    <row r="1461" spans="1:6" x14ac:dyDescent="0.3">
      <c r="A1461" s="3">
        <v>2017</v>
      </c>
      <c r="B1461" s="1" t="s">
        <v>6</v>
      </c>
      <c r="C1461" s="1" t="s">
        <v>26</v>
      </c>
      <c r="D1461" s="2">
        <v>3203</v>
      </c>
      <c r="E1461" s="2">
        <v>36801</v>
      </c>
      <c r="F1461" s="4">
        <v>38160</v>
      </c>
    </row>
    <row r="1462" spans="1:6" x14ac:dyDescent="0.3">
      <c r="A1462" s="3">
        <v>2017</v>
      </c>
      <c r="B1462" s="1" t="s">
        <v>6</v>
      </c>
      <c r="C1462" s="1" t="s">
        <v>27</v>
      </c>
      <c r="D1462" s="2">
        <v>2992</v>
      </c>
      <c r="E1462" s="2">
        <v>27804</v>
      </c>
      <c r="F1462" s="4">
        <v>47599</v>
      </c>
    </row>
    <row r="1463" spans="1:6" x14ac:dyDescent="0.3">
      <c r="A1463" s="3">
        <v>2017</v>
      </c>
      <c r="B1463" s="1" t="s">
        <v>6</v>
      </c>
      <c r="C1463" s="1" t="s">
        <v>28</v>
      </c>
      <c r="D1463" s="2">
        <v>2168</v>
      </c>
      <c r="E1463" s="2">
        <v>16360</v>
      </c>
      <c r="F1463" s="4">
        <v>45681</v>
      </c>
    </row>
    <row r="1464" spans="1:6" x14ac:dyDescent="0.3">
      <c r="A1464" s="3">
        <v>2017</v>
      </c>
      <c r="B1464" s="1" t="s">
        <v>6</v>
      </c>
      <c r="C1464" s="1" t="s">
        <v>29</v>
      </c>
      <c r="D1464" s="2">
        <v>1950</v>
      </c>
      <c r="E1464" s="2">
        <v>16365</v>
      </c>
      <c r="F1464" s="4">
        <v>42894</v>
      </c>
    </row>
    <row r="1465" spans="1:6" x14ac:dyDescent="0.3">
      <c r="A1465" s="3">
        <v>2017</v>
      </c>
      <c r="B1465" s="1" t="s">
        <v>6</v>
      </c>
      <c r="C1465" s="1" t="s">
        <v>30</v>
      </c>
      <c r="D1465" s="2">
        <v>1753</v>
      </c>
      <c r="E1465" s="2">
        <v>11976</v>
      </c>
      <c r="F1465" s="4">
        <v>64781</v>
      </c>
    </row>
    <row r="1466" spans="1:6" x14ac:dyDescent="0.3">
      <c r="A1466" s="3">
        <v>2017</v>
      </c>
      <c r="B1466" s="1" t="s">
        <v>6</v>
      </c>
      <c r="C1466" s="1" t="s">
        <v>31</v>
      </c>
      <c r="D1466" s="2">
        <v>2337</v>
      </c>
      <c r="E1466" s="2">
        <v>15500</v>
      </c>
      <c r="F1466" s="4">
        <v>39544</v>
      </c>
    </row>
    <row r="1467" spans="1:6" x14ac:dyDescent="0.3">
      <c r="A1467" s="3">
        <v>2017</v>
      </c>
      <c r="B1467" s="1" t="s">
        <v>6</v>
      </c>
      <c r="C1467" s="1" t="s">
        <v>32</v>
      </c>
      <c r="D1467" s="1">
        <v>612</v>
      </c>
      <c r="E1467" s="2">
        <v>17902</v>
      </c>
      <c r="F1467" s="4">
        <v>82999</v>
      </c>
    </row>
    <row r="1468" spans="1:6" x14ac:dyDescent="0.3">
      <c r="A1468" s="3">
        <v>2017</v>
      </c>
      <c r="B1468" s="1" t="s">
        <v>6</v>
      </c>
      <c r="C1468" s="1" t="s">
        <v>33</v>
      </c>
      <c r="D1468" s="1">
        <v>350</v>
      </c>
      <c r="E1468" s="2">
        <v>2556</v>
      </c>
      <c r="F1468" s="4">
        <v>41972</v>
      </c>
    </row>
    <row r="1469" spans="1:6" x14ac:dyDescent="0.3">
      <c r="A1469" s="3">
        <v>2017</v>
      </c>
      <c r="B1469" s="1" t="s">
        <v>6</v>
      </c>
      <c r="C1469" s="1" t="s">
        <v>34</v>
      </c>
      <c r="D1469" s="2">
        <v>1018</v>
      </c>
      <c r="E1469" s="2">
        <v>12853</v>
      </c>
      <c r="F1469" s="4">
        <v>37279</v>
      </c>
    </row>
    <row r="1470" spans="1:6" x14ac:dyDescent="0.3">
      <c r="A1470" s="3">
        <v>2017</v>
      </c>
      <c r="B1470" s="1" t="s">
        <v>6</v>
      </c>
      <c r="C1470" s="1" t="s">
        <v>35</v>
      </c>
      <c r="D1470" s="2">
        <v>1991</v>
      </c>
      <c r="E1470" s="2">
        <v>32275</v>
      </c>
      <c r="F1470" s="4">
        <v>59989</v>
      </c>
    </row>
    <row r="1471" spans="1:6" x14ac:dyDescent="0.3">
      <c r="A1471" s="3">
        <v>2017</v>
      </c>
      <c r="B1471" s="1" t="s">
        <v>6</v>
      </c>
      <c r="C1471" s="1" t="s">
        <v>36</v>
      </c>
      <c r="D1471" s="2">
        <v>3023</v>
      </c>
      <c r="E1471" s="2">
        <v>30834</v>
      </c>
      <c r="F1471" s="4">
        <v>39487</v>
      </c>
    </row>
    <row r="1472" spans="1:6" x14ac:dyDescent="0.3">
      <c r="A1472" s="3">
        <v>2017</v>
      </c>
      <c r="B1472" s="1" t="s">
        <v>6</v>
      </c>
      <c r="C1472" s="1" t="s">
        <v>37</v>
      </c>
      <c r="D1472" s="2">
        <v>3306</v>
      </c>
      <c r="E1472" s="2">
        <v>30981</v>
      </c>
      <c r="F1472" s="4">
        <v>37636</v>
      </c>
    </row>
    <row r="1473" spans="1:6" x14ac:dyDescent="0.3">
      <c r="A1473" s="3">
        <v>2017</v>
      </c>
      <c r="B1473" s="1" t="s">
        <v>6</v>
      </c>
      <c r="C1473" s="1" t="s">
        <v>38</v>
      </c>
      <c r="D1473" s="2">
        <v>1771</v>
      </c>
      <c r="E1473" s="2">
        <v>22394</v>
      </c>
      <c r="F1473" s="4">
        <v>89578</v>
      </c>
    </row>
    <row r="1474" spans="1:6" x14ac:dyDescent="0.3">
      <c r="A1474" s="3">
        <v>2017</v>
      </c>
      <c r="B1474" s="1" t="s">
        <v>6</v>
      </c>
      <c r="C1474" s="1" t="s">
        <v>39</v>
      </c>
      <c r="D1474" s="2">
        <v>2483</v>
      </c>
      <c r="E1474" s="2">
        <v>27504</v>
      </c>
      <c r="F1474" s="4">
        <v>48849</v>
      </c>
    </row>
    <row r="1475" spans="1:6" x14ac:dyDescent="0.3">
      <c r="A1475" s="3">
        <v>2017</v>
      </c>
      <c r="B1475" s="1" t="s">
        <v>6</v>
      </c>
      <c r="C1475" s="1" t="s">
        <v>40</v>
      </c>
      <c r="D1475" s="2">
        <v>4333</v>
      </c>
      <c r="E1475" s="2">
        <v>58716</v>
      </c>
      <c r="F1475" s="4">
        <v>88899</v>
      </c>
    </row>
    <row r="1476" spans="1:6" x14ac:dyDescent="0.3">
      <c r="A1476" s="3">
        <v>2017</v>
      </c>
      <c r="B1476" s="1" t="s">
        <v>6</v>
      </c>
      <c r="C1476" s="1" t="s">
        <v>41</v>
      </c>
      <c r="D1476" s="2">
        <v>4453</v>
      </c>
      <c r="E1476" s="2">
        <v>52439</v>
      </c>
      <c r="F1476" s="4">
        <v>35362</v>
      </c>
    </row>
    <row r="1477" spans="1:6" x14ac:dyDescent="0.3">
      <c r="A1477" s="3">
        <v>2017</v>
      </c>
      <c r="B1477" s="1" t="s">
        <v>6</v>
      </c>
      <c r="C1477" s="1" t="s">
        <v>42</v>
      </c>
      <c r="D1477" s="2">
        <v>3498</v>
      </c>
      <c r="E1477" s="2">
        <v>50197</v>
      </c>
      <c r="F1477" s="4">
        <v>63021</v>
      </c>
    </row>
    <row r="1478" spans="1:6" x14ac:dyDescent="0.3">
      <c r="A1478" s="3">
        <v>2017</v>
      </c>
      <c r="B1478" s="1" t="s">
        <v>6</v>
      </c>
      <c r="C1478" s="1" t="s">
        <v>44</v>
      </c>
      <c r="D1478" s="2">
        <v>1230</v>
      </c>
      <c r="E1478" s="2">
        <v>12432</v>
      </c>
      <c r="F1478" s="4">
        <v>40520</v>
      </c>
    </row>
    <row r="1479" spans="1:6" x14ac:dyDescent="0.3">
      <c r="A1479" s="3">
        <v>2017</v>
      </c>
      <c r="B1479" s="1" t="s">
        <v>6</v>
      </c>
      <c r="C1479" s="1" t="s">
        <v>45</v>
      </c>
      <c r="D1479" s="2">
        <v>1026</v>
      </c>
      <c r="E1479" s="2">
        <v>6646</v>
      </c>
      <c r="F1479" s="4">
        <v>41459</v>
      </c>
    </row>
    <row r="1480" spans="1:6" x14ac:dyDescent="0.3">
      <c r="A1480" s="3">
        <v>2017</v>
      </c>
      <c r="B1480" s="1" t="s">
        <v>6</v>
      </c>
      <c r="C1480" s="1" t="s">
        <v>46</v>
      </c>
      <c r="D1480" s="2">
        <v>1071</v>
      </c>
      <c r="E1480" s="2">
        <v>10750</v>
      </c>
      <c r="F1480" s="4">
        <v>43908</v>
      </c>
    </row>
    <row r="1481" spans="1:6" x14ac:dyDescent="0.3">
      <c r="A1481" s="3">
        <v>2017</v>
      </c>
      <c r="B1481" s="1" t="s">
        <v>6</v>
      </c>
      <c r="C1481" s="1" t="s">
        <v>47</v>
      </c>
      <c r="D1481" s="2">
        <v>19580</v>
      </c>
      <c r="E1481" s="2">
        <v>281110</v>
      </c>
      <c r="F1481" s="4">
        <v>107415</v>
      </c>
    </row>
    <row r="1482" spans="1:6" x14ac:dyDescent="0.3">
      <c r="A1482" s="3">
        <v>2017</v>
      </c>
      <c r="B1482" s="1" t="s">
        <v>6</v>
      </c>
      <c r="C1482" s="1" t="s">
        <v>48</v>
      </c>
      <c r="D1482" s="2">
        <v>1034</v>
      </c>
      <c r="E1482" s="2">
        <v>14217</v>
      </c>
      <c r="F1482" s="4">
        <v>59120</v>
      </c>
    </row>
    <row r="1483" spans="1:6" x14ac:dyDescent="0.3">
      <c r="A1483" s="3">
        <v>2017</v>
      </c>
      <c r="B1483" s="1" t="s">
        <v>6</v>
      </c>
      <c r="C1483" s="1" t="s">
        <v>49</v>
      </c>
      <c r="D1483" s="1">
        <v>551</v>
      </c>
      <c r="E1483" s="2">
        <v>3901</v>
      </c>
      <c r="F1483" s="4">
        <v>37223</v>
      </c>
    </row>
    <row r="1484" spans="1:6" x14ac:dyDescent="0.3">
      <c r="A1484" s="3">
        <v>2017</v>
      </c>
      <c r="B1484" s="1" t="s">
        <v>6</v>
      </c>
      <c r="C1484" s="1" t="s">
        <v>50</v>
      </c>
      <c r="D1484" s="2">
        <v>2061</v>
      </c>
      <c r="E1484" s="2">
        <v>19558</v>
      </c>
      <c r="F1484" s="4">
        <v>44371</v>
      </c>
    </row>
    <row r="1485" spans="1:6" x14ac:dyDescent="0.3">
      <c r="A1485" s="3">
        <v>2017</v>
      </c>
      <c r="B1485" s="1" t="s">
        <v>6</v>
      </c>
      <c r="C1485" s="1" t="s">
        <v>51</v>
      </c>
      <c r="D1485" s="2">
        <v>7493</v>
      </c>
      <c r="E1485" s="2">
        <v>107674</v>
      </c>
      <c r="F1485" s="4">
        <v>32082</v>
      </c>
    </row>
    <row r="1486" spans="1:6" x14ac:dyDescent="0.3">
      <c r="A1486" s="3">
        <v>2017</v>
      </c>
      <c r="B1486" s="1" t="s">
        <v>6</v>
      </c>
      <c r="C1486" s="1" t="s">
        <v>52</v>
      </c>
      <c r="D1486" s="2">
        <v>1221</v>
      </c>
      <c r="E1486" s="2">
        <v>22793</v>
      </c>
      <c r="F1486" s="4">
        <v>76848</v>
      </c>
    </row>
    <row r="1487" spans="1:6" x14ac:dyDescent="0.3">
      <c r="A1487" s="3">
        <v>2017</v>
      </c>
      <c r="B1487" s="1" t="s">
        <v>6</v>
      </c>
      <c r="C1487" s="1" t="s">
        <v>53</v>
      </c>
      <c r="D1487" s="2">
        <v>2865</v>
      </c>
      <c r="E1487" s="2">
        <v>31986</v>
      </c>
      <c r="F1487" s="4">
        <v>37981</v>
      </c>
    </row>
    <row r="1488" spans="1:6" x14ac:dyDescent="0.3">
      <c r="A1488" s="3">
        <v>2017</v>
      </c>
      <c r="B1488" s="1" t="s">
        <v>6</v>
      </c>
      <c r="C1488" s="1" t="s">
        <v>54</v>
      </c>
      <c r="D1488" s="2">
        <v>1442</v>
      </c>
      <c r="E1488" s="2">
        <v>22390</v>
      </c>
      <c r="F1488" s="4">
        <v>81163</v>
      </c>
    </row>
    <row r="1489" spans="1:6" x14ac:dyDescent="0.3">
      <c r="A1489" s="3">
        <v>2017</v>
      </c>
      <c r="B1489" s="1" t="s">
        <v>55</v>
      </c>
      <c r="C1489" s="1" t="s">
        <v>7</v>
      </c>
      <c r="D1489" s="2">
        <v>9645</v>
      </c>
      <c r="E1489" s="2">
        <v>85262</v>
      </c>
      <c r="F1489" s="4">
        <v>52230</v>
      </c>
    </row>
    <row r="1490" spans="1:6" x14ac:dyDescent="0.3">
      <c r="A1490" s="3">
        <v>2017</v>
      </c>
      <c r="B1490" s="1" t="s">
        <v>55</v>
      </c>
      <c r="C1490" s="1" t="s">
        <v>8</v>
      </c>
      <c r="D1490" s="2">
        <v>11368</v>
      </c>
      <c r="E1490" s="2">
        <v>144747</v>
      </c>
      <c r="F1490" s="4">
        <v>53440</v>
      </c>
    </row>
    <row r="1491" spans="1:6" x14ac:dyDescent="0.3">
      <c r="A1491" s="3">
        <v>2017</v>
      </c>
      <c r="B1491" s="1" t="s">
        <v>55</v>
      </c>
      <c r="C1491" s="1" t="s">
        <v>9</v>
      </c>
      <c r="D1491" s="2">
        <v>6817</v>
      </c>
      <c r="E1491" s="2">
        <v>51130</v>
      </c>
      <c r="F1491" s="4">
        <v>47283</v>
      </c>
    </row>
    <row r="1492" spans="1:6" x14ac:dyDescent="0.3">
      <c r="A1492" s="3">
        <v>2017</v>
      </c>
      <c r="B1492" s="1" t="s">
        <v>55</v>
      </c>
      <c r="C1492" s="1" t="s">
        <v>10</v>
      </c>
      <c r="D1492" s="2">
        <v>72972</v>
      </c>
      <c r="E1492" s="2">
        <v>805942</v>
      </c>
      <c r="F1492" s="4">
        <v>67561</v>
      </c>
    </row>
    <row r="1493" spans="1:6" x14ac:dyDescent="0.3">
      <c r="A1493" s="3">
        <v>2017</v>
      </c>
      <c r="B1493" s="1" t="s">
        <v>55</v>
      </c>
      <c r="C1493" s="1" t="s">
        <v>11</v>
      </c>
      <c r="D1493" s="2">
        <v>19243</v>
      </c>
      <c r="E1493" s="2">
        <v>163473</v>
      </c>
      <c r="F1493" s="4">
        <v>59444</v>
      </c>
    </row>
    <row r="1494" spans="1:6" x14ac:dyDescent="0.3">
      <c r="A1494" s="3">
        <v>2017</v>
      </c>
      <c r="B1494" s="1" t="s">
        <v>55</v>
      </c>
      <c r="C1494" s="1" t="s">
        <v>12</v>
      </c>
      <c r="D1494" s="2">
        <v>9351</v>
      </c>
      <c r="E1494" s="2">
        <v>58327</v>
      </c>
      <c r="F1494" s="4">
        <v>68641</v>
      </c>
    </row>
    <row r="1495" spans="1:6" x14ac:dyDescent="0.3">
      <c r="A1495" s="3">
        <v>2017</v>
      </c>
      <c r="B1495" s="1" t="s">
        <v>55</v>
      </c>
      <c r="C1495" s="1" t="s">
        <v>13</v>
      </c>
      <c r="D1495" s="2">
        <v>2777</v>
      </c>
      <c r="E1495" s="2">
        <v>21591</v>
      </c>
      <c r="F1495" s="4">
        <v>59040</v>
      </c>
    </row>
    <row r="1496" spans="1:6" x14ac:dyDescent="0.3">
      <c r="A1496" s="3">
        <v>2017</v>
      </c>
      <c r="B1496" s="1" t="s">
        <v>55</v>
      </c>
      <c r="C1496" s="1" t="s">
        <v>14</v>
      </c>
      <c r="D1496" s="2">
        <v>67384</v>
      </c>
      <c r="E1496" s="2">
        <v>503704</v>
      </c>
      <c r="F1496" s="4">
        <v>49256</v>
      </c>
    </row>
    <row r="1497" spans="1:6" x14ac:dyDescent="0.3">
      <c r="A1497" s="3">
        <v>2017</v>
      </c>
      <c r="B1497" s="1" t="s">
        <v>55</v>
      </c>
      <c r="C1497" s="1" t="s">
        <v>15</v>
      </c>
      <c r="D1497" s="2">
        <v>20135</v>
      </c>
      <c r="E1497" s="2">
        <v>182259</v>
      </c>
      <c r="F1497" s="4">
        <v>58213</v>
      </c>
    </row>
    <row r="1498" spans="1:6" x14ac:dyDescent="0.3">
      <c r="A1498" s="3">
        <v>2017</v>
      </c>
      <c r="B1498" s="1" t="s">
        <v>55</v>
      </c>
      <c r="C1498" s="1" t="s">
        <v>16</v>
      </c>
      <c r="D1498" s="2">
        <v>7660</v>
      </c>
      <c r="E1498" s="2">
        <v>42668</v>
      </c>
      <c r="F1498" s="4">
        <v>42865</v>
      </c>
    </row>
    <row r="1499" spans="1:6" x14ac:dyDescent="0.3">
      <c r="A1499" s="3">
        <v>2017</v>
      </c>
      <c r="B1499" s="1" t="s">
        <v>55</v>
      </c>
      <c r="C1499" s="1" t="s">
        <v>17</v>
      </c>
      <c r="D1499" s="2">
        <v>31422</v>
      </c>
      <c r="E1499" s="2">
        <v>220019</v>
      </c>
      <c r="F1499" s="4">
        <v>70893</v>
      </c>
    </row>
    <row r="1500" spans="1:6" x14ac:dyDescent="0.3">
      <c r="A1500" s="3">
        <v>2017</v>
      </c>
      <c r="B1500" s="1" t="s">
        <v>55</v>
      </c>
      <c r="C1500" s="1" t="s">
        <v>18</v>
      </c>
      <c r="D1500" s="2">
        <v>14839</v>
      </c>
      <c r="E1500" s="2">
        <v>138040</v>
      </c>
      <c r="F1500" s="4">
        <v>57099</v>
      </c>
    </row>
    <row r="1501" spans="1:6" x14ac:dyDescent="0.3">
      <c r="A1501" s="3">
        <v>2017</v>
      </c>
      <c r="B1501" s="1" t="s">
        <v>55</v>
      </c>
      <c r="C1501" s="1" t="s">
        <v>19</v>
      </c>
      <c r="D1501" s="2">
        <v>9417</v>
      </c>
      <c r="E1501" s="2">
        <v>76086</v>
      </c>
      <c r="F1501" s="4">
        <v>55415</v>
      </c>
    </row>
    <row r="1502" spans="1:6" x14ac:dyDescent="0.3">
      <c r="A1502" s="3">
        <v>2017</v>
      </c>
      <c r="B1502" s="1" t="s">
        <v>55</v>
      </c>
      <c r="C1502" s="1" t="s">
        <v>20</v>
      </c>
      <c r="D1502" s="2">
        <v>7584</v>
      </c>
      <c r="E1502" s="2">
        <v>60238</v>
      </c>
      <c r="F1502" s="4">
        <v>52807</v>
      </c>
    </row>
    <row r="1503" spans="1:6" x14ac:dyDescent="0.3">
      <c r="A1503" s="3">
        <v>2017</v>
      </c>
      <c r="B1503" s="1" t="s">
        <v>55</v>
      </c>
      <c r="C1503" s="1" t="s">
        <v>21</v>
      </c>
      <c r="D1503" s="2">
        <v>9339</v>
      </c>
      <c r="E1503" s="2">
        <v>77332</v>
      </c>
      <c r="F1503" s="4">
        <v>53194</v>
      </c>
    </row>
    <row r="1504" spans="1:6" x14ac:dyDescent="0.3">
      <c r="A1504" s="3">
        <v>2017</v>
      </c>
      <c r="B1504" s="1" t="s">
        <v>55</v>
      </c>
      <c r="C1504" s="1" t="s">
        <v>22</v>
      </c>
      <c r="D1504" s="2">
        <v>10825</v>
      </c>
      <c r="E1504" s="2">
        <v>147021</v>
      </c>
      <c r="F1504" s="4">
        <v>61781</v>
      </c>
    </row>
    <row r="1505" spans="1:6" x14ac:dyDescent="0.3">
      <c r="A1505" s="3">
        <v>2017</v>
      </c>
      <c r="B1505" s="1" t="s">
        <v>55</v>
      </c>
      <c r="C1505" s="1" t="s">
        <v>23</v>
      </c>
      <c r="D1505" s="2">
        <v>5502</v>
      </c>
      <c r="E1505" s="2">
        <v>28253</v>
      </c>
      <c r="F1505" s="4">
        <v>47930</v>
      </c>
    </row>
    <row r="1506" spans="1:6" x14ac:dyDescent="0.3">
      <c r="A1506" s="3">
        <v>2017</v>
      </c>
      <c r="B1506" s="1" t="s">
        <v>55</v>
      </c>
      <c r="C1506" s="1" t="s">
        <v>24</v>
      </c>
      <c r="D1506" s="2">
        <v>16463</v>
      </c>
      <c r="E1506" s="2">
        <v>162140</v>
      </c>
      <c r="F1506" s="4">
        <v>65027</v>
      </c>
    </row>
    <row r="1507" spans="1:6" x14ac:dyDescent="0.3">
      <c r="A1507" s="3">
        <v>2017</v>
      </c>
      <c r="B1507" s="1" t="s">
        <v>55</v>
      </c>
      <c r="C1507" s="1" t="s">
        <v>25</v>
      </c>
      <c r="D1507" s="2">
        <v>21055</v>
      </c>
      <c r="E1507" s="2">
        <v>152131</v>
      </c>
      <c r="F1507" s="4">
        <v>75405</v>
      </c>
    </row>
    <row r="1508" spans="1:6" x14ac:dyDescent="0.3">
      <c r="A1508" s="3">
        <v>2017</v>
      </c>
      <c r="B1508" s="1" t="s">
        <v>55</v>
      </c>
      <c r="C1508" s="1" t="s">
        <v>26</v>
      </c>
      <c r="D1508" s="2">
        <v>19544</v>
      </c>
      <c r="E1508" s="2">
        <v>161903</v>
      </c>
      <c r="F1508" s="4">
        <v>61511</v>
      </c>
    </row>
    <row r="1509" spans="1:6" x14ac:dyDescent="0.3">
      <c r="A1509" s="3">
        <v>2017</v>
      </c>
      <c r="B1509" s="1" t="s">
        <v>55</v>
      </c>
      <c r="C1509" s="1" t="s">
        <v>27</v>
      </c>
      <c r="D1509" s="2">
        <v>15746</v>
      </c>
      <c r="E1509" s="2">
        <v>119642</v>
      </c>
      <c r="F1509" s="4">
        <v>65464</v>
      </c>
    </row>
    <row r="1510" spans="1:6" x14ac:dyDescent="0.3">
      <c r="A1510" s="3">
        <v>2017</v>
      </c>
      <c r="B1510" s="1" t="s">
        <v>55</v>
      </c>
      <c r="C1510" s="1" t="s">
        <v>28</v>
      </c>
      <c r="D1510" s="2">
        <v>5670</v>
      </c>
      <c r="E1510" s="2">
        <v>43467</v>
      </c>
      <c r="F1510" s="4">
        <v>48782</v>
      </c>
    </row>
    <row r="1511" spans="1:6" x14ac:dyDescent="0.3">
      <c r="A1511" s="3">
        <v>2017</v>
      </c>
      <c r="B1511" s="1" t="s">
        <v>55</v>
      </c>
      <c r="C1511" s="1" t="s">
        <v>29</v>
      </c>
      <c r="D1511" s="2">
        <v>15141</v>
      </c>
      <c r="E1511" s="2">
        <v>123034</v>
      </c>
      <c r="F1511" s="4">
        <v>57823</v>
      </c>
    </row>
    <row r="1512" spans="1:6" x14ac:dyDescent="0.3">
      <c r="A1512" s="3">
        <v>2017</v>
      </c>
      <c r="B1512" s="1" t="s">
        <v>55</v>
      </c>
      <c r="C1512" s="1" t="s">
        <v>30</v>
      </c>
      <c r="D1512" s="2">
        <v>6287</v>
      </c>
      <c r="E1512" s="2">
        <v>27712</v>
      </c>
      <c r="F1512" s="4">
        <v>50369</v>
      </c>
    </row>
    <row r="1513" spans="1:6" x14ac:dyDescent="0.3">
      <c r="A1513" s="3">
        <v>2017</v>
      </c>
      <c r="B1513" s="1" t="s">
        <v>55</v>
      </c>
      <c r="C1513" s="1" t="s">
        <v>31</v>
      </c>
      <c r="D1513" s="2">
        <v>7053</v>
      </c>
      <c r="E1513" s="2">
        <v>51174</v>
      </c>
      <c r="F1513" s="4">
        <v>49634</v>
      </c>
    </row>
    <row r="1514" spans="1:6" x14ac:dyDescent="0.3">
      <c r="A1514" s="3">
        <v>2017</v>
      </c>
      <c r="B1514" s="1" t="s">
        <v>55</v>
      </c>
      <c r="C1514" s="1" t="s">
        <v>32</v>
      </c>
      <c r="D1514" s="2">
        <v>5859</v>
      </c>
      <c r="E1514" s="2">
        <v>82998</v>
      </c>
      <c r="F1514" s="4">
        <v>58071</v>
      </c>
    </row>
    <row r="1515" spans="1:6" x14ac:dyDescent="0.3">
      <c r="A1515" s="3">
        <v>2017</v>
      </c>
      <c r="B1515" s="1" t="s">
        <v>55</v>
      </c>
      <c r="C1515" s="1" t="s">
        <v>33</v>
      </c>
      <c r="D1515" s="2">
        <v>4363</v>
      </c>
      <c r="E1515" s="2">
        <v>26466</v>
      </c>
      <c r="F1515" s="4">
        <v>61497</v>
      </c>
    </row>
    <row r="1516" spans="1:6" x14ac:dyDescent="0.3">
      <c r="A1516" s="3">
        <v>2017</v>
      </c>
      <c r="B1516" s="1" t="s">
        <v>55</v>
      </c>
      <c r="C1516" s="1" t="s">
        <v>34</v>
      </c>
      <c r="D1516" s="2">
        <v>21672</v>
      </c>
      <c r="E1516" s="2">
        <v>154907</v>
      </c>
      <c r="F1516" s="4">
        <v>71145</v>
      </c>
    </row>
    <row r="1517" spans="1:6" x14ac:dyDescent="0.3">
      <c r="A1517" s="3">
        <v>2017</v>
      </c>
      <c r="B1517" s="1" t="s">
        <v>55</v>
      </c>
      <c r="C1517" s="1" t="s">
        <v>35</v>
      </c>
      <c r="D1517" s="2">
        <v>5141</v>
      </c>
      <c r="E1517" s="2">
        <v>45511</v>
      </c>
      <c r="F1517" s="4">
        <v>46369</v>
      </c>
    </row>
    <row r="1518" spans="1:6" x14ac:dyDescent="0.3">
      <c r="A1518" s="3">
        <v>2017</v>
      </c>
      <c r="B1518" s="1" t="s">
        <v>55</v>
      </c>
      <c r="C1518" s="1" t="s">
        <v>36</v>
      </c>
      <c r="D1518" s="2">
        <v>50064</v>
      </c>
      <c r="E1518" s="2">
        <v>386615</v>
      </c>
      <c r="F1518" s="4">
        <v>71408</v>
      </c>
    </row>
    <row r="1519" spans="1:6" x14ac:dyDescent="0.3">
      <c r="A1519" s="3">
        <v>2017</v>
      </c>
      <c r="B1519" s="1" t="s">
        <v>55</v>
      </c>
      <c r="C1519" s="1" t="s">
        <v>37</v>
      </c>
      <c r="D1519" s="2">
        <v>26057</v>
      </c>
      <c r="E1519" s="2">
        <v>208662</v>
      </c>
      <c r="F1519" s="4">
        <v>52372</v>
      </c>
    </row>
    <row r="1520" spans="1:6" x14ac:dyDescent="0.3">
      <c r="A1520" s="3">
        <v>2017</v>
      </c>
      <c r="B1520" s="1" t="s">
        <v>55</v>
      </c>
      <c r="C1520" s="1" t="s">
        <v>38</v>
      </c>
      <c r="D1520" s="2">
        <v>4035</v>
      </c>
      <c r="E1520" s="2">
        <v>26732</v>
      </c>
      <c r="F1520" s="4">
        <v>63029</v>
      </c>
    </row>
    <row r="1521" spans="1:6" x14ac:dyDescent="0.3">
      <c r="A1521" s="3">
        <v>2017</v>
      </c>
      <c r="B1521" s="1" t="s">
        <v>55</v>
      </c>
      <c r="C1521" s="1" t="s">
        <v>39</v>
      </c>
      <c r="D1521" s="2">
        <v>23022</v>
      </c>
      <c r="E1521" s="2">
        <v>217025</v>
      </c>
      <c r="F1521" s="4">
        <v>60831</v>
      </c>
    </row>
    <row r="1522" spans="1:6" x14ac:dyDescent="0.3">
      <c r="A1522" s="3">
        <v>2017</v>
      </c>
      <c r="B1522" s="1" t="s">
        <v>55</v>
      </c>
      <c r="C1522" s="1" t="s">
        <v>40</v>
      </c>
      <c r="D1522" s="2">
        <v>9823</v>
      </c>
      <c r="E1522" s="2">
        <v>77247</v>
      </c>
      <c r="F1522" s="4">
        <v>50585</v>
      </c>
    </row>
    <row r="1523" spans="1:6" x14ac:dyDescent="0.3">
      <c r="A1523" s="3">
        <v>2017</v>
      </c>
      <c r="B1523" s="1" t="s">
        <v>55</v>
      </c>
      <c r="C1523" s="1" t="s">
        <v>41</v>
      </c>
      <c r="D1523" s="2">
        <v>13468</v>
      </c>
      <c r="E1523" s="2">
        <v>96991</v>
      </c>
      <c r="F1523" s="4">
        <v>57987</v>
      </c>
    </row>
    <row r="1524" spans="1:6" x14ac:dyDescent="0.3">
      <c r="A1524" s="3">
        <v>2017</v>
      </c>
      <c r="B1524" s="1" t="s">
        <v>55</v>
      </c>
      <c r="C1524" s="1" t="s">
        <v>42</v>
      </c>
      <c r="D1524" s="2">
        <v>28397</v>
      </c>
      <c r="E1524" s="2">
        <v>248932</v>
      </c>
      <c r="F1524" s="4">
        <v>64769</v>
      </c>
    </row>
    <row r="1525" spans="1:6" x14ac:dyDescent="0.3">
      <c r="A1525" s="3">
        <v>2017</v>
      </c>
      <c r="B1525" s="1" t="s">
        <v>55</v>
      </c>
      <c r="C1525" s="1" t="s">
        <v>44</v>
      </c>
      <c r="D1525" s="2">
        <v>11635</v>
      </c>
      <c r="E1525" s="2">
        <v>100817</v>
      </c>
      <c r="F1525" s="4">
        <v>53542</v>
      </c>
    </row>
    <row r="1526" spans="1:6" x14ac:dyDescent="0.3">
      <c r="A1526" s="3">
        <v>2017</v>
      </c>
      <c r="B1526" s="1" t="s">
        <v>55</v>
      </c>
      <c r="C1526" s="1" t="s">
        <v>45</v>
      </c>
      <c r="D1526" s="2">
        <v>3883</v>
      </c>
      <c r="E1526" s="2">
        <v>22351</v>
      </c>
      <c r="F1526" s="4">
        <v>47385</v>
      </c>
    </row>
    <row r="1527" spans="1:6" x14ac:dyDescent="0.3">
      <c r="A1527" s="3">
        <v>2017</v>
      </c>
      <c r="B1527" s="1" t="s">
        <v>55</v>
      </c>
      <c r="C1527" s="1" t="s">
        <v>46</v>
      </c>
      <c r="D1527" s="2">
        <v>11745</v>
      </c>
      <c r="E1527" s="2">
        <v>119968</v>
      </c>
      <c r="F1527" s="4">
        <v>56642</v>
      </c>
    </row>
    <row r="1528" spans="1:6" x14ac:dyDescent="0.3">
      <c r="A1528" s="3">
        <v>2017</v>
      </c>
      <c r="B1528" s="1" t="s">
        <v>55</v>
      </c>
      <c r="C1528" s="1" t="s">
        <v>47</v>
      </c>
      <c r="D1528" s="2">
        <v>49310</v>
      </c>
      <c r="E1528" s="2">
        <v>711119</v>
      </c>
      <c r="F1528" s="4">
        <v>63219</v>
      </c>
    </row>
    <row r="1529" spans="1:6" x14ac:dyDescent="0.3">
      <c r="A1529" s="3">
        <v>2017</v>
      </c>
      <c r="B1529" s="1" t="s">
        <v>55</v>
      </c>
      <c r="C1529" s="1" t="s">
        <v>48</v>
      </c>
      <c r="D1529" s="2">
        <v>10886</v>
      </c>
      <c r="E1529" s="2">
        <v>97495</v>
      </c>
      <c r="F1529" s="4">
        <v>49132</v>
      </c>
    </row>
    <row r="1530" spans="1:6" x14ac:dyDescent="0.3">
      <c r="A1530" s="3">
        <v>2017</v>
      </c>
      <c r="B1530" s="1" t="s">
        <v>55</v>
      </c>
      <c r="C1530" s="1" t="s">
        <v>49</v>
      </c>
      <c r="D1530" s="2">
        <v>2865</v>
      </c>
      <c r="E1530" s="2">
        <v>15187</v>
      </c>
      <c r="F1530" s="4">
        <v>50125</v>
      </c>
    </row>
    <row r="1531" spans="1:6" x14ac:dyDescent="0.3">
      <c r="A1531" s="3">
        <v>2017</v>
      </c>
      <c r="B1531" s="1" t="s">
        <v>55</v>
      </c>
      <c r="C1531" s="1" t="s">
        <v>50</v>
      </c>
      <c r="D1531" s="2">
        <v>21256</v>
      </c>
      <c r="E1531" s="2">
        <v>192576</v>
      </c>
      <c r="F1531" s="4">
        <v>56166</v>
      </c>
    </row>
    <row r="1532" spans="1:6" x14ac:dyDescent="0.3">
      <c r="A1532" s="3">
        <v>2017</v>
      </c>
      <c r="B1532" s="1" t="s">
        <v>55</v>
      </c>
      <c r="C1532" s="1" t="s">
        <v>51</v>
      </c>
      <c r="D1532" s="2">
        <v>25279</v>
      </c>
      <c r="E1532" s="2">
        <v>187247</v>
      </c>
      <c r="F1532" s="4">
        <v>61249</v>
      </c>
    </row>
    <row r="1533" spans="1:6" x14ac:dyDescent="0.3">
      <c r="A1533" s="3">
        <v>2017</v>
      </c>
      <c r="B1533" s="1" t="s">
        <v>55</v>
      </c>
      <c r="C1533" s="1" t="s">
        <v>52</v>
      </c>
      <c r="D1533" s="2">
        <v>4402</v>
      </c>
      <c r="E1533" s="2">
        <v>31522</v>
      </c>
      <c r="F1533" s="4">
        <v>57987</v>
      </c>
    </row>
    <row r="1534" spans="1:6" x14ac:dyDescent="0.3">
      <c r="A1534" s="3">
        <v>2017</v>
      </c>
      <c r="B1534" s="1" t="s">
        <v>55</v>
      </c>
      <c r="C1534" s="1" t="s">
        <v>53</v>
      </c>
      <c r="D1534" s="2">
        <v>14158</v>
      </c>
      <c r="E1534" s="2">
        <v>117226</v>
      </c>
      <c r="F1534" s="4">
        <v>60136</v>
      </c>
    </row>
    <row r="1535" spans="1:6" x14ac:dyDescent="0.3">
      <c r="A1535" s="3">
        <v>2017</v>
      </c>
      <c r="B1535" s="1" t="s">
        <v>55</v>
      </c>
      <c r="C1535" s="1" t="s">
        <v>54</v>
      </c>
      <c r="D1535" s="2">
        <v>3427</v>
      </c>
      <c r="E1535" s="2">
        <v>19573</v>
      </c>
      <c r="F1535" s="4">
        <v>50877</v>
      </c>
    </row>
    <row r="1536" spans="1:6" x14ac:dyDescent="0.3">
      <c r="A1536" s="3">
        <v>2017</v>
      </c>
      <c r="B1536" s="1" t="s">
        <v>56</v>
      </c>
      <c r="C1536" s="1" t="s">
        <v>7</v>
      </c>
      <c r="D1536" s="2">
        <v>5447</v>
      </c>
      <c r="E1536" s="2">
        <v>263487</v>
      </c>
      <c r="F1536" s="4">
        <v>55197</v>
      </c>
    </row>
    <row r="1537" spans="1:6" x14ac:dyDescent="0.3">
      <c r="A1537" s="3">
        <v>2017</v>
      </c>
      <c r="B1537" s="1" t="s">
        <v>56</v>
      </c>
      <c r="C1537" s="1" t="s">
        <v>8</v>
      </c>
      <c r="D1537" s="2">
        <v>4657</v>
      </c>
      <c r="E1537" s="2">
        <v>162399</v>
      </c>
      <c r="F1537" s="4">
        <v>73528</v>
      </c>
    </row>
    <row r="1538" spans="1:6" x14ac:dyDescent="0.3">
      <c r="A1538" s="3">
        <v>2017</v>
      </c>
      <c r="B1538" s="1" t="s">
        <v>56</v>
      </c>
      <c r="C1538" s="1" t="s">
        <v>9</v>
      </c>
      <c r="D1538" s="2">
        <v>2928</v>
      </c>
      <c r="E1538" s="2">
        <v>157305</v>
      </c>
      <c r="F1538" s="4">
        <v>46766</v>
      </c>
    </row>
    <row r="1539" spans="1:6" x14ac:dyDescent="0.3">
      <c r="A1539" s="3">
        <v>2017</v>
      </c>
      <c r="B1539" s="1" t="s">
        <v>56</v>
      </c>
      <c r="C1539" s="1" t="s">
        <v>10</v>
      </c>
      <c r="D1539" s="2">
        <v>42215</v>
      </c>
      <c r="E1539" s="2">
        <v>1303550</v>
      </c>
      <c r="F1539" s="4">
        <v>92246</v>
      </c>
    </row>
    <row r="1540" spans="1:6" x14ac:dyDescent="0.3">
      <c r="A1540" s="3">
        <v>2017</v>
      </c>
      <c r="B1540" s="1" t="s">
        <v>56</v>
      </c>
      <c r="C1540" s="1" t="s">
        <v>11</v>
      </c>
      <c r="D1540" s="2">
        <v>5750</v>
      </c>
      <c r="E1540" s="2">
        <v>144067</v>
      </c>
      <c r="F1540" s="4">
        <v>69446</v>
      </c>
    </row>
    <row r="1541" spans="1:6" x14ac:dyDescent="0.3">
      <c r="A1541" s="3">
        <v>2017</v>
      </c>
      <c r="B1541" s="1" t="s">
        <v>56</v>
      </c>
      <c r="C1541" s="1" t="s">
        <v>12</v>
      </c>
      <c r="D1541" s="2">
        <v>4460</v>
      </c>
      <c r="E1541" s="2">
        <v>158891</v>
      </c>
      <c r="F1541" s="4">
        <v>81864</v>
      </c>
    </row>
    <row r="1542" spans="1:6" x14ac:dyDescent="0.3">
      <c r="A1542" s="3">
        <v>2017</v>
      </c>
      <c r="B1542" s="1" t="s">
        <v>56</v>
      </c>
      <c r="C1542" s="1" t="s">
        <v>13</v>
      </c>
      <c r="D1542" s="1">
        <v>688</v>
      </c>
      <c r="E1542" s="2">
        <v>25928</v>
      </c>
      <c r="F1542" s="4">
        <v>62417</v>
      </c>
    </row>
    <row r="1543" spans="1:6" x14ac:dyDescent="0.3">
      <c r="A1543" s="3">
        <v>2017</v>
      </c>
      <c r="B1543" s="1" t="s">
        <v>56</v>
      </c>
      <c r="C1543" s="1" t="s">
        <v>14</v>
      </c>
      <c r="D1543" s="2">
        <v>20513</v>
      </c>
      <c r="E1543" s="2">
        <v>363137</v>
      </c>
      <c r="F1543" s="4">
        <v>59389</v>
      </c>
    </row>
    <row r="1544" spans="1:6" x14ac:dyDescent="0.3">
      <c r="A1544" s="3">
        <v>2017</v>
      </c>
      <c r="B1544" s="1" t="s">
        <v>56</v>
      </c>
      <c r="C1544" s="1" t="s">
        <v>15</v>
      </c>
      <c r="D1544" s="2">
        <v>9745</v>
      </c>
      <c r="E1544" s="2">
        <v>395916</v>
      </c>
      <c r="F1544" s="4">
        <v>57889</v>
      </c>
    </row>
    <row r="1545" spans="1:6" x14ac:dyDescent="0.3">
      <c r="A1545" s="3">
        <v>2017</v>
      </c>
      <c r="B1545" s="1" t="s">
        <v>56</v>
      </c>
      <c r="C1545" s="1" t="s">
        <v>16</v>
      </c>
      <c r="D1545" s="2">
        <v>2750</v>
      </c>
      <c r="E1545" s="2">
        <v>66056</v>
      </c>
      <c r="F1545" s="4">
        <v>61543</v>
      </c>
    </row>
    <row r="1546" spans="1:6" x14ac:dyDescent="0.3">
      <c r="A1546" s="3">
        <v>2017</v>
      </c>
      <c r="B1546" s="1" t="s">
        <v>56</v>
      </c>
      <c r="C1546" s="1" t="s">
        <v>17</v>
      </c>
      <c r="D1546" s="2">
        <v>17979</v>
      </c>
      <c r="E1546" s="2">
        <v>574692</v>
      </c>
      <c r="F1546" s="4">
        <v>70174</v>
      </c>
    </row>
    <row r="1547" spans="1:6" x14ac:dyDescent="0.3">
      <c r="A1547" s="3">
        <v>2017</v>
      </c>
      <c r="B1547" s="1" t="s">
        <v>56</v>
      </c>
      <c r="C1547" s="1" t="s">
        <v>18</v>
      </c>
      <c r="D1547" s="2">
        <v>8554</v>
      </c>
      <c r="E1547" s="2">
        <v>531312</v>
      </c>
      <c r="F1547" s="4">
        <v>61118</v>
      </c>
    </row>
    <row r="1548" spans="1:6" x14ac:dyDescent="0.3">
      <c r="A1548" s="3">
        <v>2017</v>
      </c>
      <c r="B1548" s="1" t="s">
        <v>56</v>
      </c>
      <c r="C1548" s="1" t="s">
        <v>19</v>
      </c>
      <c r="D1548" s="2">
        <v>4125</v>
      </c>
      <c r="E1548" s="2">
        <v>215910</v>
      </c>
      <c r="F1548" s="4">
        <v>58617</v>
      </c>
    </row>
    <row r="1549" spans="1:6" x14ac:dyDescent="0.3">
      <c r="A1549" s="3">
        <v>2017</v>
      </c>
      <c r="B1549" s="1" t="s">
        <v>56</v>
      </c>
      <c r="C1549" s="1" t="s">
        <v>20</v>
      </c>
      <c r="D1549" s="2">
        <v>3164</v>
      </c>
      <c r="E1549" s="2">
        <v>161517</v>
      </c>
      <c r="F1549" s="4">
        <v>57532</v>
      </c>
    </row>
    <row r="1550" spans="1:6" x14ac:dyDescent="0.3">
      <c r="A1550" s="3">
        <v>2017</v>
      </c>
      <c r="B1550" s="1" t="s">
        <v>56</v>
      </c>
      <c r="C1550" s="1" t="s">
        <v>21</v>
      </c>
      <c r="D1550" s="2">
        <v>4368</v>
      </c>
      <c r="E1550" s="2">
        <v>250180</v>
      </c>
      <c r="F1550" s="4">
        <v>58143</v>
      </c>
    </row>
    <row r="1551" spans="1:6" x14ac:dyDescent="0.3">
      <c r="A1551" s="3">
        <v>2017</v>
      </c>
      <c r="B1551" s="1" t="s">
        <v>56</v>
      </c>
      <c r="C1551" s="1" t="s">
        <v>22</v>
      </c>
      <c r="D1551" s="2">
        <v>4464</v>
      </c>
      <c r="E1551" s="2">
        <v>134680</v>
      </c>
      <c r="F1551" s="4">
        <v>72604</v>
      </c>
    </row>
    <row r="1552" spans="1:6" x14ac:dyDescent="0.3">
      <c r="A1552" s="3">
        <v>2017</v>
      </c>
      <c r="B1552" s="1" t="s">
        <v>56</v>
      </c>
      <c r="C1552" s="1" t="s">
        <v>23</v>
      </c>
      <c r="D1552" s="2">
        <v>1877</v>
      </c>
      <c r="E1552" s="2">
        <v>50911</v>
      </c>
      <c r="F1552" s="4">
        <v>55458</v>
      </c>
    </row>
    <row r="1553" spans="1:6" x14ac:dyDescent="0.3">
      <c r="A1553" s="3">
        <v>2017</v>
      </c>
      <c r="B1553" s="1" t="s">
        <v>56</v>
      </c>
      <c r="C1553" s="1" t="s">
        <v>24</v>
      </c>
      <c r="D1553" s="2">
        <v>3901</v>
      </c>
      <c r="E1553" s="2">
        <v>106864</v>
      </c>
      <c r="F1553" s="4">
        <v>77289</v>
      </c>
    </row>
    <row r="1554" spans="1:6" x14ac:dyDescent="0.3">
      <c r="A1554" s="3">
        <v>2017</v>
      </c>
      <c r="B1554" s="1" t="s">
        <v>56</v>
      </c>
      <c r="C1554" s="1" t="s">
        <v>25</v>
      </c>
      <c r="D1554" s="2">
        <v>6850</v>
      </c>
      <c r="E1554" s="2">
        <v>244647</v>
      </c>
      <c r="F1554" s="4">
        <v>88132</v>
      </c>
    </row>
    <row r="1555" spans="1:6" x14ac:dyDescent="0.3">
      <c r="A1555" s="3">
        <v>2017</v>
      </c>
      <c r="B1555" s="1" t="s">
        <v>56</v>
      </c>
      <c r="C1555" s="1" t="s">
        <v>26</v>
      </c>
      <c r="D1555" s="2">
        <v>15721</v>
      </c>
      <c r="E1555" s="2">
        <v>615106</v>
      </c>
      <c r="F1555" s="4">
        <v>66395</v>
      </c>
    </row>
    <row r="1556" spans="1:6" x14ac:dyDescent="0.3">
      <c r="A1556" s="3">
        <v>2017</v>
      </c>
      <c r="B1556" s="1" t="s">
        <v>56</v>
      </c>
      <c r="C1556" s="1" t="s">
        <v>27</v>
      </c>
      <c r="D1556" s="2">
        <v>8369</v>
      </c>
      <c r="E1556" s="2">
        <v>319035</v>
      </c>
      <c r="F1556" s="4">
        <v>65734</v>
      </c>
    </row>
    <row r="1557" spans="1:6" x14ac:dyDescent="0.3">
      <c r="A1557" s="3">
        <v>2017</v>
      </c>
      <c r="B1557" s="1" t="s">
        <v>56</v>
      </c>
      <c r="C1557" s="1" t="s">
        <v>28</v>
      </c>
      <c r="D1557" s="2">
        <v>2441</v>
      </c>
      <c r="E1557" s="2">
        <v>144047</v>
      </c>
      <c r="F1557" s="4">
        <v>48199</v>
      </c>
    </row>
    <row r="1558" spans="1:6" x14ac:dyDescent="0.3">
      <c r="A1558" s="3">
        <v>2017</v>
      </c>
      <c r="B1558" s="1" t="s">
        <v>56</v>
      </c>
      <c r="C1558" s="1" t="s">
        <v>29</v>
      </c>
      <c r="D1558" s="2">
        <v>6636</v>
      </c>
      <c r="E1558" s="2">
        <v>265863</v>
      </c>
      <c r="F1558" s="4">
        <v>57139</v>
      </c>
    </row>
    <row r="1559" spans="1:6" x14ac:dyDescent="0.3">
      <c r="A1559" s="3">
        <v>2017</v>
      </c>
      <c r="B1559" s="1" t="s">
        <v>56</v>
      </c>
      <c r="C1559" s="1" t="s">
        <v>30</v>
      </c>
      <c r="D1559" s="2">
        <v>1572</v>
      </c>
      <c r="E1559" s="2">
        <v>19893</v>
      </c>
      <c r="F1559" s="4">
        <v>48758</v>
      </c>
    </row>
    <row r="1560" spans="1:6" x14ac:dyDescent="0.3">
      <c r="A1560" s="3">
        <v>2017</v>
      </c>
      <c r="B1560" s="1" t="s">
        <v>56</v>
      </c>
      <c r="C1560" s="1" t="s">
        <v>31</v>
      </c>
      <c r="D1560" s="2">
        <v>1977</v>
      </c>
      <c r="E1560" s="2">
        <v>98082</v>
      </c>
      <c r="F1560" s="4">
        <v>49568</v>
      </c>
    </row>
    <row r="1561" spans="1:6" x14ac:dyDescent="0.3">
      <c r="A1561" s="3">
        <v>2017</v>
      </c>
      <c r="B1561" s="1" t="s">
        <v>56</v>
      </c>
      <c r="C1561" s="1" t="s">
        <v>32</v>
      </c>
      <c r="D1561" s="2">
        <v>2043</v>
      </c>
      <c r="E1561" s="2">
        <v>47800</v>
      </c>
      <c r="F1561" s="4">
        <v>56486</v>
      </c>
    </row>
    <row r="1562" spans="1:6" x14ac:dyDescent="0.3">
      <c r="A1562" s="3">
        <v>2017</v>
      </c>
      <c r="B1562" s="1" t="s">
        <v>56</v>
      </c>
      <c r="C1562" s="1" t="s">
        <v>33</v>
      </c>
      <c r="D1562" s="2">
        <v>2011</v>
      </c>
      <c r="E1562" s="2">
        <v>68971</v>
      </c>
      <c r="F1562" s="4">
        <v>70482</v>
      </c>
    </row>
    <row r="1563" spans="1:6" x14ac:dyDescent="0.3">
      <c r="A1563" s="3">
        <v>2017</v>
      </c>
      <c r="B1563" s="1" t="s">
        <v>56</v>
      </c>
      <c r="C1563" s="1" t="s">
        <v>34</v>
      </c>
      <c r="D1563" s="2">
        <v>8962</v>
      </c>
      <c r="E1563" s="2">
        <v>242476</v>
      </c>
      <c r="F1563" s="4">
        <v>78813</v>
      </c>
    </row>
    <row r="1564" spans="1:6" x14ac:dyDescent="0.3">
      <c r="A1564" s="3">
        <v>2017</v>
      </c>
      <c r="B1564" s="1" t="s">
        <v>56</v>
      </c>
      <c r="C1564" s="1" t="s">
        <v>35</v>
      </c>
      <c r="D1564" s="2">
        <v>1724</v>
      </c>
      <c r="E1564" s="2">
        <v>26398</v>
      </c>
      <c r="F1564" s="4">
        <v>53328</v>
      </c>
    </row>
    <row r="1565" spans="1:6" x14ac:dyDescent="0.3">
      <c r="A1565" s="3">
        <v>2017</v>
      </c>
      <c r="B1565" s="1" t="s">
        <v>56</v>
      </c>
      <c r="C1565" s="1" t="s">
        <v>36</v>
      </c>
      <c r="D1565" s="2">
        <v>17319</v>
      </c>
      <c r="E1565" s="2">
        <v>444182</v>
      </c>
      <c r="F1565" s="4">
        <v>65899</v>
      </c>
    </row>
    <row r="1566" spans="1:6" x14ac:dyDescent="0.3">
      <c r="A1566" s="3">
        <v>2017</v>
      </c>
      <c r="B1566" s="1" t="s">
        <v>56</v>
      </c>
      <c r="C1566" s="1" t="s">
        <v>37</v>
      </c>
      <c r="D1566" s="2">
        <v>10287</v>
      </c>
      <c r="E1566" s="2">
        <v>467306</v>
      </c>
      <c r="F1566" s="4">
        <v>58368</v>
      </c>
    </row>
    <row r="1567" spans="1:6" x14ac:dyDescent="0.3">
      <c r="A1567" s="3">
        <v>2017</v>
      </c>
      <c r="B1567" s="1" t="s">
        <v>56</v>
      </c>
      <c r="C1567" s="1" t="s">
        <v>38</v>
      </c>
      <c r="D1567" s="1">
        <v>810</v>
      </c>
      <c r="E1567" s="2">
        <v>24680</v>
      </c>
      <c r="F1567" s="4">
        <v>52594</v>
      </c>
    </row>
    <row r="1568" spans="1:6" x14ac:dyDescent="0.3">
      <c r="A1568" s="3">
        <v>2017</v>
      </c>
      <c r="B1568" s="1" t="s">
        <v>56</v>
      </c>
      <c r="C1568" s="1" t="s">
        <v>39</v>
      </c>
      <c r="D1568" s="2">
        <v>15430</v>
      </c>
      <c r="E1568" s="2">
        <v>685942</v>
      </c>
      <c r="F1568" s="4">
        <v>60002</v>
      </c>
    </row>
    <row r="1569" spans="1:6" x14ac:dyDescent="0.3">
      <c r="A1569" s="3">
        <v>2017</v>
      </c>
      <c r="B1569" s="1" t="s">
        <v>56</v>
      </c>
      <c r="C1569" s="1" t="s">
        <v>40</v>
      </c>
      <c r="D1569" s="2">
        <v>4230</v>
      </c>
      <c r="E1569" s="2">
        <v>128122</v>
      </c>
      <c r="F1569" s="4">
        <v>55496</v>
      </c>
    </row>
    <row r="1570" spans="1:6" x14ac:dyDescent="0.3">
      <c r="A1570" s="3">
        <v>2017</v>
      </c>
      <c r="B1570" s="1" t="s">
        <v>56</v>
      </c>
      <c r="C1570" s="1" t="s">
        <v>41</v>
      </c>
      <c r="D1570" s="2">
        <v>6175</v>
      </c>
      <c r="E1570" s="2">
        <v>189318</v>
      </c>
      <c r="F1570" s="4">
        <v>68161</v>
      </c>
    </row>
    <row r="1571" spans="1:6" x14ac:dyDescent="0.3">
      <c r="A1571" s="3">
        <v>2017</v>
      </c>
      <c r="B1571" s="1" t="s">
        <v>56</v>
      </c>
      <c r="C1571" s="1" t="s">
        <v>42</v>
      </c>
      <c r="D1571" s="2">
        <v>14414</v>
      </c>
      <c r="E1571" s="2">
        <v>561774</v>
      </c>
      <c r="F1571" s="4">
        <v>61111</v>
      </c>
    </row>
    <row r="1572" spans="1:6" x14ac:dyDescent="0.3">
      <c r="A1572" s="3">
        <v>2017</v>
      </c>
      <c r="B1572" s="1" t="s">
        <v>56</v>
      </c>
      <c r="C1572" s="1" t="s">
        <v>43</v>
      </c>
      <c r="D1572" s="2">
        <v>1567</v>
      </c>
      <c r="E1572" s="2">
        <v>40341</v>
      </c>
      <c r="F1572" s="4">
        <v>57616</v>
      </c>
    </row>
    <row r="1573" spans="1:6" x14ac:dyDescent="0.3">
      <c r="A1573" s="3">
        <v>2017</v>
      </c>
      <c r="B1573" s="1" t="s">
        <v>56</v>
      </c>
      <c r="C1573" s="1" t="s">
        <v>44</v>
      </c>
      <c r="D1573" s="2">
        <v>5906</v>
      </c>
      <c r="E1573" s="2">
        <v>240456</v>
      </c>
      <c r="F1573" s="4">
        <v>58927</v>
      </c>
    </row>
    <row r="1574" spans="1:6" x14ac:dyDescent="0.3">
      <c r="A1574" s="3">
        <v>2017</v>
      </c>
      <c r="B1574" s="1" t="s">
        <v>56</v>
      </c>
      <c r="C1574" s="1" t="s">
        <v>45</v>
      </c>
      <c r="D1574" s="2">
        <v>1091</v>
      </c>
      <c r="E1574" s="2">
        <v>43081</v>
      </c>
      <c r="F1574" s="4">
        <v>47877</v>
      </c>
    </row>
    <row r="1575" spans="1:6" x14ac:dyDescent="0.3">
      <c r="A1575" s="3">
        <v>2017</v>
      </c>
      <c r="B1575" s="1" t="s">
        <v>56</v>
      </c>
      <c r="C1575" s="1" t="s">
        <v>46</v>
      </c>
      <c r="D1575" s="2">
        <v>6835</v>
      </c>
      <c r="E1575" s="2">
        <v>348417</v>
      </c>
      <c r="F1575" s="4">
        <v>59526</v>
      </c>
    </row>
    <row r="1576" spans="1:6" x14ac:dyDescent="0.3">
      <c r="A1576" s="3">
        <v>2017</v>
      </c>
      <c r="B1576" s="1" t="s">
        <v>56</v>
      </c>
      <c r="C1576" s="1" t="s">
        <v>47</v>
      </c>
      <c r="D1576" s="2">
        <v>24275</v>
      </c>
      <c r="E1576" s="2">
        <v>851513</v>
      </c>
      <c r="F1576" s="4">
        <v>75813</v>
      </c>
    </row>
    <row r="1577" spans="1:6" x14ac:dyDescent="0.3">
      <c r="A1577" s="3">
        <v>2017</v>
      </c>
      <c r="B1577" s="1" t="s">
        <v>56</v>
      </c>
      <c r="C1577" s="1" t="s">
        <v>48</v>
      </c>
      <c r="D1577" s="2">
        <v>4248</v>
      </c>
      <c r="E1577" s="2">
        <v>128365</v>
      </c>
      <c r="F1577" s="4">
        <v>56723</v>
      </c>
    </row>
    <row r="1578" spans="1:6" x14ac:dyDescent="0.3">
      <c r="A1578" s="3">
        <v>2017</v>
      </c>
      <c r="B1578" s="1" t="s">
        <v>56</v>
      </c>
      <c r="C1578" s="1" t="s">
        <v>49</v>
      </c>
      <c r="D1578" s="2">
        <v>1105</v>
      </c>
      <c r="E1578" s="2">
        <v>29550</v>
      </c>
      <c r="F1578" s="4">
        <v>58004</v>
      </c>
    </row>
    <row r="1579" spans="1:6" x14ac:dyDescent="0.3">
      <c r="A1579" s="3">
        <v>2017</v>
      </c>
      <c r="B1579" s="1" t="s">
        <v>56</v>
      </c>
      <c r="C1579" s="1" t="s">
        <v>50</v>
      </c>
      <c r="D1579" s="2">
        <v>6475</v>
      </c>
      <c r="E1579" s="2">
        <v>232927</v>
      </c>
      <c r="F1579" s="4">
        <v>57894</v>
      </c>
    </row>
    <row r="1580" spans="1:6" x14ac:dyDescent="0.3">
      <c r="A1580" s="3">
        <v>2017</v>
      </c>
      <c r="B1580" s="1" t="s">
        <v>56</v>
      </c>
      <c r="C1580" s="1" t="s">
        <v>51</v>
      </c>
      <c r="D1580" s="2">
        <v>7671</v>
      </c>
      <c r="E1580" s="2">
        <v>280368</v>
      </c>
      <c r="F1580" s="4">
        <v>76290</v>
      </c>
    </row>
    <row r="1581" spans="1:6" x14ac:dyDescent="0.3">
      <c r="A1581" s="3">
        <v>2017</v>
      </c>
      <c r="B1581" s="1" t="s">
        <v>56</v>
      </c>
      <c r="C1581" s="1" t="s">
        <v>52</v>
      </c>
      <c r="D1581" s="2">
        <v>1272</v>
      </c>
      <c r="E1581" s="2">
        <v>46575</v>
      </c>
      <c r="F1581" s="4">
        <v>58624</v>
      </c>
    </row>
    <row r="1582" spans="1:6" x14ac:dyDescent="0.3">
      <c r="A1582" s="3">
        <v>2017</v>
      </c>
      <c r="B1582" s="1" t="s">
        <v>56</v>
      </c>
      <c r="C1582" s="1" t="s">
        <v>53</v>
      </c>
      <c r="D1582" s="2">
        <v>9356</v>
      </c>
      <c r="E1582" s="2">
        <v>466595</v>
      </c>
      <c r="F1582" s="4">
        <v>57001</v>
      </c>
    </row>
    <row r="1583" spans="1:6" x14ac:dyDescent="0.3">
      <c r="A1583" s="3">
        <v>2017</v>
      </c>
      <c r="B1583" s="1" t="s">
        <v>56</v>
      </c>
      <c r="C1583" s="1" t="s">
        <v>54</v>
      </c>
      <c r="D1583" s="1">
        <v>598</v>
      </c>
      <c r="E1583" s="2">
        <v>9378</v>
      </c>
      <c r="F1583" s="4">
        <v>65834</v>
      </c>
    </row>
    <row r="1584" spans="1:6" x14ac:dyDescent="0.3">
      <c r="A1584" s="3">
        <v>2017</v>
      </c>
      <c r="B1584" s="1" t="s">
        <v>57</v>
      </c>
      <c r="C1584" s="1" t="s">
        <v>7</v>
      </c>
      <c r="D1584" s="2">
        <v>32410</v>
      </c>
      <c r="E1584" s="2">
        <v>375653</v>
      </c>
      <c r="F1584" s="4">
        <v>40518</v>
      </c>
    </row>
    <row r="1585" spans="1:6" x14ac:dyDescent="0.3">
      <c r="A1585" s="3">
        <v>2017</v>
      </c>
      <c r="B1585" s="1" t="s">
        <v>57</v>
      </c>
      <c r="C1585" s="1" t="s">
        <v>8</v>
      </c>
      <c r="D1585" s="2">
        <v>29489</v>
      </c>
      <c r="E1585" s="2">
        <v>518475</v>
      </c>
      <c r="F1585" s="4">
        <v>45126</v>
      </c>
    </row>
    <row r="1586" spans="1:6" x14ac:dyDescent="0.3">
      <c r="A1586" s="3">
        <v>2017</v>
      </c>
      <c r="B1586" s="1" t="s">
        <v>57</v>
      </c>
      <c r="C1586" s="1" t="s">
        <v>9</v>
      </c>
      <c r="D1586" s="2">
        <v>21486</v>
      </c>
      <c r="E1586" s="2">
        <v>247661</v>
      </c>
      <c r="F1586" s="4">
        <v>40275</v>
      </c>
    </row>
    <row r="1587" spans="1:6" x14ac:dyDescent="0.3">
      <c r="A1587" s="3">
        <v>2017</v>
      </c>
      <c r="B1587" s="1" t="s">
        <v>57</v>
      </c>
      <c r="C1587" s="1" t="s">
        <v>10</v>
      </c>
      <c r="D1587" s="2">
        <v>185826</v>
      </c>
      <c r="E1587" s="2">
        <v>3010983</v>
      </c>
      <c r="F1587" s="4">
        <v>51095</v>
      </c>
    </row>
    <row r="1588" spans="1:6" x14ac:dyDescent="0.3">
      <c r="A1588" s="3">
        <v>2017</v>
      </c>
      <c r="B1588" s="1" t="s">
        <v>57</v>
      </c>
      <c r="C1588" s="1" t="s">
        <v>11</v>
      </c>
      <c r="D1588" s="2">
        <v>35715</v>
      </c>
      <c r="E1588" s="2">
        <v>458174</v>
      </c>
      <c r="F1588" s="4">
        <v>48601</v>
      </c>
    </row>
    <row r="1589" spans="1:6" x14ac:dyDescent="0.3">
      <c r="A1589" s="3">
        <v>2017</v>
      </c>
      <c r="B1589" s="1" t="s">
        <v>57</v>
      </c>
      <c r="C1589" s="1" t="s">
        <v>12</v>
      </c>
      <c r="D1589" s="2">
        <v>25027</v>
      </c>
      <c r="E1589" s="2">
        <v>297198</v>
      </c>
      <c r="F1589" s="4">
        <v>50064</v>
      </c>
    </row>
    <row r="1590" spans="1:6" x14ac:dyDescent="0.3">
      <c r="A1590" s="3">
        <v>2017</v>
      </c>
      <c r="B1590" s="1" t="s">
        <v>57</v>
      </c>
      <c r="C1590" s="1" t="s">
        <v>13</v>
      </c>
      <c r="D1590" s="2">
        <v>6681</v>
      </c>
      <c r="E1590" s="2">
        <v>79724</v>
      </c>
      <c r="F1590" s="4">
        <v>39700</v>
      </c>
    </row>
    <row r="1591" spans="1:6" x14ac:dyDescent="0.3">
      <c r="A1591" s="3">
        <v>2017</v>
      </c>
      <c r="B1591" s="1" t="s">
        <v>57</v>
      </c>
      <c r="C1591" s="1" t="s">
        <v>14</v>
      </c>
      <c r="D1591" s="2">
        <v>139501</v>
      </c>
      <c r="E1591" s="2">
        <v>1739867</v>
      </c>
      <c r="F1591" s="4">
        <v>43229</v>
      </c>
    </row>
    <row r="1592" spans="1:6" x14ac:dyDescent="0.3">
      <c r="A1592" s="3">
        <v>2017</v>
      </c>
      <c r="B1592" s="1" t="s">
        <v>57</v>
      </c>
      <c r="C1592" s="1" t="s">
        <v>15</v>
      </c>
      <c r="D1592" s="2">
        <v>60382</v>
      </c>
      <c r="E1592" s="2">
        <v>930943</v>
      </c>
      <c r="F1592" s="4">
        <v>48763</v>
      </c>
    </row>
    <row r="1593" spans="1:6" x14ac:dyDescent="0.3">
      <c r="A1593" s="3">
        <v>2017</v>
      </c>
      <c r="B1593" s="1" t="s">
        <v>57</v>
      </c>
      <c r="C1593" s="1" t="s">
        <v>16</v>
      </c>
      <c r="D1593" s="2">
        <v>11706</v>
      </c>
      <c r="E1593" s="2">
        <v>136606</v>
      </c>
      <c r="F1593" s="4">
        <v>38856</v>
      </c>
    </row>
    <row r="1594" spans="1:6" x14ac:dyDescent="0.3">
      <c r="A1594" s="3">
        <v>2017</v>
      </c>
      <c r="B1594" s="1" t="s">
        <v>57</v>
      </c>
      <c r="C1594" s="1" t="s">
        <v>17</v>
      </c>
      <c r="D1594" s="2">
        <v>77273</v>
      </c>
      <c r="E1594" s="2">
        <v>1192805</v>
      </c>
      <c r="F1594" s="4">
        <v>50025</v>
      </c>
    </row>
    <row r="1595" spans="1:6" x14ac:dyDescent="0.3">
      <c r="A1595" s="3">
        <v>2017</v>
      </c>
      <c r="B1595" s="1" t="s">
        <v>57</v>
      </c>
      <c r="C1595" s="1" t="s">
        <v>18</v>
      </c>
      <c r="D1595" s="2">
        <v>40630</v>
      </c>
      <c r="E1595" s="2">
        <v>588381</v>
      </c>
      <c r="F1595" s="4">
        <v>40479</v>
      </c>
    </row>
    <row r="1596" spans="1:6" x14ac:dyDescent="0.3">
      <c r="A1596" s="3">
        <v>2017</v>
      </c>
      <c r="B1596" s="1" t="s">
        <v>57</v>
      </c>
      <c r="C1596" s="1" t="s">
        <v>19</v>
      </c>
      <c r="D1596" s="2">
        <v>23446</v>
      </c>
      <c r="E1596" s="2">
        <v>311763</v>
      </c>
      <c r="F1596" s="4">
        <v>39025</v>
      </c>
    </row>
    <row r="1597" spans="1:6" x14ac:dyDescent="0.3">
      <c r="A1597" s="3">
        <v>2017</v>
      </c>
      <c r="B1597" s="1" t="s">
        <v>57</v>
      </c>
      <c r="C1597" s="1" t="s">
        <v>20</v>
      </c>
      <c r="D1597" s="2">
        <v>20676</v>
      </c>
      <c r="E1597" s="2">
        <v>263529</v>
      </c>
      <c r="F1597" s="4">
        <v>40705</v>
      </c>
    </row>
    <row r="1598" spans="1:6" x14ac:dyDescent="0.3">
      <c r="A1598" s="3">
        <v>2017</v>
      </c>
      <c r="B1598" s="1" t="s">
        <v>57</v>
      </c>
      <c r="C1598" s="1" t="s">
        <v>21</v>
      </c>
      <c r="D1598" s="2">
        <v>27941</v>
      </c>
      <c r="E1598" s="2">
        <v>398217</v>
      </c>
      <c r="F1598" s="4">
        <v>41261</v>
      </c>
    </row>
    <row r="1599" spans="1:6" x14ac:dyDescent="0.3">
      <c r="A1599" s="3">
        <v>2017</v>
      </c>
      <c r="B1599" s="1" t="s">
        <v>57</v>
      </c>
      <c r="C1599" s="1" t="s">
        <v>22</v>
      </c>
      <c r="D1599" s="2">
        <v>30444</v>
      </c>
      <c r="E1599" s="2">
        <v>378830</v>
      </c>
      <c r="F1599" s="4">
        <v>40938</v>
      </c>
    </row>
    <row r="1600" spans="1:6" x14ac:dyDescent="0.3">
      <c r="A1600" s="3">
        <v>2017</v>
      </c>
      <c r="B1600" s="1" t="s">
        <v>57</v>
      </c>
      <c r="C1600" s="1" t="s">
        <v>23</v>
      </c>
      <c r="D1600" s="2">
        <v>11060</v>
      </c>
      <c r="E1600" s="2">
        <v>119329</v>
      </c>
      <c r="F1600" s="4">
        <v>36287</v>
      </c>
    </row>
    <row r="1601" spans="1:6" x14ac:dyDescent="0.3">
      <c r="A1601" s="3">
        <v>2017</v>
      </c>
      <c r="B1601" s="1" t="s">
        <v>57</v>
      </c>
      <c r="C1601" s="1" t="s">
        <v>24</v>
      </c>
      <c r="D1601" s="2">
        <v>33064</v>
      </c>
      <c r="E1601" s="2">
        <v>462131</v>
      </c>
      <c r="F1601" s="4">
        <v>45367</v>
      </c>
    </row>
    <row r="1602" spans="1:6" x14ac:dyDescent="0.3">
      <c r="A1602" s="3">
        <v>2017</v>
      </c>
      <c r="B1602" s="1" t="s">
        <v>57</v>
      </c>
      <c r="C1602" s="1" t="s">
        <v>25</v>
      </c>
      <c r="D1602" s="2">
        <v>42906</v>
      </c>
      <c r="E1602" s="2">
        <v>577319</v>
      </c>
      <c r="F1602" s="4">
        <v>51500</v>
      </c>
    </row>
    <row r="1603" spans="1:6" x14ac:dyDescent="0.3">
      <c r="A1603" s="3">
        <v>2017</v>
      </c>
      <c r="B1603" s="1" t="s">
        <v>57</v>
      </c>
      <c r="C1603" s="1" t="s">
        <v>26</v>
      </c>
      <c r="D1603" s="2">
        <v>52149</v>
      </c>
      <c r="E1603" s="2">
        <v>784393</v>
      </c>
      <c r="F1603" s="4">
        <v>45628</v>
      </c>
    </row>
    <row r="1604" spans="1:6" x14ac:dyDescent="0.3">
      <c r="A1604" s="3">
        <v>2017</v>
      </c>
      <c r="B1604" s="1" t="s">
        <v>57</v>
      </c>
      <c r="C1604" s="1" t="s">
        <v>27</v>
      </c>
      <c r="D1604" s="2">
        <v>36334</v>
      </c>
      <c r="E1604" s="2">
        <v>531926</v>
      </c>
      <c r="F1604" s="4">
        <v>48273</v>
      </c>
    </row>
    <row r="1605" spans="1:6" x14ac:dyDescent="0.3">
      <c r="A1605" s="3">
        <v>2017</v>
      </c>
      <c r="B1605" s="1" t="s">
        <v>57</v>
      </c>
      <c r="C1605" s="1" t="s">
        <v>28</v>
      </c>
      <c r="D1605" s="2">
        <v>19589</v>
      </c>
      <c r="E1605" s="2">
        <v>229775</v>
      </c>
      <c r="F1605" s="4">
        <v>35324</v>
      </c>
    </row>
    <row r="1606" spans="1:6" x14ac:dyDescent="0.3">
      <c r="A1606" s="3">
        <v>2017</v>
      </c>
      <c r="B1606" s="1" t="s">
        <v>57</v>
      </c>
      <c r="C1606" s="1" t="s">
        <v>29</v>
      </c>
      <c r="D1606" s="2">
        <v>40324</v>
      </c>
      <c r="E1606" s="2">
        <v>538185</v>
      </c>
      <c r="F1606" s="4">
        <v>41095</v>
      </c>
    </row>
    <row r="1607" spans="1:6" x14ac:dyDescent="0.3">
      <c r="A1607" s="3">
        <v>2017</v>
      </c>
      <c r="B1607" s="1" t="s">
        <v>57</v>
      </c>
      <c r="C1607" s="1" t="s">
        <v>30</v>
      </c>
      <c r="D1607" s="2">
        <v>9270</v>
      </c>
      <c r="E1607" s="2">
        <v>91194</v>
      </c>
      <c r="F1607" s="4">
        <v>38067</v>
      </c>
    </row>
    <row r="1608" spans="1:6" x14ac:dyDescent="0.3">
      <c r="A1608" s="3">
        <v>2017</v>
      </c>
      <c r="B1608" s="1" t="s">
        <v>57</v>
      </c>
      <c r="C1608" s="1" t="s">
        <v>31</v>
      </c>
      <c r="D1608" s="2">
        <v>15024</v>
      </c>
      <c r="E1608" s="2">
        <v>190930</v>
      </c>
      <c r="F1608" s="4">
        <v>38493</v>
      </c>
    </row>
    <row r="1609" spans="1:6" x14ac:dyDescent="0.3">
      <c r="A1609" s="3">
        <v>2017</v>
      </c>
      <c r="B1609" s="1" t="s">
        <v>57</v>
      </c>
      <c r="C1609" s="1" t="s">
        <v>32</v>
      </c>
      <c r="D1609" s="2">
        <v>15910</v>
      </c>
      <c r="E1609" s="2">
        <v>247973</v>
      </c>
      <c r="F1609" s="4">
        <v>42847</v>
      </c>
    </row>
    <row r="1610" spans="1:6" x14ac:dyDescent="0.3">
      <c r="A1610" s="3">
        <v>2017</v>
      </c>
      <c r="B1610" s="1" t="s">
        <v>57</v>
      </c>
      <c r="C1610" s="1" t="s">
        <v>33</v>
      </c>
      <c r="D1610" s="2">
        <v>12612</v>
      </c>
      <c r="E1610" s="2">
        <v>139876</v>
      </c>
      <c r="F1610" s="4">
        <v>46101</v>
      </c>
    </row>
    <row r="1611" spans="1:6" x14ac:dyDescent="0.3">
      <c r="A1611" s="3">
        <v>2017</v>
      </c>
      <c r="B1611" s="1" t="s">
        <v>57</v>
      </c>
      <c r="C1611" s="1" t="s">
        <v>34</v>
      </c>
      <c r="D1611" s="2">
        <v>53977</v>
      </c>
      <c r="E1611" s="2">
        <v>872180</v>
      </c>
      <c r="F1611" s="4">
        <v>52631</v>
      </c>
    </row>
    <row r="1612" spans="1:6" x14ac:dyDescent="0.3">
      <c r="A1612" s="3">
        <v>2017</v>
      </c>
      <c r="B1612" s="1" t="s">
        <v>57</v>
      </c>
      <c r="C1612" s="1" t="s">
        <v>35</v>
      </c>
      <c r="D1612" s="2">
        <v>10538</v>
      </c>
      <c r="E1612" s="2">
        <v>134696</v>
      </c>
      <c r="F1612" s="4">
        <v>36519</v>
      </c>
    </row>
    <row r="1613" spans="1:6" x14ac:dyDescent="0.3">
      <c r="A1613" s="3">
        <v>2017</v>
      </c>
      <c r="B1613" s="1" t="s">
        <v>57</v>
      </c>
      <c r="C1613" s="1" t="s">
        <v>36</v>
      </c>
      <c r="D1613" s="2">
        <v>126549</v>
      </c>
      <c r="E1613" s="2">
        <v>1562385</v>
      </c>
      <c r="F1613" s="4">
        <v>50389</v>
      </c>
    </row>
    <row r="1614" spans="1:6" x14ac:dyDescent="0.3">
      <c r="A1614" s="3">
        <v>2017</v>
      </c>
      <c r="B1614" s="1" t="s">
        <v>57</v>
      </c>
      <c r="C1614" s="1" t="s">
        <v>37</v>
      </c>
      <c r="D1614" s="2">
        <v>61042</v>
      </c>
      <c r="E1614" s="2">
        <v>824989</v>
      </c>
      <c r="F1614" s="4">
        <v>41845</v>
      </c>
    </row>
    <row r="1615" spans="1:6" x14ac:dyDescent="0.3">
      <c r="A1615" s="3">
        <v>2017</v>
      </c>
      <c r="B1615" s="1" t="s">
        <v>57</v>
      </c>
      <c r="C1615" s="1" t="s">
        <v>38</v>
      </c>
      <c r="D1615" s="2">
        <v>7819</v>
      </c>
      <c r="E1615" s="2">
        <v>92052</v>
      </c>
      <c r="F1615" s="4">
        <v>47910</v>
      </c>
    </row>
    <row r="1616" spans="1:6" x14ac:dyDescent="0.3">
      <c r="A1616" s="3">
        <v>2017</v>
      </c>
      <c r="B1616" s="1" t="s">
        <v>57</v>
      </c>
      <c r="C1616" s="1" t="s">
        <v>39</v>
      </c>
      <c r="D1616" s="2">
        <v>68763</v>
      </c>
      <c r="E1616" s="2">
        <v>1018161</v>
      </c>
      <c r="F1616" s="4">
        <v>42564</v>
      </c>
    </row>
    <row r="1617" spans="1:6" x14ac:dyDescent="0.3">
      <c r="A1617" s="3">
        <v>2017</v>
      </c>
      <c r="B1617" s="1" t="s">
        <v>57</v>
      </c>
      <c r="C1617" s="1" t="s">
        <v>40</v>
      </c>
      <c r="D1617" s="2">
        <v>23838</v>
      </c>
      <c r="E1617" s="2">
        <v>301165</v>
      </c>
      <c r="F1617" s="4">
        <v>41040</v>
      </c>
    </row>
    <row r="1618" spans="1:6" x14ac:dyDescent="0.3">
      <c r="A1618" s="3">
        <v>2017</v>
      </c>
      <c r="B1618" s="1" t="s">
        <v>57</v>
      </c>
      <c r="C1618" s="1" t="s">
        <v>41</v>
      </c>
      <c r="D1618" s="2">
        <v>26684</v>
      </c>
      <c r="E1618" s="2">
        <v>347515</v>
      </c>
      <c r="F1618" s="4">
        <v>42870</v>
      </c>
    </row>
    <row r="1619" spans="1:6" x14ac:dyDescent="0.3">
      <c r="A1619" s="3">
        <v>2017</v>
      </c>
      <c r="B1619" s="1" t="s">
        <v>57</v>
      </c>
      <c r="C1619" s="1" t="s">
        <v>42</v>
      </c>
      <c r="D1619" s="2">
        <v>75374</v>
      </c>
      <c r="E1619" s="2">
        <v>1115565</v>
      </c>
      <c r="F1619" s="4">
        <v>43972</v>
      </c>
    </row>
    <row r="1620" spans="1:6" x14ac:dyDescent="0.3">
      <c r="A1620" s="3">
        <v>2017</v>
      </c>
      <c r="B1620" s="1" t="s">
        <v>57</v>
      </c>
      <c r="C1620" s="1" t="s">
        <v>43</v>
      </c>
      <c r="D1620" s="2">
        <v>7674</v>
      </c>
      <c r="E1620" s="2">
        <v>76263</v>
      </c>
      <c r="F1620" s="4">
        <v>42503</v>
      </c>
    </row>
    <row r="1621" spans="1:6" x14ac:dyDescent="0.3">
      <c r="A1621" s="3">
        <v>2017</v>
      </c>
      <c r="B1621" s="1" t="s">
        <v>57</v>
      </c>
      <c r="C1621" s="1" t="s">
        <v>44</v>
      </c>
      <c r="D1621" s="2">
        <v>29784</v>
      </c>
      <c r="E1621" s="2">
        <v>395329</v>
      </c>
      <c r="F1621" s="4">
        <v>38973</v>
      </c>
    </row>
    <row r="1622" spans="1:6" x14ac:dyDescent="0.3">
      <c r="A1622" s="3">
        <v>2017</v>
      </c>
      <c r="B1622" s="1" t="s">
        <v>57</v>
      </c>
      <c r="C1622" s="1" t="s">
        <v>45</v>
      </c>
      <c r="D1622" s="2">
        <v>8036</v>
      </c>
      <c r="E1622" s="2">
        <v>86427</v>
      </c>
      <c r="F1622" s="4">
        <v>38278</v>
      </c>
    </row>
    <row r="1623" spans="1:6" x14ac:dyDescent="0.3">
      <c r="A1623" s="3">
        <v>2017</v>
      </c>
      <c r="B1623" s="1" t="s">
        <v>57</v>
      </c>
      <c r="C1623" s="1" t="s">
        <v>46</v>
      </c>
      <c r="D1623" s="2">
        <v>39250</v>
      </c>
      <c r="E1623" s="2">
        <v>618046</v>
      </c>
      <c r="F1623" s="4">
        <v>44773</v>
      </c>
    </row>
    <row r="1624" spans="1:6" x14ac:dyDescent="0.3">
      <c r="A1624" s="3">
        <v>2017</v>
      </c>
      <c r="B1624" s="1" t="s">
        <v>57</v>
      </c>
      <c r="C1624" s="1" t="s">
        <v>47</v>
      </c>
      <c r="D1624" s="2">
        <v>145842</v>
      </c>
      <c r="E1624" s="2">
        <v>2432880</v>
      </c>
      <c r="F1624" s="4">
        <v>50316</v>
      </c>
    </row>
    <row r="1625" spans="1:6" x14ac:dyDescent="0.3">
      <c r="A1625" s="3">
        <v>2017</v>
      </c>
      <c r="B1625" s="1" t="s">
        <v>57</v>
      </c>
      <c r="C1625" s="1" t="s">
        <v>48</v>
      </c>
      <c r="D1625" s="2">
        <v>19048</v>
      </c>
      <c r="E1625" s="2">
        <v>276552</v>
      </c>
      <c r="F1625" s="4">
        <v>42378</v>
      </c>
    </row>
    <row r="1626" spans="1:6" x14ac:dyDescent="0.3">
      <c r="A1626" s="3">
        <v>2017</v>
      </c>
      <c r="B1626" s="1" t="s">
        <v>57</v>
      </c>
      <c r="C1626" s="1" t="s">
        <v>49</v>
      </c>
      <c r="D1626" s="2">
        <v>5138</v>
      </c>
      <c r="E1626" s="2">
        <v>55012</v>
      </c>
      <c r="F1626" s="4">
        <v>38650</v>
      </c>
    </row>
    <row r="1627" spans="1:6" x14ac:dyDescent="0.3">
      <c r="A1627" s="3">
        <v>2017</v>
      </c>
      <c r="B1627" s="1" t="s">
        <v>57</v>
      </c>
      <c r="C1627" s="1" t="s">
        <v>50</v>
      </c>
      <c r="D1627" s="2">
        <v>42996</v>
      </c>
      <c r="E1627" s="2">
        <v>652711</v>
      </c>
      <c r="F1627" s="4">
        <v>42291</v>
      </c>
    </row>
    <row r="1628" spans="1:6" x14ac:dyDescent="0.3">
      <c r="A1628" s="3">
        <v>2017</v>
      </c>
      <c r="B1628" s="1" t="s">
        <v>57</v>
      </c>
      <c r="C1628" s="1" t="s">
        <v>51</v>
      </c>
      <c r="D1628" s="2">
        <v>39715</v>
      </c>
      <c r="E1628" s="2">
        <v>610599</v>
      </c>
      <c r="F1628" s="4">
        <v>58924</v>
      </c>
    </row>
    <row r="1629" spans="1:6" x14ac:dyDescent="0.3">
      <c r="A1629" s="3">
        <v>2017</v>
      </c>
      <c r="B1629" s="1" t="s">
        <v>57</v>
      </c>
      <c r="C1629" s="1" t="s">
        <v>52</v>
      </c>
      <c r="D1629" s="2">
        <v>10925</v>
      </c>
      <c r="E1629" s="2">
        <v>129300</v>
      </c>
      <c r="F1629" s="4">
        <v>37489</v>
      </c>
    </row>
    <row r="1630" spans="1:6" x14ac:dyDescent="0.3">
      <c r="A1630" s="3">
        <v>2017</v>
      </c>
      <c r="B1630" s="1" t="s">
        <v>57</v>
      </c>
      <c r="C1630" s="1" t="s">
        <v>53</v>
      </c>
      <c r="D1630" s="2">
        <v>35433</v>
      </c>
      <c r="E1630" s="2">
        <v>539603</v>
      </c>
      <c r="F1630" s="4">
        <v>39831</v>
      </c>
    </row>
    <row r="1631" spans="1:6" x14ac:dyDescent="0.3">
      <c r="A1631" s="3">
        <v>2017</v>
      </c>
      <c r="B1631" s="1" t="s">
        <v>57</v>
      </c>
      <c r="C1631" s="1" t="s">
        <v>54</v>
      </c>
      <c r="D1631" s="2">
        <v>4822</v>
      </c>
      <c r="E1631" s="2">
        <v>49799</v>
      </c>
      <c r="F1631" s="4">
        <v>40999</v>
      </c>
    </row>
    <row r="1632" spans="1:6" x14ac:dyDescent="0.3">
      <c r="A1632" s="3">
        <v>2017</v>
      </c>
      <c r="B1632" s="1" t="s">
        <v>58</v>
      </c>
      <c r="C1632" s="1" t="s">
        <v>7</v>
      </c>
      <c r="D1632" s="2">
        <v>1969</v>
      </c>
      <c r="E1632" s="2">
        <v>20807</v>
      </c>
      <c r="F1632" s="4">
        <v>58932</v>
      </c>
    </row>
    <row r="1633" spans="1:6" x14ac:dyDescent="0.3">
      <c r="A1633" s="3">
        <v>2017</v>
      </c>
      <c r="B1633" s="1" t="s">
        <v>58</v>
      </c>
      <c r="C1633" s="1" t="s">
        <v>8</v>
      </c>
      <c r="D1633" s="2">
        <v>2461</v>
      </c>
      <c r="E1633" s="2">
        <v>44962</v>
      </c>
      <c r="F1633" s="4">
        <v>71171</v>
      </c>
    </row>
    <row r="1634" spans="1:6" x14ac:dyDescent="0.3">
      <c r="A1634" s="3">
        <v>2017</v>
      </c>
      <c r="B1634" s="1" t="s">
        <v>58</v>
      </c>
      <c r="C1634" s="1" t="s">
        <v>9</v>
      </c>
      <c r="D1634" s="2">
        <v>1123</v>
      </c>
      <c r="E1634" s="2">
        <v>12766</v>
      </c>
      <c r="F1634" s="4">
        <v>56682</v>
      </c>
    </row>
    <row r="1635" spans="1:6" x14ac:dyDescent="0.3">
      <c r="A1635" s="3">
        <v>2017</v>
      </c>
      <c r="B1635" s="1" t="s">
        <v>58</v>
      </c>
      <c r="C1635" s="1" t="s">
        <v>10</v>
      </c>
      <c r="D1635" s="2">
        <v>22519</v>
      </c>
      <c r="E1635" s="2">
        <v>513029</v>
      </c>
      <c r="F1635" s="4">
        <v>172309</v>
      </c>
    </row>
    <row r="1636" spans="1:6" x14ac:dyDescent="0.3">
      <c r="A1636" s="3">
        <v>2017</v>
      </c>
      <c r="B1636" s="1" t="s">
        <v>58</v>
      </c>
      <c r="C1636" s="1" t="s">
        <v>11</v>
      </c>
      <c r="D1636" s="2">
        <v>3891</v>
      </c>
      <c r="E1636" s="2">
        <v>71641</v>
      </c>
      <c r="F1636" s="4">
        <v>100781</v>
      </c>
    </row>
    <row r="1637" spans="1:6" x14ac:dyDescent="0.3">
      <c r="A1637" s="3">
        <v>2017</v>
      </c>
      <c r="B1637" s="1" t="s">
        <v>58</v>
      </c>
      <c r="C1637" s="1" t="s">
        <v>12</v>
      </c>
      <c r="D1637" s="2">
        <v>2146</v>
      </c>
      <c r="E1637" s="2">
        <v>31542</v>
      </c>
      <c r="F1637" s="4">
        <v>103094</v>
      </c>
    </row>
    <row r="1638" spans="1:6" x14ac:dyDescent="0.3">
      <c r="A1638" s="3">
        <v>2017</v>
      </c>
      <c r="B1638" s="1" t="s">
        <v>58</v>
      </c>
      <c r="C1638" s="1" t="s">
        <v>13</v>
      </c>
      <c r="D1638" s="1">
        <v>409</v>
      </c>
      <c r="E1638" s="2">
        <v>4560</v>
      </c>
      <c r="F1638" s="4">
        <v>64686</v>
      </c>
    </row>
    <row r="1639" spans="1:6" x14ac:dyDescent="0.3">
      <c r="A1639" s="3">
        <v>2017</v>
      </c>
      <c r="B1639" s="1" t="s">
        <v>58</v>
      </c>
      <c r="C1639" s="1" t="s">
        <v>14</v>
      </c>
      <c r="D1639" s="2">
        <v>10983</v>
      </c>
      <c r="E1639" s="2">
        <v>138039</v>
      </c>
      <c r="F1639" s="4">
        <v>80305</v>
      </c>
    </row>
    <row r="1640" spans="1:6" x14ac:dyDescent="0.3">
      <c r="A1640" s="3">
        <v>2017</v>
      </c>
      <c r="B1640" s="1" t="s">
        <v>58</v>
      </c>
      <c r="C1640" s="1" t="s">
        <v>15</v>
      </c>
      <c r="D1640" s="2">
        <v>4911</v>
      </c>
      <c r="E1640" s="2">
        <v>116074</v>
      </c>
      <c r="F1640" s="4">
        <v>96306</v>
      </c>
    </row>
    <row r="1641" spans="1:6" x14ac:dyDescent="0.3">
      <c r="A1641" s="3">
        <v>2017</v>
      </c>
      <c r="B1641" s="1" t="s">
        <v>58</v>
      </c>
      <c r="C1641" s="1" t="s">
        <v>16</v>
      </c>
      <c r="D1641" s="2">
        <v>1175</v>
      </c>
      <c r="E1641" s="2">
        <v>8923</v>
      </c>
      <c r="F1641" s="4">
        <v>51032</v>
      </c>
    </row>
    <row r="1642" spans="1:6" x14ac:dyDescent="0.3">
      <c r="A1642" s="3">
        <v>2017</v>
      </c>
      <c r="B1642" s="1" t="s">
        <v>58</v>
      </c>
      <c r="C1642" s="1" t="s">
        <v>17</v>
      </c>
      <c r="D1642" s="2">
        <v>6534</v>
      </c>
      <c r="E1642" s="2">
        <v>96181</v>
      </c>
      <c r="F1642" s="4">
        <v>85328</v>
      </c>
    </row>
    <row r="1643" spans="1:6" x14ac:dyDescent="0.3">
      <c r="A1643" s="3">
        <v>2017</v>
      </c>
      <c r="B1643" s="1" t="s">
        <v>58</v>
      </c>
      <c r="C1643" s="1" t="s">
        <v>18</v>
      </c>
      <c r="D1643" s="2">
        <v>2019</v>
      </c>
      <c r="E1643" s="2">
        <v>31465</v>
      </c>
      <c r="F1643" s="4">
        <v>59391</v>
      </c>
    </row>
    <row r="1644" spans="1:6" x14ac:dyDescent="0.3">
      <c r="A1644" s="3">
        <v>2017</v>
      </c>
      <c r="B1644" s="1" t="s">
        <v>58</v>
      </c>
      <c r="C1644" s="1" t="s">
        <v>19</v>
      </c>
      <c r="D1644" s="2">
        <v>1698</v>
      </c>
      <c r="E1644" s="2">
        <v>21891</v>
      </c>
      <c r="F1644" s="4">
        <v>55957</v>
      </c>
    </row>
    <row r="1645" spans="1:6" x14ac:dyDescent="0.3">
      <c r="A1645" s="3">
        <v>2017</v>
      </c>
      <c r="B1645" s="1" t="s">
        <v>58</v>
      </c>
      <c r="C1645" s="1" t="s">
        <v>20</v>
      </c>
      <c r="D1645" s="2">
        <v>1260</v>
      </c>
      <c r="E1645" s="2">
        <v>19279</v>
      </c>
      <c r="F1645" s="4">
        <v>61084</v>
      </c>
    </row>
    <row r="1646" spans="1:6" x14ac:dyDescent="0.3">
      <c r="A1646" s="3">
        <v>2017</v>
      </c>
      <c r="B1646" s="1" t="s">
        <v>58</v>
      </c>
      <c r="C1646" s="1" t="s">
        <v>21</v>
      </c>
      <c r="D1646" s="2">
        <v>1697</v>
      </c>
      <c r="E1646" s="2">
        <v>22698</v>
      </c>
      <c r="F1646" s="4">
        <v>54857</v>
      </c>
    </row>
    <row r="1647" spans="1:6" x14ac:dyDescent="0.3">
      <c r="A1647" s="3">
        <v>2017</v>
      </c>
      <c r="B1647" s="1" t="s">
        <v>58</v>
      </c>
      <c r="C1647" s="1" t="s">
        <v>22</v>
      </c>
      <c r="D1647" s="2">
        <v>1650</v>
      </c>
      <c r="E1647" s="2">
        <v>22941</v>
      </c>
      <c r="F1647" s="4">
        <v>55038</v>
      </c>
    </row>
    <row r="1648" spans="1:6" x14ac:dyDescent="0.3">
      <c r="A1648" s="3">
        <v>2017</v>
      </c>
      <c r="B1648" s="1" t="s">
        <v>58</v>
      </c>
      <c r="C1648" s="1" t="s">
        <v>23</v>
      </c>
      <c r="D1648" s="1">
        <v>843</v>
      </c>
      <c r="E1648" s="2">
        <v>7340</v>
      </c>
      <c r="F1648" s="4">
        <v>52561</v>
      </c>
    </row>
    <row r="1649" spans="1:6" x14ac:dyDescent="0.3">
      <c r="A1649" s="3">
        <v>2017</v>
      </c>
      <c r="B1649" s="1" t="s">
        <v>58</v>
      </c>
      <c r="C1649" s="1" t="s">
        <v>24</v>
      </c>
      <c r="D1649" s="2">
        <v>2719</v>
      </c>
      <c r="E1649" s="2">
        <v>37583</v>
      </c>
      <c r="F1649" s="4">
        <v>88009</v>
      </c>
    </row>
    <row r="1650" spans="1:6" x14ac:dyDescent="0.3">
      <c r="A1650" s="3">
        <v>2017</v>
      </c>
      <c r="B1650" s="1" t="s">
        <v>58</v>
      </c>
      <c r="C1650" s="1" t="s">
        <v>25</v>
      </c>
      <c r="D1650" s="2">
        <v>5143</v>
      </c>
      <c r="E1650" s="2">
        <v>91861</v>
      </c>
      <c r="F1650" s="4">
        <v>114166</v>
      </c>
    </row>
    <row r="1651" spans="1:6" x14ac:dyDescent="0.3">
      <c r="A1651" s="3">
        <v>2017</v>
      </c>
      <c r="B1651" s="1" t="s">
        <v>58</v>
      </c>
      <c r="C1651" s="1" t="s">
        <v>26</v>
      </c>
      <c r="D1651" s="2">
        <v>5934</v>
      </c>
      <c r="E1651" s="2">
        <v>56524</v>
      </c>
      <c r="F1651" s="4">
        <v>70884</v>
      </c>
    </row>
    <row r="1652" spans="1:6" x14ac:dyDescent="0.3">
      <c r="A1652" s="3">
        <v>2017</v>
      </c>
      <c r="B1652" s="1" t="s">
        <v>58</v>
      </c>
      <c r="C1652" s="1" t="s">
        <v>27</v>
      </c>
      <c r="D1652" s="2">
        <v>3663</v>
      </c>
      <c r="E1652" s="2">
        <v>50310</v>
      </c>
      <c r="F1652" s="4">
        <v>75459</v>
      </c>
    </row>
    <row r="1653" spans="1:6" x14ac:dyDescent="0.3">
      <c r="A1653" s="3">
        <v>2017</v>
      </c>
      <c r="B1653" s="1" t="s">
        <v>58</v>
      </c>
      <c r="C1653" s="1" t="s">
        <v>28</v>
      </c>
      <c r="D1653" s="1">
        <v>962</v>
      </c>
      <c r="E1653" s="2">
        <v>11593</v>
      </c>
      <c r="F1653" s="4">
        <v>48002</v>
      </c>
    </row>
    <row r="1654" spans="1:6" x14ac:dyDescent="0.3">
      <c r="A1654" s="3">
        <v>2017</v>
      </c>
      <c r="B1654" s="1" t="s">
        <v>58</v>
      </c>
      <c r="C1654" s="1" t="s">
        <v>29</v>
      </c>
      <c r="D1654" s="2">
        <v>3051</v>
      </c>
      <c r="E1654" s="2">
        <v>48249</v>
      </c>
      <c r="F1654" s="4">
        <v>73665</v>
      </c>
    </row>
    <row r="1655" spans="1:6" x14ac:dyDescent="0.3">
      <c r="A1655" s="3">
        <v>2017</v>
      </c>
      <c r="B1655" s="1" t="s">
        <v>58</v>
      </c>
      <c r="C1655" s="1" t="s">
        <v>30</v>
      </c>
      <c r="D1655" s="1">
        <v>759</v>
      </c>
      <c r="E1655" s="2">
        <v>6394</v>
      </c>
      <c r="F1655" s="4">
        <v>51903</v>
      </c>
    </row>
    <row r="1656" spans="1:6" x14ac:dyDescent="0.3">
      <c r="A1656" s="3">
        <v>2017</v>
      </c>
      <c r="B1656" s="1" t="s">
        <v>58</v>
      </c>
      <c r="C1656" s="1" t="s">
        <v>31</v>
      </c>
      <c r="D1656" s="1">
        <v>964</v>
      </c>
      <c r="E1656" s="2">
        <v>18204</v>
      </c>
      <c r="F1656" s="4">
        <v>61365</v>
      </c>
    </row>
    <row r="1657" spans="1:6" x14ac:dyDescent="0.3">
      <c r="A1657" s="3">
        <v>2017</v>
      </c>
      <c r="B1657" s="1" t="s">
        <v>58</v>
      </c>
      <c r="C1657" s="1" t="s">
        <v>32</v>
      </c>
      <c r="D1657" s="2">
        <v>1440</v>
      </c>
      <c r="E1657" s="2">
        <v>14735</v>
      </c>
      <c r="F1657" s="4">
        <v>65866</v>
      </c>
    </row>
    <row r="1658" spans="1:6" x14ac:dyDescent="0.3">
      <c r="A1658" s="3">
        <v>2017</v>
      </c>
      <c r="B1658" s="1" t="s">
        <v>58</v>
      </c>
      <c r="C1658" s="1" t="s">
        <v>33</v>
      </c>
      <c r="D1658" s="1">
        <v>843</v>
      </c>
      <c r="E1658" s="2">
        <v>12554</v>
      </c>
      <c r="F1658" s="4">
        <v>88119</v>
      </c>
    </row>
    <row r="1659" spans="1:6" x14ac:dyDescent="0.3">
      <c r="A1659" s="3">
        <v>2017</v>
      </c>
      <c r="B1659" s="1" t="s">
        <v>58</v>
      </c>
      <c r="C1659" s="1" t="s">
        <v>34</v>
      </c>
      <c r="D1659" s="2">
        <v>3595</v>
      </c>
      <c r="E1659" s="2">
        <v>70379</v>
      </c>
      <c r="F1659" s="4">
        <v>108638</v>
      </c>
    </row>
    <row r="1660" spans="1:6" x14ac:dyDescent="0.3">
      <c r="A1660" s="3">
        <v>2017</v>
      </c>
      <c r="B1660" s="1" t="s">
        <v>58</v>
      </c>
      <c r="C1660" s="1" t="s">
        <v>35</v>
      </c>
      <c r="D1660" s="1">
        <v>929</v>
      </c>
      <c r="E1660" s="2">
        <v>12398</v>
      </c>
      <c r="F1660" s="4">
        <v>51009</v>
      </c>
    </row>
    <row r="1661" spans="1:6" x14ac:dyDescent="0.3">
      <c r="A1661" s="3">
        <v>2017</v>
      </c>
      <c r="B1661" s="1" t="s">
        <v>58</v>
      </c>
      <c r="C1661" s="1" t="s">
        <v>36</v>
      </c>
      <c r="D1661" s="2">
        <v>12397</v>
      </c>
      <c r="E1661" s="2">
        <v>269233</v>
      </c>
      <c r="F1661" s="4">
        <v>119508</v>
      </c>
    </row>
    <row r="1662" spans="1:6" x14ac:dyDescent="0.3">
      <c r="A1662" s="3">
        <v>2017</v>
      </c>
      <c r="B1662" s="1" t="s">
        <v>58</v>
      </c>
      <c r="C1662" s="1" t="s">
        <v>37</v>
      </c>
      <c r="D1662" s="2">
        <v>5042</v>
      </c>
      <c r="E1662" s="2">
        <v>78826</v>
      </c>
      <c r="F1662" s="4">
        <v>80496</v>
      </c>
    </row>
    <row r="1663" spans="1:6" x14ac:dyDescent="0.3">
      <c r="A1663" s="3">
        <v>2017</v>
      </c>
      <c r="B1663" s="1" t="s">
        <v>58</v>
      </c>
      <c r="C1663" s="1" t="s">
        <v>38</v>
      </c>
      <c r="D1663" s="1">
        <v>396</v>
      </c>
      <c r="E1663" s="2">
        <v>6502</v>
      </c>
      <c r="F1663" s="4">
        <v>65114</v>
      </c>
    </row>
    <row r="1664" spans="1:6" x14ac:dyDescent="0.3">
      <c r="A1664" s="3">
        <v>2017</v>
      </c>
      <c r="B1664" s="1" t="s">
        <v>58</v>
      </c>
      <c r="C1664" s="1" t="s">
        <v>39</v>
      </c>
      <c r="D1664" s="2">
        <v>4456</v>
      </c>
      <c r="E1664" s="2">
        <v>71562</v>
      </c>
      <c r="F1664" s="4">
        <v>67912</v>
      </c>
    </row>
    <row r="1665" spans="1:6" x14ac:dyDescent="0.3">
      <c r="A1665" s="3">
        <v>2017</v>
      </c>
      <c r="B1665" s="1" t="s">
        <v>58</v>
      </c>
      <c r="C1665" s="1" t="s">
        <v>40</v>
      </c>
      <c r="D1665" s="2">
        <v>1491</v>
      </c>
      <c r="E1665" s="2">
        <v>20417</v>
      </c>
      <c r="F1665" s="4">
        <v>57922</v>
      </c>
    </row>
    <row r="1666" spans="1:6" x14ac:dyDescent="0.3">
      <c r="A1666" s="3">
        <v>2017</v>
      </c>
      <c r="B1666" s="1" t="s">
        <v>58</v>
      </c>
      <c r="C1666" s="1" t="s">
        <v>41</v>
      </c>
      <c r="D1666" s="2">
        <v>3521</v>
      </c>
      <c r="E1666" s="2">
        <v>34177</v>
      </c>
      <c r="F1666" s="4">
        <v>80210</v>
      </c>
    </row>
    <row r="1667" spans="1:6" x14ac:dyDescent="0.3">
      <c r="A1667" s="3">
        <v>2017</v>
      </c>
      <c r="B1667" s="1" t="s">
        <v>58</v>
      </c>
      <c r="C1667" s="1" t="s">
        <v>42</v>
      </c>
      <c r="D1667" s="2">
        <v>4664</v>
      </c>
      <c r="E1667" s="2">
        <v>83352</v>
      </c>
      <c r="F1667" s="4">
        <v>78987</v>
      </c>
    </row>
    <row r="1668" spans="1:6" x14ac:dyDescent="0.3">
      <c r="A1668" s="3">
        <v>2017</v>
      </c>
      <c r="B1668" s="1" t="s">
        <v>58</v>
      </c>
      <c r="C1668" s="1" t="s">
        <v>43</v>
      </c>
      <c r="D1668" s="1">
        <v>745</v>
      </c>
      <c r="E1668" s="2">
        <v>6125</v>
      </c>
      <c r="F1668" s="4">
        <v>70660</v>
      </c>
    </row>
    <row r="1669" spans="1:6" x14ac:dyDescent="0.3">
      <c r="A1669" s="3">
        <v>2017</v>
      </c>
      <c r="B1669" s="1" t="s">
        <v>58</v>
      </c>
      <c r="C1669" s="1" t="s">
        <v>44</v>
      </c>
      <c r="D1669" s="2">
        <v>2430</v>
      </c>
      <c r="E1669" s="2">
        <v>27428</v>
      </c>
      <c r="F1669" s="4">
        <v>61428</v>
      </c>
    </row>
    <row r="1670" spans="1:6" x14ac:dyDescent="0.3">
      <c r="A1670" s="3">
        <v>2017</v>
      </c>
      <c r="B1670" s="1" t="s">
        <v>58</v>
      </c>
      <c r="C1670" s="1" t="s">
        <v>45</v>
      </c>
      <c r="D1670" s="1">
        <v>561</v>
      </c>
      <c r="E1670" s="2">
        <v>5720</v>
      </c>
      <c r="F1670" s="4">
        <v>47231</v>
      </c>
    </row>
    <row r="1671" spans="1:6" x14ac:dyDescent="0.3">
      <c r="A1671" s="3">
        <v>2017</v>
      </c>
      <c r="B1671" s="1" t="s">
        <v>58</v>
      </c>
      <c r="C1671" s="1" t="s">
        <v>46</v>
      </c>
      <c r="D1671" s="2">
        <v>3260</v>
      </c>
      <c r="E1671" s="2">
        <v>45482</v>
      </c>
      <c r="F1671" s="4">
        <v>68381</v>
      </c>
    </row>
    <row r="1672" spans="1:6" x14ac:dyDescent="0.3">
      <c r="A1672" s="3">
        <v>2017</v>
      </c>
      <c r="B1672" s="1" t="s">
        <v>58</v>
      </c>
      <c r="C1672" s="1" t="s">
        <v>47</v>
      </c>
      <c r="D1672" s="2">
        <v>9521</v>
      </c>
      <c r="E1672" s="2">
        <v>201873</v>
      </c>
      <c r="F1672" s="4">
        <v>84394</v>
      </c>
    </row>
    <row r="1673" spans="1:6" x14ac:dyDescent="0.3">
      <c r="A1673" s="3">
        <v>2017</v>
      </c>
      <c r="B1673" s="1" t="s">
        <v>58</v>
      </c>
      <c r="C1673" s="1" t="s">
        <v>48</v>
      </c>
      <c r="D1673" s="2">
        <v>2347</v>
      </c>
      <c r="E1673" s="2">
        <v>37185</v>
      </c>
      <c r="F1673" s="4">
        <v>71167</v>
      </c>
    </row>
    <row r="1674" spans="1:6" x14ac:dyDescent="0.3">
      <c r="A1674" s="3">
        <v>2017</v>
      </c>
      <c r="B1674" s="1" t="s">
        <v>58</v>
      </c>
      <c r="C1674" s="1" t="s">
        <v>49</v>
      </c>
      <c r="D1674" s="1">
        <v>503</v>
      </c>
      <c r="E1674" s="2">
        <v>4478</v>
      </c>
      <c r="F1674" s="4">
        <v>58372</v>
      </c>
    </row>
    <row r="1675" spans="1:6" x14ac:dyDescent="0.3">
      <c r="A1675" s="3">
        <v>2017</v>
      </c>
      <c r="B1675" s="1" t="s">
        <v>58</v>
      </c>
      <c r="C1675" s="1" t="s">
        <v>50</v>
      </c>
      <c r="D1675" s="2">
        <v>4222</v>
      </c>
      <c r="E1675" s="2">
        <v>67623</v>
      </c>
      <c r="F1675" s="4">
        <v>98219</v>
      </c>
    </row>
    <row r="1676" spans="1:6" x14ac:dyDescent="0.3">
      <c r="A1676" s="3">
        <v>2017</v>
      </c>
      <c r="B1676" s="1" t="s">
        <v>58</v>
      </c>
      <c r="C1676" s="1" t="s">
        <v>51</v>
      </c>
      <c r="D1676" s="2">
        <v>4271</v>
      </c>
      <c r="E1676" s="2">
        <v>125798</v>
      </c>
      <c r="F1676" s="4">
        <v>172513</v>
      </c>
    </row>
    <row r="1677" spans="1:6" x14ac:dyDescent="0.3">
      <c r="A1677" s="3">
        <v>2017</v>
      </c>
      <c r="B1677" s="1" t="s">
        <v>58</v>
      </c>
      <c r="C1677" s="1" t="s">
        <v>52</v>
      </c>
      <c r="D1677" s="1">
        <v>764</v>
      </c>
      <c r="E1677" s="2">
        <v>8615</v>
      </c>
      <c r="F1677" s="4">
        <v>50474</v>
      </c>
    </row>
    <row r="1678" spans="1:6" x14ac:dyDescent="0.3">
      <c r="A1678" s="3">
        <v>2017</v>
      </c>
      <c r="B1678" s="1" t="s">
        <v>58</v>
      </c>
      <c r="C1678" s="1" t="s">
        <v>53</v>
      </c>
      <c r="D1678" s="2">
        <v>2126</v>
      </c>
      <c r="E1678" s="2">
        <v>47658</v>
      </c>
      <c r="F1678" s="4">
        <v>71912</v>
      </c>
    </row>
    <row r="1679" spans="1:6" x14ac:dyDescent="0.3">
      <c r="A1679" s="3">
        <v>2017</v>
      </c>
      <c r="B1679" s="1" t="s">
        <v>58</v>
      </c>
      <c r="C1679" s="1" t="s">
        <v>54</v>
      </c>
      <c r="D1679" s="1">
        <v>389</v>
      </c>
      <c r="E1679" s="2">
        <v>3680</v>
      </c>
      <c r="F1679" s="4">
        <v>46375</v>
      </c>
    </row>
    <row r="1680" spans="1:6" x14ac:dyDescent="0.3">
      <c r="A1680" s="3">
        <v>2017</v>
      </c>
      <c r="B1680" s="1" t="s">
        <v>59</v>
      </c>
      <c r="C1680" s="1" t="s">
        <v>7</v>
      </c>
      <c r="D1680" s="2">
        <v>13089</v>
      </c>
      <c r="E1680" s="2">
        <v>94756</v>
      </c>
      <c r="F1680" s="4">
        <v>66324</v>
      </c>
    </row>
    <row r="1681" spans="1:6" x14ac:dyDescent="0.3">
      <c r="A1681" s="3">
        <v>2017</v>
      </c>
      <c r="B1681" s="1" t="s">
        <v>59</v>
      </c>
      <c r="C1681" s="1" t="s">
        <v>8</v>
      </c>
      <c r="D1681" s="2">
        <v>15754</v>
      </c>
      <c r="E1681" s="2">
        <v>206540</v>
      </c>
      <c r="F1681" s="4">
        <v>68059</v>
      </c>
    </row>
    <row r="1682" spans="1:6" x14ac:dyDescent="0.3">
      <c r="A1682" s="3">
        <v>2017</v>
      </c>
      <c r="B1682" s="1" t="s">
        <v>59</v>
      </c>
      <c r="C1682" s="1" t="s">
        <v>9</v>
      </c>
      <c r="D1682" s="2">
        <v>8251</v>
      </c>
      <c r="E1682" s="2">
        <v>49596</v>
      </c>
      <c r="F1682" s="4">
        <v>55939</v>
      </c>
    </row>
    <row r="1683" spans="1:6" x14ac:dyDescent="0.3">
      <c r="A1683" s="3">
        <v>2017</v>
      </c>
      <c r="B1683" s="1" t="s">
        <v>59</v>
      </c>
      <c r="C1683" s="1" t="s">
        <v>10</v>
      </c>
      <c r="D1683" s="2">
        <v>98024</v>
      </c>
      <c r="E1683" s="2">
        <v>827494</v>
      </c>
      <c r="F1683" s="4">
        <v>104466</v>
      </c>
    </row>
    <row r="1684" spans="1:6" x14ac:dyDescent="0.3">
      <c r="A1684" s="3">
        <v>2017</v>
      </c>
      <c r="B1684" s="1" t="s">
        <v>59</v>
      </c>
      <c r="C1684" s="1" t="s">
        <v>11</v>
      </c>
      <c r="D1684" s="2">
        <v>22552</v>
      </c>
      <c r="E1684" s="2">
        <v>161870</v>
      </c>
      <c r="F1684" s="4">
        <v>81536</v>
      </c>
    </row>
    <row r="1685" spans="1:6" x14ac:dyDescent="0.3">
      <c r="A1685" s="3">
        <v>2017</v>
      </c>
      <c r="B1685" s="1" t="s">
        <v>59</v>
      </c>
      <c r="C1685" s="1" t="s">
        <v>12</v>
      </c>
      <c r="D1685" s="2">
        <v>10779</v>
      </c>
      <c r="E1685" s="2">
        <v>126051</v>
      </c>
      <c r="F1685" s="4">
        <v>152598</v>
      </c>
    </row>
    <row r="1686" spans="1:6" x14ac:dyDescent="0.3">
      <c r="A1686" s="3">
        <v>2017</v>
      </c>
      <c r="B1686" s="1" t="s">
        <v>59</v>
      </c>
      <c r="C1686" s="1" t="s">
        <v>13</v>
      </c>
      <c r="D1686" s="2">
        <v>2800</v>
      </c>
      <c r="E1686" s="2">
        <v>47894</v>
      </c>
      <c r="F1686" s="4">
        <v>92267</v>
      </c>
    </row>
    <row r="1687" spans="1:6" x14ac:dyDescent="0.3">
      <c r="A1687" s="3">
        <v>2017</v>
      </c>
      <c r="B1687" s="1" t="s">
        <v>59</v>
      </c>
      <c r="C1687" s="1" t="s">
        <v>14</v>
      </c>
      <c r="D1687" s="2">
        <v>71616</v>
      </c>
      <c r="E1687" s="2">
        <v>556510</v>
      </c>
      <c r="F1687" s="4">
        <v>72708</v>
      </c>
    </row>
    <row r="1688" spans="1:6" x14ac:dyDescent="0.3">
      <c r="A1688" s="3">
        <v>2017</v>
      </c>
      <c r="B1688" s="1" t="s">
        <v>59</v>
      </c>
      <c r="C1688" s="1" t="s">
        <v>15</v>
      </c>
      <c r="D1688" s="2">
        <v>25978</v>
      </c>
      <c r="E1688" s="2">
        <v>233995</v>
      </c>
      <c r="F1688" s="4">
        <v>81197</v>
      </c>
    </row>
    <row r="1689" spans="1:6" x14ac:dyDescent="0.3">
      <c r="A1689" s="3">
        <v>2017</v>
      </c>
      <c r="B1689" s="1" t="s">
        <v>59</v>
      </c>
      <c r="C1689" s="1" t="s">
        <v>16</v>
      </c>
      <c r="D1689" s="2">
        <v>5522</v>
      </c>
      <c r="E1689" s="2">
        <v>31064</v>
      </c>
      <c r="F1689" s="4">
        <v>53820</v>
      </c>
    </row>
    <row r="1690" spans="1:6" x14ac:dyDescent="0.3">
      <c r="A1690" s="3">
        <v>2017</v>
      </c>
      <c r="B1690" s="1" t="s">
        <v>59</v>
      </c>
      <c r="C1690" s="1" t="s">
        <v>17</v>
      </c>
      <c r="D1690" s="2">
        <v>32114</v>
      </c>
      <c r="E1690" s="2">
        <v>370517</v>
      </c>
      <c r="F1690" s="4">
        <v>104689</v>
      </c>
    </row>
    <row r="1691" spans="1:6" x14ac:dyDescent="0.3">
      <c r="A1691" s="3">
        <v>2017</v>
      </c>
      <c r="B1691" s="1" t="s">
        <v>59</v>
      </c>
      <c r="C1691" s="1" t="s">
        <v>18</v>
      </c>
      <c r="D1691" s="2">
        <v>16124</v>
      </c>
      <c r="E1691" s="2">
        <v>131758</v>
      </c>
      <c r="F1691" s="4">
        <v>62518</v>
      </c>
    </row>
    <row r="1692" spans="1:6" x14ac:dyDescent="0.3">
      <c r="A1692" s="3">
        <v>2017</v>
      </c>
      <c r="B1692" s="1" t="s">
        <v>59</v>
      </c>
      <c r="C1692" s="1" t="s">
        <v>19</v>
      </c>
      <c r="D1692" s="2">
        <v>9983</v>
      </c>
      <c r="E1692" s="2">
        <v>108983</v>
      </c>
      <c r="F1692" s="4">
        <v>71597</v>
      </c>
    </row>
    <row r="1693" spans="1:6" x14ac:dyDescent="0.3">
      <c r="A1693" s="3">
        <v>2017</v>
      </c>
      <c r="B1693" s="1" t="s">
        <v>59</v>
      </c>
      <c r="C1693" s="1" t="s">
        <v>20</v>
      </c>
      <c r="D1693" s="2">
        <v>8858</v>
      </c>
      <c r="E1693" s="2">
        <v>74321</v>
      </c>
      <c r="F1693" s="4">
        <v>65845</v>
      </c>
    </row>
    <row r="1694" spans="1:6" x14ac:dyDescent="0.3">
      <c r="A1694" s="3">
        <v>2017</v>
      </c>
      <c r="B1694" s="1" t="s">
        <v>59</v>
      </c>
      <c r="C1694" s="1" t="s">
        <v>21</v>
      </c>
      <c r="D1694" s="2">
        <v>10845</v>
      </c>
      <c r="E1694" s="2">
        <v>93126</v>
      </c>
      <c r="F1694" s="4">
        <v>64967</v>
      </c>
    </row>
    <row r="1695" spans="1:6" x14ac:dyDescent="0.3">
      <c r="A1695" s="3">
        <v>2017</v>
      </c>
      <c r="B1695" s="1" t="s">
        <v>59</v>
      </c>
      <c r="C1695" s="1" t="s">
        <v>22</v>
      </c>
      <c r="D1695" s="2">
        <v>13618</v>
      </c>
      <c r="E1695" s="2">
        <v>85771</v>
      </c>
      <c r="F1695" s="4">
        <v>59758</v>
      </c>
    </row>
    <row r="1696" spans="1:6" x14ac:dyDescent="0.3">
      <c r="A1696" s="3">
        <v>2017</v>
      </c>
      <c r="B1696" s="1" t="s">
        <v>59</v>
      </c>
      <c r="C1696" s="1" t="s">
        <v>23</v>
      </c>
      <c r="D1696" s="2">
        <v>3827</v>
      </c>
      <c r="E1696" s="2">
        <v>29417</v>
      </c>
      <c r="F1696" s="4">
        <v>65934</v>
      </c>
    </row>
    <row r="1697" spans="1:6" x14ac:dyDescent="0.3">
      <c r="A1697" s="3">
        <v>2017</v>
      </c>
      <c r="B1697" s="1" t="s">
        <v>59</v>
      </c>
      <c r="C1697" s="1" t="s">
        <v>24</v>
      </c>
      <c r="D1697" s="2">
        <v>15099</v>
      </c>
      <c r="E1697" s="2">
        <v>140287</v>
      </c>
      <c r="F1697" s="4">
        <v>90791</v>
      </c>
    </row>
    <row r="1698" spans="1:6" x14ac:dyDescent="0.3">
      <c r="A1698" s="3">
        <v>2017</v>
      </c>
      <c r="B1698" s="1" t="s">
        <v>59</v>
      </c>
      <c r="C1698" s="1" t="s">
        <v>25</v>
      </c>
      <c r="D1698" s="2">
        <v>17270</v>
      </c>
      <c r="E1698" s="2">
        <v>216567</v>
      </c>
      <c r="F1698" s="4">
        <v>136040</v>
      </c>
    </row>
    <row r="1699" spans="1:6" x14ac:dyDescent="0.3">
      <c r="A1699" s="3">
        <v>2017</v>
      </c>
      <c r="B1699" s="1" t="s">
        <v>59</v>
      </c>
      <c r="C1699" s="1" t="s">
        <v>26</v>
      </c>
      <c r="D1699" s="2">
        <v>18942</v>
      </c>
      <c r="E1699" s="2">
        <v>202358</v>
      </c>
      <c r="F1699" s="4">
        <v>69275</v>
      </c>
    </row>
    <row r="1700" spans="1:6" x14ac:dyDescent="0.3">
      <c r="A1700" s="3">
        <v>2017</v>
      </c>
      <c r="B1700" s="1" t="s">
        <v>59</v>
      </c>
      <c r="C1700" s="1" t="s">
        <v>27</v>
      </c>
      <c r="D1700" s="2">
        <v>15467</v>
      </c>
      <c r="E1700" s="2">
        <v>175945</v>
      </c>
      <c r="F1700" s="4">
        <v>91036</v>
      </c>
    </row>
    <row r="1701" spans="1:6" x14ac:dyDescent="0.3">
      <c r="A1701" s="3">
        <v>2017</v>
      </c>
      <c r="B1701" s="1" t="s">
        <v>59</v>
      </c>
      <c r="C1701" s="1" t="s">
        <v>28</v>
      </c>
      <c r="D1701" s="2">
        <v>7854</v>
      </c>
      <c r="E1701" s="2">
        <v>42981</v>
      </c>
      <c r="F1701" s="4">
        <v>51222</v>
      </c>
    </row>
    <row r="1702" spans="1:6" x14ac:dyDescent="0.3">
      <c r="A1702" s="3">
        <v>2017</v>
      </c>
      <c r="B1702" s="1" t="s">
        <v>59</v>
      </c>
      <c r="C1702" s="1" t="s">
        <v>29</v>
      </c>
      <c r="D1702" s="2">
        <v>17661</v>
      </c>
      <c r="E1702" s="2">
        <v>163353</v>
      </c>
      <c r="F1702" s="4">
        <v>68974</v>
      </c>
    </row>
    <row r="1703" spans="1:6" x14ac:dyDescent="0.3">
      <c r="A1703" s="3">
        <v>2017</v>
      </c>
      <c r="B1703" s="1" t="s">
        <v>59</v>
      </c>
      <c r="C1703" s="1" t="s">
        <v>30</v>
      </c>
      <c r="D1703" s="2">
        <v>4178</v>
      </c>
      <c r="E1703" s="2">
        <v>20935</v>
      </c>
      <c r="F1703" s="4">
        <v>56708</v>
      </c>
    </row>
    <row r="1704" spans="1:6" x14ac:dyDescent="0.3">
      <c r="A1704" s="3">
        <v>2017</v>
      </c>
      <c r="B1704" s="1" t="s">
        <v>59</v>
      </c>
      <c r="C1704" s="1" t="s">
        <v>31</v>
      </c>
      <c r="D1704" s="2">
        <v>6481</v>
      </c>
      <c r="E1704" s="2">
        <v>66237</v>
      </c>
      <c r="F1704" s="4">
        <v>63484</v>
      </c>
    </row>
    <row r="1705" spans="1:6" x14ac:dyDescent="0.3">
      <c r="A1705" s="3">
        <v>2017</v>
      </c>
      <c r="B1705" s="1" t="s">
        <v>59</v>
      </c>
      <c r="C1705" s="1" t="s">
        <v>32</v>
      </c>
      <c r="D1705" s="2">
        <v>8856</v>
      </c>
      <c r="E1705" s="2">
        <v>61375</v>
      </c>
      <c r="F1705" s="4">
        <v>63979</v>
      </c>
    </row>
    <row r="1706" spans="1:6" x14ac:dyDescent="0.3">
      <c r="A1706" s="3">
        <v>2017</v>
      </c>
      <c r="B1706" s="1" t="s">
        <v>59</v>
      </c>
      <c r="C1706" s="1" t="s">
        <v>33</v>
      </c>
      <c r="D1706" s="2">
        <v>3835</v>
      </c>
      <c r="E1706" s="2">
        <v>33894</v>
      </c>
      <c r="F1706" s="4">
        <v>91139</v>
      </c>
    </row>
    <row r="1707" spans="1:6" x14ac:dyDescent="0.3">
      <c r="A1707" s="3">
        <v>2017</v>
      </c>
      <c r="B1707" s="1" t="s">
        <v>59</v>
      </c>
      <c r="C1707" s="1" t="s">
        <v>34</v>
      </c>
      <c r="D1707" s="2">
        <v>19625</v>
      </c>
      <c r="E1707" s="2">
        <v>241026</v>
      </c>
      <c r="F1707" s="4">
        <v>111862</v>
      </c>
    </row>
    <row r="1708" spans="1:6" x14ac:dyDescent="0.3">
      <c r="A1708" s="3">
        <v>2017</v>
      </c>
      <c r="B1708" s="1" t="s">
        <v>59</v>
      </c>
      <c r="C1708" s="1" t="s">
        <v>35</v>
      </c>
      <c r="D1708" s="2">
        <v>5092</v>
      </c>
      <c r="E1708" s="2">
        <v>32604</v>
      </c>
      <c r="F1708" s="4">
        <v>53932</v>
      </c>
    </row>
    <row r="1709" spans="1:6" x14ac:dyDescent="0.3">
      <c r="A1709" s="3">
        <v>2017</v>
      </c>
      <c r="B1709" s="1" t="s">
        <v>59</v>
      </c>
      <c r="C1709" s="1" t="s">
        <v>36</v>
      </c>
      <c r="D1709" s="2">
        <v>65326</v>
      </c>
      <c r="E1709" s="2">
        <v>708995</v>
      </c>
      <c r="F1709" s="4">
        <v>189559</v>
      </c>
    </row>
    <row r="1710" spans="1:6" x14ac:dyDescent="0.3">
      <c r="A1710" s="3">
        <v>2017</v>
      </c>
      <c r="B1710" s="1" t="s">
        <v>59</v>
      </c>
      <c r="C1710" s="1" t="s">
        <v>37</v>
      </c>
      <c r="D1710" s="2">
        <v>27332</v>
      </c>
      <c r="E1710" s="2">
        <v>226679</v>
      </c>
      <c r="F1710" s="4">
        <v>82975</v>
      </c>
    </row>
    <row r="1711" spans="1:6" x14ac:dyDescent="0.3">
      <c r="A1711" s="3">
        <v>2017</v>
      </c>
      <c r="B1711" s="1" t="s">
        <v>59</v>
      </c>
      <c r="C1711" s="1" t="s">
        <v>38</v>
      </c>
      <c r="D1711" s="2">
        <v>2979</v>
      </c>
      <c r="E1711" s="2">
        <v>23135</v>
      </c>
      <c r="F1711" s="4">
        <v>60044</v>
      </c>
    </row>
    <row r="1712" spans="1:6" x14ac:dyDescent="0.3">
      <c r="A1712" s="3">
        <v>2017</v>
      </c>
      <c r="B1712" s="1" t="s">
        <v>59</v>
      </c>
      <c r="C1712" s="1" t="s">
        <v>39</v>
      </c>
      <c r="D1712" s="2">
        <v>28537</v>
      </c>
      <c r="E1712" s="2">
        <v>288615</v>
      </c>
      <c r="F1712" s="4">
        <v>69967</v>
      </c>
    </row>
    <row r="1713" spans="1:6" x14ac:dyDescent="0.3">
      <c r="A1713" s="3">
        <v>2017</v>
      </c>
      <c r="B1713" s="1" t="s">
        <v>59</v>
      </c>
      <c r="C1713" s="1" t="s">
        <v>40</v>
      </c>
      <c r="D1713" s="2">
        <v>11379</v>
      </c>
      <c r="E1713" s="2">
        <v>76757</v>
      </c>
      <c r="F1713" s="4">
        <v>56323</v>
      </c>
    </row>
    <row r="1714" spans="1:6" x14ac:dyDescent="0.3">
      <c r="A1714" s="3">
        <v>2017</v>
      </c>
      <c r="B1714" s="1" t="s">
        <v>59</v>
      </c>
      <c r="C1714" s="1" t="s">
        <v>41</v>
      </c>
      <c r="D1714" s="2">
        <v>12686</v>
      </c>
      <c r="E1714" s="2">
        <v>83715</v>
      </c>
      <c r="F1714" s="4">
        <v>67638</v>
      </c>
    </row>
    <row r="1715" spans="1:6" x14ac:dyDescent="0.3">
      <c r="A1715" s="3">
        <v>2017</v>
      </c>
      <c r="B1715" s="1" t="s">
        <v>59</v>
      </c>
      <c r="C1715" s="1" t="s">
        <v>42</v>
      </c>
      <c r="D1715" s="2">
        <v>28479</v>
      </c>
      <c r="E1715" s="2">
        <v>321121</v>
      </c>
      <c r="F1715" s="4">
        <v>85405</v>
      </c>
    </row>
    <row r="1716" spans="1:6" x14ac:dyDescent="0.3">
      <c r="A1716" s="3">
        <v>2017</v>
      </c>
      <c r="B1716" s="1" t="s">
        <v>59</v>
      </c>
      <c r="C1716" s="1" t="s">
        <v>43</v>
      </c>
      <c r="D1716" s="2">
        <v>2802</v>
      </c>
      <c r="E1716" s="2">
        <v>32758</v>
      </c>
      <c r="F1716" s="4">
        <v>89570</v>
      </c>
    </row>
    <row r="1717" spans="1:6" x14ac:dyDescent="0.3">
      <c r="A1717" s="3">
        <v>2017</v>
      </c>
      <c r="B1717" s="1" t="s">
        <v>59</v>
      </c>
      <c r="C1717" s="1" t="s">
        <v>44</v>
      </c>
      <c r="D1717" s="2">
        <v>12653</v>
      </c>
      <c r="E1717" s="2">
        <v>98790</v>
      </c>
      <c r="F1717" s="4">
        <v>59859</v>
      </c>
    </row>
    <row r="1718" spans="1:6" x14ac:dyDescent="0.3">
      <c r="A1718" s="3">
        <v>2017</v>
      </c>
      <c r="B1718" s="1" t="s">
        <v>59</v>
      </c>
      <c r="C1718" s="1" t="s">
        <v>45</v>
      </c>
      <c r="D1718" s="2">
        <v>3221</v>
      </c>
      <c r="E1718" s="2">
        <v>28761</v>
      </c>
      <c r="F1718" s="4">
        <v>57506</v>
      </c>
    </row>
    <row r="1719" spans="1:6" x14ac:dyDescent="0.3">
      <c r="A1719" s="3">
        <v>2017</v>
      </c>
      <c r="B1719" s="1" t="s">
        <v>59</v>
      </c>
      <c r="C1719" s="1" t="s">
        <v>46</v>
      </c>
      <c r="D1719" s="2">
        <v>15531</v>
      </c>
      <c r="E1719" s="2">
        <v>148433</v>
      </c>
      <c r="F1719" s="4">
        <v>71601</v>
      </c>
    </row>
    <row r="1720" spans="1:6" x14ac:dyDescent="0.3">
      <c r="A1720" s="3">
        <v>2017</v>
      </c>
      <c r="B1720" s="1" t="s">
        <v>59</v>
      </c>
      <c r="C1720" s="1" t="s">
        <v>47</v>
      </c>
      <c r="D1720" s="2">
        <v>71279</v>
      </c>
      <c r="E1720" s="2">
        <v>740328</v>
      </c>
      <c r="F1720" s="4">
        <v>80242</v>
      </c>
    </row>
    <row r="1721" spans="1:6" x14ac:dyDescent="0.3">
      <c r="A1721" s="3">
        <v>2017</v>
      </c>
      <c r="B1721" s="1" t="s">
        <v>59</v>
      </c>
      <c r="C1721" s="1" t="s">
        <v>48</v>
      </c>
      <c r="D1721" s="2">
        <v>11066</v>
      </c>
      <c r="E1721" s="2">
        <v>84072</v>
      </c>
      <c r="F1721" s="4">
        <v>64760</v>
      </c>
    </row>
    <row r="1722" spans="1:6" x14ac:dyDescent="0.3">
      <c r="A1722" s="3">
        <v>2017</v>
      </c>
      <c r="B1722" s="1" t="s">
        <v>59</v>
      </c>
      <c r="C1722" s="1" t="s">
        <v>49</v>
      </c>
      <c r="D1722" s="2">
        <v>1700</v>
      </c>
      <c r="E1722" s="2">
        <v>11731</v>
      </c>
      <c r="F1722" s="4">
        <v>70768</v>
      </c>
    </row>
    <row r="1723" spans="1:6" x14ac:dyDescent="0.3">
      <c r="A1723" s="3">
        <v>2017</v>
      </c>
      <c r="B1723" s="1" t="s">
        <v>59</v>
      </c>
      <c r="C1723" s="1" t="s">
        <v>50</v>
      </c>
      <c r="D1723" s="2">
        <v>21609</v>
      </c>
      <c r="E1723" s="2">
        <v>192079</v>
      </c>
      <c r="F1723" s="4">
        <v>82201</v>
      </c>
    </row>
    <row r="1724" spans="1:6" x14ac:dyDescent="0.3">
      <c r="A1724" s="3">
        <v>2017</v>
      </c>
      <c r="B1724" s="1" t="s">
        <v>59</v>
      </c>
      <c r="C1724" s="1" t="s">
        <v>51</v>
      </c>
      <c r="D1724" s="2">
        <v>17184</v>
      </c>
      <c r="E1724" s="2">
        <v>144458</v>
      </c>
      <c r="F1724" s="4">
        <v>76957</v>
      </c>
    </row>
    <row r="1725" spans="1:6" x14ac:dyDescent="0.3">
      <c r="A1725" s="3">
        <v>2017</v>
      </c>
      <c r="B1725" s="1" t="s">
        <v>59</v>
      </c>
      <c r="C1725" s="1" t="s">
        <v>52</v>
      </c>
      <c r="D1725" s="2">
        <v>3992</v>
      </c>
      <c r="E1725" s="2">
        <v>24123</v>
      </c>
      <c r="F1725" s="4">
        <v>50354</v>
      </c>
    </row>
    <row r="1726" spans="1:6" x14ac:dyDescent="0.3">
      <c r="A1726" s="3">
        <v>2017</v>
      </c>
      <c r="B1726" s="1" t="s">
        <v>59</v>
      </c>
      <c r="C1726" s="1" t="s">
        <v>53</v>
      </c>
      <c r="D1726" s="2">
        <v>13244</v>
      </c>
      <c r="E1726" s="2">
        <v>148873</v>
      </c>
      <c r="F1726" s="4">
        <v>68759</v>
      </c>
    </row>
    <row r="1727" spans="1:6" x14ac:dyDescent="0.3">
      <c r="A1727" s="3">
        <v>2017</v>
      </c>
      <c r="B1727" s="1" t="s">
        <v>59</v>
      </c>
      <c r="C1727" s="1" t="s">
        <v>54</v>
      </c>
      <c r="D1727" s="2">
        <v>2248</v>
      </c>
      <c r="E1727" s="2">
        <v>10938</v>
      </c>
      <c r="F1727" s="4">
        <v>54692</v>
      </c>
    </row>
    <row r="1728" spans="1:6" x14ac:dyDescent="0.3">
      <c r="A1728" s="3">
        <v>2017</v>
      </c>
      <c r="B1728" s="1" t="s">
        <v>60</v>
      </c>
      <c r="C1728" s="1" t="s">
        <v>7</v>
      </c>
      <c r="D1728" s="2">
        <v>21426</v>
      </c>
      <c r="E1728" s="2">
        <v>239356</v>
      </c>
      <c r="F1728" s="4">
        <v>53774</v>
      </c>
    </row>
    <row r="1729" spans="1:6" x14ac:dyDescent="0.3">
      <c r="A1729" s="3">
        <v>2017</v>
      </c>
      <c r="B1729" s="1" t="s">
        <v>60</v>
      </c>
      <c r="C1729" s="1" t="s">
        <v>8</v>
      </c>
      <c r="D1729" s="2">
        <v>31059</v>
      </c>
      <c r="E1729" s="2">
        <v>417456</v>
      </c>
      <c r="F1729" s="4">
        <v>55334</v>
      </c>
    </row>
    <row r="1730" spans="1:6" x14ac:dyDescent="0.3">
      <c r="A1730" s="3">
        <v>2017</v>
      </c>
      <c r="B1730" s="1" t="s">
        <v>60</v>
      </c>
      <c r="C1730" s="1" t="s">
        <v>9</v>
      </c>
      <c r="D1730" s="2">
        <v>13845</v>
      </c>
      <c r="E1730" s="2">
        <v>144215</v>
      </c>
      <c r="F1730" s="4">
        <v>59263</v>
      </c>
    </row>
    <row r="1731" spans="1:6" x14ac:dyDescent="0.3">
      <c r="A1731" s="3">
        <v>2017</v>
      </c>
      <c r="B1731" s="1" t="s">
        <v>60</v>
      </c>
      <c r="C1731" s="1" t="s">
        <v>10</v>
      </c>
      <c r="D1731" s="2">
        <v>188712</v>
      </c>
      <c r="E1731" s="2">
        <v>2551444</v>
      </c>
      <c r="F1731" s="4">
        <v>86955</v>
      </c>
    </row>
    <row r="1732" spans="1:6" x14ac:dyDescent="0.3">
      <c r="A1732" s="3">
        <v>2017</v>
      </c>
      <c r="B1732" s="1" t="s">
        <v>60</v>
      </c>
      <c r="C1732" s="1" t="s">
        <v>11</v>
      </c>
      <c r="D1732" s="2">
        <v>50576</v>
      </c>
      <c r="E1732" s="2">
        <v>412889</v>
      </c>
      <c r="F1732" s="4">
        <v>78698</v>
      </c>
    </row>
    <row r="1733" spans="1:6" x14ac:dyDescent="0.3">
      <c r="A1733" s="3">
        <v>2017</v>
      </c>
      <c r="B1733" s="1" t="s">
        <v>60</v>
      </c>
      <c r="C1733" s="1" t="s">
        <v>12</v>
      </c>
      <c r="D1733" s="2">
        <v>22807</v>
      </c>
      <c r="E1733" s="2">
        <v>218450</v>
      </c>
      <c r="F1733" s="4">
        <v>87307</v>
      </c>
    </row>
    <row r="1734" spans="1:6" x14ac:dyDescent="0.3">
      <c r="A1734" s="3">
        <v>2017</v>
      </c>
      <c r="B1734" s="1" t="s">
        <v>60</v>
      </c>
      <c r="C1734" s="1" t="s">
        <v>13</v>
      </c>
      <c r="D1734" s="2">
        <v>8644</v>
      </c>
      <c r="E1734" s="2">
        <v>61956</v>
      </c>
      <c r="F1734" s="4">
        <v>80600</v>
      </c>
    </row>
    <row r="1735" spans="1:6" x14ac:dyDescent="0.3">
      <c r="A1735" s="3">
        <v>2017</v>
      </c>
      <c r="B1735" s="1" t="s">
        <v>60</v>
      </c>
      <c r="C1735" s="1" t="s">
        <v>14</v>
      </c>
      <c r="D1735" s="2">
        <v>156978</v>
      </c>
      <c r="E1735" s="2">
        <v>1322562</v>
      </c>
      <c r="F1735" s="4">
        <v>58653</v>
      </c>
    </row>
    <row r="1736" spans="1:6" x14ac:dyDescent="0.3">
      <c r="A1736" s="3">
        <v>2017</v>
      </c>
      <c r="B1736" s="1" t="s">
        <v>60</v>
      </c>
      <c r="C1736" s="1" t="s">
        <v>15</v>
      </c>
      <c r="D1736" s="2">
        <v>54102</v>
      </c>
      <c r="E1736" s="2">
        <v>668820</v>
      </c>
      <c r="F1736" s="4">
        <v>64724</v>
      </c>
    </row>
    <row r="1737" spans="1:6" x14ac:dyDescent="0.3">
      <c r="A1737" s="3">
        <v>2017</v>
      </c>
      <c r="B1737" s="1" t="s">
        <v>60</v>
      </c>
      <c r="C1737" s="1" t="s">
        <v>16</v>
      </c>
      <c r="D1737" s="2">
        <v>11075</v>
      </c>
      <c r="E1737" s="2">
        <v>88110</v>
      </c>
      <c r="F1737" s="4">
        <v>48653</v>
      </c>
    </row>
    <row r="1738" spans="1:6" x14ac:dyDescent="0.3">
      <c r="A1738" s="3">
        <v>2017</v>
      </c>
      <c r="B1738" s="1" t="s">
        <v>60</v>
      </c>
      <c r="C1738" s="1" t="s">
        <v>17</v>
      </c>
      <c r="D1738" s="2">
        <v>73447</v>
      </c>
      <c r="E1738" s="2">
        <v>942202</v>
      </c>
      <c r="F1738" s="4">
        <v>73829</v>
      </c>
    </row>
    <row r="1739" spans="1:6" x14ac:dyDescent="0.3">
      <c r="A1739" s="3">
        <v>2017</v>
      </c>
      <c r="B1739" s="1" t="s">
        <v>60</v>
      </c>
      <c r="C1739" s="1" t="s">
        <v>18</v>
      </c>
      <c r="D1739" s="2">
        <v>29045</v>
      </c>
      <c r="E1739" s="2">
        <v>336985</v>
      </c>
      <c r="F1739" s="4">
        <v>50796</v>
      </c>
    </row>
    <row r="1740" spans="1:6" x14ac:dyDescent="0.3">
      <c r="A1740" s="3">
        <v>2017</v>
      </c>
      <c r="B1740" s="1" t="s">
        <v>60</v>
      </c>
      <c r="C1740" s="1" t="s">
        <v>19</v>
      </c>
      <c r="D1740" s="2">
        <v>15401</v>
      </c>
      <c r="E1740" s="2">
        <v>139096</v>
      </c>
      <c r="F1740" s="4">
        <v>52293</v>
      </c>
    </row>
    <row r="1741" spans="1:6" x14ac:dyDescent="0.3">
      <c r="A1741" s="3">
        <v>2017</v>
      </c>
      <c r="B1741" s="1" t="s">
        <v>60</v>
      </c>
      <c r="C1741" s="1" t="s">
        <v>20</v>
      </c>
      <c r="D1741" s="2">
        <v>16569</v>
      </c>
      <c r="E1741" s="2">
        <v>177353</v>
      </c>
      <c r="F1741" s="4">
        <v>59048</v>
      </c>
    </row>
    <row r="1742" spans="1:6" x14ac:dyDescent="0.3">
      <c r="A1742" s="3">
        <v>2017</v>
      </c>
      <c r="B1742" s="1" t="s">
        <v>60</v>
      </c>
      <c r="C1742" s="1" t="s">
        <v>21</v>
      </c>
      <c r="D1742" s="2">
        <v>20206</v>
      </c>
      <c r="E1742" s="2">
        <v>214141</v>
      </c>
      <c r="F1742" s="4">
        <v>48829</v>
      </c>
    </row>
    <row r="1743" spans="1:6" x14ac:dyDescent="0.3">
      <c r="A1743" s="3">
        <v>2017</v>
      </c>
      <c r="B1743" s="1" t="s">
        <v>60</v>
      </c>
      <c r="C1743" s="1" t="s">
        <v>22</v>
      </c>
      <c r="D1743" s="2">
        <v>24001</v>
      </c>
      <c r="E1743" s="2">
        <v>209874</v>
      </c>
      <c r="F1743" s="4">
        <v>55218</v>
      </c>
    </row>
    <row r="1744" spans="1:6" x14ac:dyDescent="0.3">
      <c r="A1744" s="3">
        <v>2017</v>
      </c>
      <c r="B1744" s="1" t="s">
        <v>60</v>
      </c>
      <c r="C1744" s="1" t="s">
        <v>23</v>
      </c>
      <c r="D1744" s="2">
        <v>9912</v>
      </c>
      <c r="E1744" s="2">
        <v>66736</v>
      </c>
      <c r="F1744" s="4">
        <v>55405</v>
      </c>
    </row>
    <row r="1745" spans="1:6" x14ac:dyDescent="0.3">
      <c r="A1745" s="3">
        <v>2017</v>
      </c>
      <c r="B1745" s="1" t="s">
        <v>60</v>
      </c>
      <c r="C1745" s="1" t="s">
        <v>24</v>
      </c>
      <c r="D1745" s="2">
        <v>42175</v>
      </c>
      <c r="E1745" s="2">
        <v>443764</v>
      </c>
      <c r="F1745" s="4">
        <v>77259</v>
      </c>
    </row>
    <row r="1746" spans="1:6" x14ac:dyDescent="0.3">
      <c r="A1746" s="3">
        <v>2017</v>
      </c>
      <c r="B1746" s="1" t="s">
        <v>60</v>
      </c>
      <c r="C1746" s="1" t="s">
        <v>25</v>
      </c>
      <c r="D1746" s="2">
        <v>47186</v>
      </c>
      <c r="E1746" s="2">
        <v>566190</v>
      </c>
      <c r="F1746" s="4">
        <v>102580</v>
      </c>
    </row>
    <row r="1747" spans="1:6" x14ac:dyDescent="0.3">
      <c r="A1747" s="3">
        <v>2017</v>
      </c>
      <c r="B1747" s="1" t="s">
        <v>60</v>
      </c>
      <c r="C1747" s="1" t="s">
        <v>26</v>
      </c>
      <c r="D1747" s="2">
        <v>42271</v>
      </c>
      <c r="E1747" s="2">
        <v>645279</v>
      </c>
      <c r="F1747" s="4">
        <v>68677</v>
      </c>
    </row>
    <row r="1748" spans="1:6" x14ac:dyDescent="0.3">
      <c r="A1748" s="3">
        <v>2017</v>
      </c>
      <c r="B1748" s="1" t="s">
        <v>60</v>
      </c>
      <c r="C1748" s="1" t="s">
        <v>27</v>
      </c>
      <c r="D1748" s="2">
        <v>29916</v>
      </c>
      <c r="E1748" s="2">
        <v>373603</v>
      </c>
      <c r="F1748" s="4">
        <v>80794</v>
      </c>
    </row>
    <row r="1749" spans="1:6" x14ac:dyDescent="0.3">
      <c r="A1749" s="3">
        <v>2017</v>
      </c>
      <c r="B1749" s="1" t="s">
        <v>60</v>
      </c>
      <c r="C1749" s="1" t="s">
        <v>28</v>
      </c>
      <c r="D1749" s="2">
        <v>11953</v>
      </c>
      <c r="E1749" s="2">
        <v>107737</v>
      </c>
      <c r="F1749" s="4">
        <v>41461</v>
      </c>
    </row>
    <row r="1750" spans="1:6" x14ac:dyDescent="0.3">
      <c r="A1750" s="3">
        <v>2017</v>
      </c>
      <c r="B1750" s="1" t="s">
        <v>60</v>
      </c>
      <c r="C1750" s="1" t="s">
        <v>29</v>
      </c>
      <c r="D1750" s="2">
        <v>33699</v>
      </c>
      <c r="E1750" s="2">
        <v>381525</v>
      </c>
      <c r="F1750" s="4">
        <v>63932</v>
      </c>
    </row>
    <row r="1751" spans="1:6" x14ac:dyDescent="0.3">
      <c r="A1751" s="3">
        <v>2017</v>
      </c>
      <c r="B1751" s="1" t="s">
        <v>60</v>
      </c>
      <c r="C1751" s="1" t="s">
        <v>30</v>
      </c>
      <c r="D1751" s="2">
        <v>8994</v>
      </c>
      <c r="E1751" s="2">
        <v>41010</v>
      </c>
      <c r="F1751" s="4">
        <v>50921</v>
      </c>
    </row>
    <row r="1752" spans="1:6" x14ac:dyDescent="0.3">
      <c r="A1752" s="3">
        <v>2017</v>
      </c>
      <c r="B1752" s="1" t="s">
        <v>60</v>
      </c>
      <c r="C1752" s="1" t="s">
        <v>31</v>
      </c>
      <c r="D1752" s="2">
        <v>11395</v>
      </c>
      <c r="E1752" s="2">
        <v>117542</v>
      </c>
      <c r="F1752" s="4">
        <v>59204</v>
      </c>
    </row>
    <row r="1753" spans="1:6" x14ac:dyDescent="0.3">
      <c r="A1753" s="3">
        <v>2017</v>
      </c>
      <c r="B1753" s="1" t="s">
        <v>60</v>
      </c>
      <c r="C1753" s="1" t="s">
        <v>32</v>
      </c>
      <c r="D1753" s="2">
        <v>19521</v>
      </c>
      <c r="E1753" s="2">
        <v>181485</v>
      </c>
      <c r="F1753" s="4">
        <v>58283</v>
      </c>
    </row>
    <row r="1754" spans="1:6" x14ac:dyDescent="0.3">
      <c r="A1754" s="3">
        <v>2017</v>
      </c>
      <c r="B1754" s="1" t="s">
        <v>60</v>
      </c>
      <c r="C1754" s="1" t="s">
        <v>33</v>
      </c>
      <c r="D1754" s="2">
        <v>11938</v>
      </c>
      <c r="E1754" s="2">
        <v>81761</v>
      </c>
      <c r="F1754" s="4">
        <v>75584</v>
      </c>
    </row>
    <row r="1755" spans="1:6" x14ac:dyDescent="0.3">
      <c r="A1755" s="3">
        <v>2017</v>
      </c>
      <c r="B1755" s="1" t="s">
        <v>60</v>
      </c>
      <c r="C1755" s="1" t="s">
        <v>34</v>
      </c>
      <c r="D1755" s="2">
        <v>50907</v>
      </c>
      <c r="E1755" s="2">
        <v>663584</v>
      </c>
      <c r="F1755" s="4">
        <v>88404</v>
      </c>
    </row>
    <row r="1756" spans="1:6" x14ac:dyDescent="0.3">
      <c r="A1756" s="3">
        <v>2017</v>
      </c>
      <c r="B1756" s="1" t="s">
        <v>60</v>
      </c>
      <c r="C1756" s="1" t="s">
        <v>35</v>
      </c>
      <c r="D1756" s="2">
        <v>10062</v>
      </c>
      <c r="E1756" s="2">
        <v>104434</v>
      </c>
      <c r="F1756" s="4">
        <v>60086</v>
      </c>
    </row>
    <row r="1757" spans="1:6" x14ac:dyDescent="0.3">
      <c r="A1757" s="3">
        <v>2017</v>
      </c>
      <c r="B1757" s="1" t="s">
        <v>60</v>
      </c>
      <c r="C1757" s="1" t="s">
        <v>36</v>
      </c>
      <c r="D1757" s="2">
        <v>111646</v>
      </c>
      <c r="E1757" s="2">
        <v>1314408</v>
      </c>
      <c r="F1757" s="4">
        <v>92549</v>
      </c>
    </row>
    <row r="1758" spans="1:6" x14ac:dyDescent="0.3">
      <c r="A1758" s="3">
        <v>2017</v>
      </c>
      <c r="B1758" s="1" t="s">
        <v>60</v>
      </c>
      <c r="C1758" s="1" t="s">
        <v>37</v>
      </c>
      <c r="D1758" s="2">
        <v>57179</v>
      </c>
      <c r="E1758" s="2">
        <v>616193</v>
      </c>
      <c r="F1758" s="4">
        <v>62617</v>
      </c>
    </row>
    <row r="1759" spans="1:6" x14ac:dyDescent="0.3">
      <c r="A1759" s="3">
        <v>2017</v>
      </c>
      <c r="B1759" s="1" t="s">
        <v>60</v>
      </c>
      <c r="C1759" s="1" t="s">
        <v>38</v>
      </c>
      <c r="D1759" s="2">
        <v>4917</v>
      </c>
      <c r="E1759" s="2">
        <v>34300</v>
      </c>
      <c r="F1759" s="4">
        <v>59438</v>
      </c>
    </row>
    <row r="1760" spans="1:6" x14ac:dyDescent="0.3">
      <c r="A1760" s="3">
        <v>2017</v>
      </c>
      <c r="B1760" s="1" t="s">
        <v>60</v>
      </c>
      <c r="C1760" s="1" t="s">
        <v>39</v>
      </c>
      <c r="D1760" s="2">
        <v>52650</v>
      </c>
      <c r="E1760" s="2">
        <v>724748</v>
      </c>
      <c r="F1760" s="4">
        <v>62445</v>
      </c>
    </row>
    <row r="1761" spans="1:6" x14ac:dyDescent="0.3">
      <c r="A1761" s="3">
        <v>2017</v>
      </c>
      <c r="B1761" s="1" t="s">
        <v>60</v>
      </c>
      <c r="C1761" s="1" t="s">
        <v>40</v>
      </c>
      <c r="D1761" s="2">
        <v>20434</v>
      </c>
      <c r="E1761" s="2">
        <v>185534</v>
      </c>
      <c r="F1761" s="4">
        <v>50640</v>
      </c>
    </row>
    <row r="1762" spans="1:6" x14ac:dyDescent="0.3">
      <c r="A1762" s="3">
        <v>2017</v>
      </c>
      <c r="B1762" s="1" t="s">
        <v>60</v>
      </c>
      <c r="C1762" s="1" t="s">
        <v>41</v>
      </c>
      <c r="D1762" s="2">
        <v>24942</v>
      </c>
      <c r="E1762" s="2">
        <v>242708</v>
      </c>
      <c r="F1762" s="4">
        <v>67873</v>
      </c>
    </row>
    <row r="1763" spans="1:6" x14ac:dyDescent="0.3">
      <c r="A1763" s="3">
        <v>2017</v>
      </c>
      <c r="B1763" s="1" t="s">
        <v>60</v>
      </c>
      <c r="C1763" s="1" t="s">
        <v>42</v>
      </c>
      <c r="D1763" s="2">
        <v>61779</v>
      </c>
      <c r="E1763" s="2">
        <v>799939</v>
      </c>
      <c r="F1763" s="4">
        <v>76029</v>
      </c>
    </row>
    <row r="1764" spans="1:6" x14ac:dyDescent="0.3">
      <c r="A1764" s="3">
        <v>2017</v>
      </c>
      <c r="B1764" s="1" t="s">
        <v>60</v>
      </c>
      <c r="C1764" s="1" t="s">
        <v>43</v>
      </c>
      <c r="D1764" s="2">
        <v>8350</v>
      </c>
      <c r="E1764" s="2">
        <v>67366</v>
      </c>
      <c r="F1764" s="4">
        <v>67763</v>
      </c>
    </row>
    <row r="1765" spans="1:6" x14ac:dyDescent="0.3">
      <c r="A1765" s="3">
        <v>2017</v>
      </c>
      <c r="B1765" s="1" t="s">
        <v>60</v>
      </c>
      <c r="C1765" s="1" t="s">
        <v>44</v>
      </c>
      <c r="D1765" s="2">
        <v>25902</v>
      </c>
      <c r="E1765" s="2">
        <v>280711</v>
      </c>
      <c r="F1765" s="4">
        <v>49505</v>
      </c>
    </row>
    <row r="1766" spans="1:6" x14ac:dyDescent="0.3">
      <c r="A1766" s="3">
        <v>2017</v>
      </c>
      <c r="B1766" s="1" t="s">
        <v>60</v>
      </c>
      <c r="C1766" s="1" t="s">
        <v>45</v>
      </c>
      <c r="D1766" s="2">
        <v>5030</v>
      </c>
      <c r="E1766" s="2">
        <v>31264</v>
      </c>
      <c r="F1766" s="4">
        <v>55293</v>
      </c>
    </row>
    <row r="1767" spans="1:6" x14ac:dyDescent="0.3">
      <c r="A1767" s="3">
        <v>2017</v>
      </c>
      <c r="B1767" s="1" t="s">
        <v>60</v>
      </c>
      <c r="C1767" s="1" t="s">
        <v>46</v>
      </c>
      <c r="D1767" s="2">
        <v>28315</v>
      </c>
      <c r="E1767" s="2">
        <v>407133</v>
      </c>
      <c r="F1767" s="4">
        <v>56172</v>
      </c>
    </row>
    <row r="1768" spans="1:6" x14ac:dyDescent="0.3">
      <c r="A1768" s="3">
        <v>2017</v>
      </c>
      <c r="B1768" s="1" t="s">
        <v>60</v>
      </c>
      <c r="C1768" s="1" t="s">
        <v>47</v>
      </c>
      <c r="D1768" s="2">
        <v>129242</v>
      </c>
      <c r="E1768" s="2">
        <v>1666865</v>
      </c>
      <c r="F1768" s="4">
        <v>71507</v>
      </c>
    </row>
    <row r="1769" spans="1:6" x14ac:dyDescent="0.3">
      <c r="A1769" s="3">
        <v>2017</v>
      </c>
      <c r="B1769" s="1" t="s">
        <v>60</v>
      </c>
      <c r="C1769" s="1" t="s">
        <v>48</v>
      </c>
      <c r="D1769" s="2">
        <v>21911</v>
      </c>
      <c r="E1769" s="2">
        <v>205052</v>
      </c>
      <c r="F1769" s="4">
        <v>56815</v>
      </c>
    </row>
    <row r="1770" spans="1:6" x14ac:dyDescent="0.3">
      <c r="A1770" s="3">
        <v>2017</v>
      </c>
      <c r="B1770" s="1" t="s">
        <v>60</v>
      </c>
      <c r="C1770" s="1" t="s">
        <v>49</v>
      </c>
      <c r="D1770" s="2">
        <v>5488</v>
      </c>
      <c r="E1770" s="2">
        <v>28484</v>
      </c>
      <c r="F1770" s="4">
        <v>63457</v>
      </c>
    </row>
    <row r="1771" spans="1:6" x14ac:dyDescent="0.3">
      <c r="A1771" s="3">
        <v>2017</v>
      </c>
      <c r="B1771" s="1" t="s">
        <v>60</v>
      </c>
      <c r="C1771" s="1" t="s">
        <v>50</v>
      </c>
      <c r="D1771" s="2">
        <v>57146</v>
      </c>
      <c r="E1771" s="2">
        <v>725936</v>
      </c>
      <c r="F1771" s="4">
        <v>84971</v>
      </c>
    </row>
    <row r="1772" spans="1:6" x14ac:dyDescent="0.3">
      <c r="A1772" s="3">
        <v>2017</v>
      </c>
      <c r="B1772" s="1" t="s">
        <v>60</v>
      </c>
      <c r="C1772" s="1" t="s">
        <v>51</v>
      </c>
      <c r="D1772" s="2">
        <v>39177</v>
      </c>
      <c r="E1772" s="2">
        <v>404782</v>
      </c>
      <c r="F1772" s="4">
        <v>76348</v>
      </c>
    </row>
    <row r="1773" spans="1:6" x14ac:dyDescent="0.3">
      <c r="A1773" s="3">
        <v>2017</v>
      </c>
      <c r="B1773" s="1" t="s">
        <v>60</v>
      </c>
      <c r="C1773" s="1" t="s">
        <v>52</v>
      </c>
      <c r="D1773" s="2">
        <v>8077</v>
      </c>
      <c r="E1773" s="2">
        <v>66420</v>
      </c>
      <c r="F1773" s="4">
        <v>48213</v>
      </c>
    </row>
    <row r="1774" spans="1:6" x14ac:dyDescent="0.3">
      <c r="A1774" s="3">
        <v>2017</v>
      </c>
      <c r="B1774" s="1" t="s">
        <v>60</v>
      </c>
      <c r="C1774" s="1" t="s">
        <v>53</v>
      </c>
      <c r="D1774" s="2">
        <v>23769</v>
      </c>
      <c r="E1774" s="2">
        <v>324012</v>
      </c>
      <c r="F1774" s="4">
        <v>57868</v>
      </c>
    </row>
    <row r="1775" spans="1:6" x14ac:dyDescent="0.3">
      <c r="A1775" s="3">
        <v>2017</v>
      </c>
      <c r="B1775" s="1" t="s">
        <v>60</v>
      </c>
      <c r="C1775" s="1" t="s">
        <v>54</v>
      </c>
      <c r="D1775" s="2">
        <v>4417</v>
      </c>
      <c r="E1775" s="2">
        <v>18050</v>
      </c>
      <c r="F1775" s="4">
        <v>50226</v>
      </c>
    </row>
    <row r="1776" spans="1:6" x14ac:dyDescent="0.3">
      <c r="A1776" s="3">
        <v>2017</v>
      </c>
      <c r="B1776" s="1" t="s">
        <v>61</v>
      </c>
      <c r="C1776" s="1" t="s">
        <v>7</v>
      </c>
      <c r="D1776" s="2">
        <v>12429</v>
      </c>
      <c r="E1776" s="2">
        <v>229821</v>
      </c>
      <c r="F1776" s="4">
        <v>45641</v>
      </c>
    </row>
    <row r="1777" spans="1:6" x14ac:dyDescent="0.3">
      <c r="A1777" s="3">
        <v>2017</v>
      </c>
      <c r="B1777" s="1" t="s">
        <v>61</v>
      </c>
      <c r="C1777" s="1" t="s">
        <v>8</v>
      </c>
      <c r="D1777" s="2">
        <v>16509</v>
      </c>
      <c r="E1777" s="2">
        <v>420129</v>
      </c>
      <c r="F1777" s="4">
        <v>50240</v>
      </c>
    </row>
    <row r="1778" spans="1:6" x14ac:dyDescent="0.3">
      <c r="A1778" s="3">
        <v>2017</v>
      </c>
      <c r="B1778" s="1" t="s">
        <v>61</v>
      </c>
      <c r="C1778" s="1" t="s">
        <v>9</v>
      </c>
      <c r="D1778" s="2">
        <v>15762</v>
      </c>
      <c r="E1778" s="2">
        <v>183433</v>
      </c>
      <c r="F1778" s="4">
        <v>41521</v>
      </c>
    </row>
    <row r="1779" spans="1:6" x14ac:dyDescent="0.3">
      <c r="A1779" s="3">
        <v>2017</v>
      </c>
      <c r="B1779" s="1" t="s">
        <v>61</v>
      </c>
      <c r="C1779" s="1" t="s">
        <v>10</v>
      </c>
      <c r="D1779" s="2">
        <v>593987</v>
      </c>
      <c r="E1779" s="2">
        <v>2560907</v>
      </c>
      <c r="F1779" s="4">
        <v>50766</v>
      </c>
    </row>
    <row r="1780" spans="1:6" x14ac:dyDescent="0.3">
      <c r="A1780" s="3">
        <v>2017</v>
      </c>
      <c r="B1780" s="1" t="s">
        <v>61</v>
      </c>
      <c r="C1780" s="1" t="s">
        <v>11</v>
      </c>
      <c r="D1780" s="2">
        <v>21356</v>
      </c>
      <c r="E1780" s="2">
        <v>328843</v>
      </c>
      <c r="F1780" s="4">
        <v>48754</v>
      </c>
    </row>
    <row r="1781" spans="1:6" x14ac:dyDescent="0.3">
      <c r="A1781" s="3">
        <v>2017</v>
      </c>
      <c r="B1781" s="1" t="s">
        <v>61</v>
      </c>
      <c r="C1781" s="1" t="s">
        <v>12</v>
      </c>
      <c r="D1781" s="2">
        <v>12701</v>
      </c>
      <c r="E1781" s="2">
        <v>325348</v>
      </c>
      <c r="F1781" s="4">
        <v>53993</v>
      </c>
    </row>
    <row r="1782" spans="1:6" x14ac:dyDescent="0.3">
      <c r="A1782" s="3">
        <v>2017</v>
      </c>
      <c r="B1782" s="1" t="s">
        <v>61</v>
      </c>
      <c r="C1782" s="1" t="s">
        <v>13</v>
      </c>
      <c r="D1782" s="2">
        <v>4626</v>
      </c>
      <c r="E1782" s="2">
        <v>73879</v>
      </c>
      <c r="F1782" s="4">
        <v>53083</v>
      </c>
    </row>
    <row r="1783" spans="1:6" x14ac:dyDescent="0.3">
      <c r="A1783" s="3">
        <v>2017</v>
      </c>
      <c r="B1783" s="1" t="s">
        <v>61</v>
      </c>
      <c r="C1783" s="1" t="s">
        <v>14</v>
      </c>
      <c r="D1783" s="2">
        <v>71929</v>
      </c>
      <c r="E1783" s="2">
        <v>1258710</v>
      </c>
      <c r="F1783" s="4">
        <v>49450</v>
      </c>
    </row>
    <row r="1784" spans="1:6" x14ac:dyDescent="0.3">
      <c r="A1784" s="3">
        <v>2017</v>
      </c>
      <c r="B1784" s="1" t="s">
        <v>61</v>
      </c>
      <c r="C1784" s="1" t="s">
        <v>15</v>
      </c>
      <c r="D1784" s="2">
        <v>28426</v>
      </c>
      <c r="E1784" s="2">
        <v>546707</v>
      </c>
      <c r="F1784" s="4">
        <v>50819</v>
      </c>
    </row>
    <row r="1785" spans="1:6" x14ac:dyDescent="0.3">
      <c r="A1785" s="3">
        <v>2017</v>
      </c>
      <c r="B1785" s="1" t="s">
        <v>61</v>
      </c>
      <c r="C1785" s="1" t="s">
        <v>16</v>
      </c>
      <c r="D1785" s="2">
        <v>7292</v>
      </c>
      <c r="E1785" s="2">
        <v>96246</v>
      </c>
      <c r="F1785" s="4">
        <v>40927</v>
      </c>
    </row>
    <row r="1786" spans="1:6" x14ac:dyDescent="0.3">
      <c r="A1786" s="3">
        <v>2017</v>
      </c>
      <c r="B1786" s="1" t="s">
        <v>61</v>
      </c>
      <c r="C1786" s="1" t="s">
        <v>17</v>
      </c>
      <c r="D1786" s="2">
        <v>34414</v>
      </c>
      <c r="E1786" s="2">
        <v>910288</v>
      </c>
      <c r="F1786" s="4">
        <v>49347</v>
      </c>
    </row>
    <row r="1787" spans="1:6" x14ac:dyDescent="0.3">
      <c r="A1787" s="3">
        <v>2017</v>
      </c>
      <c r="B1787" s="1" t="s">
        <v>61</v>
      </c>
      <c r="C1787" s="1" t="s">
        <v>18</v>
      </c>
      <c r="D1787" s="2">
        <v>15254</v>
      </c>
      <c r="E1787" s="2">
        <v>452646</v>
      </c>
      <c r="F1787" s="4">
        <v>46791</v>
      </c>
    </row>
    <row r="1788" spans="1:6" x14ac:dyDescent="0.3">
      <c r="A1788" s="3">
        <v>2017</v>
      </c>
      <c r="B1788" s="1" t="s">
        <v>61</v>
      </c>
      <c r="C1788" s="1" t="s">
        <v>19</v>
      </c>
      <c r="D1788" s="2">
        <v>11324</v>
      </c>
      <c r="E1788" s="2">
        <v>219362</v>
      </c>
      <c r="F1788" s="4">
        <v>42092</v>
      </c>
    </row>
    <row r="1789" spans="1:6" x14ac:dyDescent="0.3">
      <c r="A1789" s="3">
        <v>2017</v>
      </c>
      <c r="B1789" s="1" t="s">
        <v>61</v>
      </c>
      <c r="C1789" s="1" t="s">
        <v>20</v>
      </c>
      <c r="D1789" s="2">
        <v>10129</v>
      </c>
      <c r="E1789" s="2">
        <v>192638</v>
      </c>
      <c r="F1789" s="4">
        <v>41465</v>
      </c>
    </row>
    <row r="1790" spans="1:6" x14ac:dyDescent="0.3">
      <c r="A1790" s="3">
        <v>2017</v>
      </c>
      <c r="B1790" s="1" t="s">
        <v>61</v>
      </c>
      <c r="C1790" s="1" t="s">
        <v>21</v>
      </c>
      <c r="D1790" s="2">
        <v>17849</v>
      </c>
      <c r="E1790" s="2">
        <v>262151</v>
      </c>
      <c r="F1790" s="4">
        <v>47340</v>
      </c>
    </row>
    <row r="1791" spans="1:6" x14ac:dyDescent="0.3">
      <c r="A1791" s="3">
        <v>2017</v>
      </c>
      <c r="B1791" s="1" t="s">
        <v>61</v>
      </c>
      <c r="C1791" s="1" t="s">
        <v>22</v>
      </c>
      <c r="D1791" s="2">
        <v>15003</v>
      </c>
      <c r="E1791" s="2">
        <v>297694</v>
      </c>
      <c r="F1791" s="4">
        <v>42305</v>
      </c>
    </row>
    <row r="1792" spans="1:6" x14ac:dyDescent="0.3">
      <c r="A1792" s="3">
        <v>2017</v>
      </c>
      <c r="B1792" s="1" t="s">
        <v>61</v>
      </c>
      <c r="C1792" s="1" t="s">
        <v>23</v>
      </c>
      <c r="D1792" s="2">
        <v>6292</v>
      </c>
      <c r="E1792" s="2">
        <v>118412</v>
      </c>
      <c r="F1792" s="4">
        <v>45937</v>
      </c>
    </row>
    <row r="1793" spans="1:6" x14ac:dyDescent="0.3">
      <c r="A1793" s="3">
        <v>2017</v>
      </c>
      <c r="B1793" s="1" t="s">
        <v>61</v>
      </c>
      <c r="C1793" s="1" t="s">
        <v>24</v>
      </c>
      <c r="D1793" s="2">
        <v>20270</v>
      </c>
      <c r="E1793" s="2">
        <v>436185</v>
      </c>
      <c r="F1793" s="4">
        <v>53201</v>
      </c>
    </row>
    <row r="1794" spans="1:6" x14ac:dyDescent="0.3">
      <c r="A1794" s="3">
        <v>2017</v>
      </c>
      <c r="B1794" s="1" t="s">
        <v>61</v>
      </c>
      <c r="C1794" s="1" t="s">
        <v>25</v>
      </c>
      <c r="D1794" s="2">
        <v>61589</v>
      </c>
      <c r="E1794" s="2">
        <v>769824</v>
      </c>
      <c r="F1794" s="4">
        <v>57794</v>
      </c>
    </row>
    <row r="1795" spans="1:6" x14ac:dyDescent="0.3">
      <c r="A1795" s="3">
        <v>2017</v>
      </c>
      <c r="B1795" s="1" t="s">
        <v>61</v>
      </c>
      <c r="C1795" s="1" t="s">
        <v>26</v>
      </c>
      <c r="D1795" s="2">
        <v>24957</v>
      </c>
      <c r="E1795" s="2">
        <v>656020</v>
      </c>
      <c r="F1795" s="4">
        <v>48406</v>
      </c>
    </row>
    <row r="1796" spans="1:6" x14ac:dyDescent="0.3">
      <c r="A1796" s="3">
        <v>2017</v>
      </c>
      <c r="B1796" s="1" t="s">
        <v>61</v>
      </c>
      <c r="C1796" s="1" t="s">
        <v>27</v>
      </c>
      <c r="D1796" s="2">
        <v>17543</v>
      </c>
      <c r="E1796" s="2">
        <v>514711</v>
      </c>
      <c r="F1796" s="4">
        <v>49720</v>
      </c>
    </row>
    <row r="1797" spans="1:6" x14ac:dyDescent="0.3">
      <c r="A1797" s="3">
        <v>2017</v>
      </c>
      <c r="B1797" s="1" t="s">
        <v>61</v>
      </c>
      <c r="C1797" s="1" t="s">
        <v>28</v>
      </c>
      <c r="D1797" s="2">
        <v>7420</v>
      </c>
      <c r="E1797" s="2">
        <v>142412</v>
      </c>
      <c r="F1797" s="4">
        <v>40426</v>
      </c>
    </row>
    <row r="1798" spans="1:6" x14ac:dyDescent="0.3">
      <c r="A1798" s="3">
        <v>2017</v>
      </c>
      <c r="B1798" s="1" t="s">
        <v>61</v>
      </c>
      <c r="C1798" s="1" t="s">
        <v>29</v>
      </c>
      <c r="D1798" s="2">
        <v>48626</v>
      </c>
      <c r="E1798" s="2">
        <v>450671</v>
      </c>
      <c r="F1798" s="4">
        <v>44800</v>
      </c>
    </row>
    <row r="1799" spans="1:6" x14ac:dyDescent="0.3">
      <c r="A1799" s="3">
        <v>2017</v>
      </c>
      <c r="B1799" s="1" t="s">
        <v>61</v>
      </c>
      <c r="C1799" s="1" t="s">
        <v>30</v>
      </c>
      <c r="D1799" s="2">
        <v>4448</v>
      </c>
      <c r="E1799" s="2">
        <v>73262</v>
      </c>
      <c r="F1799" s="4">
        <v>46171</v>
      </c>
    </row>
    <row r="1800" spans="1:6" x14ac:dyDescent="0.3">
      <c r="A1800" s="3">
        <v>2017</v>
      </c>
      <c r="B1800" s="1" t="s">
        <v>61</v>
      </c>
      <c r="C1800" s="1" t="s">
        <v>31</v>
      </c>
      <c r="D1800" s="2">
        <v>13241</v>
      </c>
      <c r="E1800" s="2">
        <v>136970</v>
      </c>
      <c r="F1800" s="4">
        <v>44565</v>
      </c>
    </row>
    <row r="1801" spans="1:6" x14ac:dyDescent="0.3">
      <c r="A1801" s="3">
        <v>2017</v>
      </c>
      <c r="B1801" s="1" t="s">
        <v>61</v>
      </c>
      <c r="C1801" s="1" t="s">
        <v>32</v>
      </c>
      <c r="D1801" s="2">
        <v>8681</v>
      </c>
      <c r="E1801" s="2">
        <v>131756</v>
      </c>
      <c r="F1801" s="4">
        <v>53119</v>
      </c>
    </row>
    <row r="1802" spans="1:6" x14ac:dyDescent="0.3">
      <c r="A1802" s="3">
        <v>2017</v>
      </c>
      <c r="B1802" s="1" t="s">
        <v>61</v>
      </c>
      <c r="C1802" s="1" t="s">
        <v>33</v>
      </c>
      <c r="D1802" s="2">
        <v>4635</v>
      </c>
      <c r="E1802" s="2">
        <v>111212</v>
      </c>
      <c r="F1802" s="4">
        <v>54599</v>
      </c>
    </row>
    <row r="1803" spans="1:6" x14ac:dyDescent="0.3">
      <c r="A1803" s="3">
        <v>2017</v>
      </c>
      <c r="B1803" s="1" t="s">
        <v>61</v>
      </c>
      <c r="C1803" s="1" t="s">
        <v>34</v>
      </c>
      <c r="D1803" s="2">
        <v>33411</v>
      </c>
      <c r="E1803" s="2">
        <v>644049</v>
      </c>
      <c r="F1803" s="4">
        <v>52138</v>
      </c>
    </row>
    <row r="1804" spans="1:6" x14ac:dyDescent="0.3">
      <c r="A1804" s="3">
        <v>2017</v>
      </c>
      <c r="B1804" s="1" t="s">
        <v>61</v>
      </c>
      <c r="C1804" s="1" t="s">
        <v>35</v>
      </c>
      <c r="D1804" s="2">
        <v>9629</v>
      </c>
      <c r="E1804" s="2">
        <v>127804</v>
      </c>
      <c r="F1804" s="4">
        <v>40621</v>
      </c>
    </row>
    <row r="1805" spans="1:6" x14ac:dyDescent="0.3">
      <c r="A1805" s="3">
        <v>2017</v>
      </c>
      <c r="B1805" s="1" t="s">
        <v>61</v>
      </c>
      <c r="C1805" s="1" t="s">
        <v>36</v>
      </c>
      <c r="D1805" s="2">
        <v>67533</v>
      </c>
      <c r="E1805" s="2">
        <v>1847585</v>
      </c>
      <c r="F1805" s="4">
        <v>51932</v>
      </c>
    </row>
    <row r="1806" spans="1:6" x14ac:dyDescent="0.3">
      <c r="A1806" s="3">
        <v>2017</v>
      </c>
      <c r="B1806" s="1" t="s">
        <v>61</v>
      </c>
      <c r="C1806" s="1" t="s">
        <v>37</v>
      </c>
      <c r="D1806" s="2">
        <v>26885</v>
      </c>
      <c r="E1806" s="2">
        <v>578637</v>
      </c>
      <c r="F1806" s="4">
        <v>47135</v>
      </c>
    </row>
    <row r="1807" spans="1:6" x14ac:dyDescent="0.3">
      <c r="A1807" s="3">
        <v>2017</v>
      </c>
      <c r="B1807" s="1" t="s">
        <v>61</v>
      </c>
      <c r="C1807" s="1" t="s">
        <v>38</v>
      </c>
      <c r="D1807" s="2">
        <v>2484</v>
      </c>
      <c r="E1807" s="2">
        <v>61847</v>
      </c>
      <c r="F1807" s="4">
        <v>49915</v>
      </c>
    </row>
    <row r="1808" spans="1:6" x14ac:dyDescent="0.3">
      <c r="A1808" s="3">
        <v>2017</v>
      </c>
      <c r="B1808" s="1" t="s">
        <v>61</v>
      </c>
      <c r="C1808" s="1" t="s">
        <v>39</v>
      </c>
      <c r="D1808" s="2">
        <v>34090</v>
      </c>
      <c r="E1808" s="2">
        <v>897244</v>
      </c>
      <c r="F1808" s="4">
        <v>45314</v>
      </c>
    </row>
    <row r="1809" spans="1:6" x14ac:dyDescent="0.3">
      <c r="A1809" s="3">
        <v>2017</v>
      </c>
      <c r="B1809" s="1" t="s">
        <v>61</v>
      </c>
      <c r="C1809" s="1" t="s">
        <v>40</v>
      </c>
      <c r="D1809" s="2">
        <v>13367</v>
      </c>
      <c r="E1809" s="2">
        <v>208934</v>
      </c>
      <c r="F1809" s="4">
        <v>44167</v>
      </c>
    </row>
    <row r="1810" spans="1:6" x14ac:dyDescent="0.3">
      <c r="A1810" s="3">
        <v>2017</v>
      </c>
      <c r="B1810" s="1" t="s">
        <v>61</v>
      </c>
      <c r="C1810" s="1" t="s">
        <v>41</v>
      </c>
      <c r="D1810" s="2">
        <v>15363</v>
      </c>
      <c r="E1810" s="2">
        <v>266489</v>
      </c>
      <c r="F1810" s="4">
        <v>50908</v>
      </c>
    </row>
    <row r="1811" spans="1:6" x14ac:dyDescent="0.3">
      <c r="A1811" s="3">
        <v>2017</v>
      </c>
      <c r="B1811" s="1" t="s">
        <v>61</v>
      </c>
      <c r="C1811" s="1" t="s">
        <v>42</v>
      </c>
      <c r="D1811" s="2">
        <v>58709</v>
      </c>
      <c r="E1811" s="2">
        <v>1179271</v>
      </c>
      <c r="F1811" s="4">
        <v>50500</v>
      </c>
    </row>
    <row r="1812" spans="1:6" x14ac:dyDescent="0.3">
      <c r="A1812" s="3">
        <v>2017</v>
      </c>
      <c r="B1812" s="1" t="s">
        <v>61</v>
      </c>
      <c r="C1812" s="1" t="s">
        <v>43</v>
      </c>
      <c r="D1812" s="2">
        <v>4485</v>
      </c>
      <c r="E1812" s="2">
        <v>99581</v>
      </c>
      <c r="F1812" s="4">
        <v>47941</v>
      </c>
    </row>
    <row r="1813" spans="1:6" x14ac:dyDescent="0.3">
      <c r="A1813" s="3">
        <v>2017</v>
      </c>
      <c r="B1813" s="1" t="s">
        <v>61</v>
      </c>
      <c r="C1813" s="1" t="s">
        <v>44</v>
      </c>
      <c r="D1813" s="2">
        <v>11574</v>
      </c>
      <c r="E1813" s="2">
        <v>226255</v>
      </c>
      <c r="F1813" s="4">
        <v>45624</v>
      </c>
    </row>
    <row r="1814" spans="1:6" x14ac:dyDescent="0.3">
      <c r="A1814" s="3">
        <v>2017</v>
      </c>
      <c r="B1814" s="1" t="s">
        <v>61</v>
      </c>
      <c r="C1814" s="1" t="s">
        <v>45</v>
      </c>
      <c r="D1814" s="2">
        <v>2732</v>
      </c>
      <c r="E1814" s="2">
        <v>66629</v>
      </c>
      <c r="F1814" s="4">
        <v>49512</v>
      </c>
    </row>
    <row r="1815" spans="1:6" x14ac:dyDescent="0.3">
      <c r="A1815" s="3">
        <v>2017</v>
      </c>
      <c r="B1815" s="1" t="s">
        <v>61</v>
      </c>
      <c r="C1815" s="1" t="s">
        <v>46</v>
      </c>
      <c r="D1815" s="2">
        <v>15761</v>
      </c>
      <c r="E1815" s="2">
        <v>416511</v>
      </c>
      <c r="F1815" s="4">
        <v>50938</v>
      </c>
    </row>
    <row r="1816" spans="1:6" x14ac:dyDescent="0.3">
      <c r="A1816" s="3">
        <v>2017</v>
      </c>
      <c r="B1816" s="1" t="s">
        <v>61</v>
      </c>
      <c r="C1816" s="1" t="s">
        <v>47</v>
      </c>
      <c r="D1816" s="2">
        <v>87635</v>
      </c>
      <c r="E1816" s="2">
        <v>1607487</v>
      </c>
      <c r="F1816" s="4">
        <v>47096</v>
      </c>
    </row>
    <row r="1817" spans="1:6" x14ac:dyDescent="0.3">
      <c r="A1817" s="3">
        <v>2017</v>
      </c>
      <c r="B1817" s="1" t="s">
        <v>61</v>
      </c>
      <c r="C1817" s="1" t="s">
        <v>48</v>
      </c>
      <c r="D1817" s="2">
        <v>11679</v>
      </c>
      <c r="E1817" s="2">
        <v>181402</v>
      </c>
      <c r="F1817" s="4">
        <v>42492</v>
      </c>
    </row>
    <row r="1818" spans="1:6" x14ac:dyDescent="0.3">
      <c r="A1818" s="3">
        <v>2017</v>
      </c>
      <c r="B1818" s="1" t="s">
        <v>61</v>
      </c>
      <c r="C1818" s="1" t="s">
        <v>49</v>
      </c>
      <c r="D1818" s="2">
        <v>2460</v>
      </c>
      <c r="E1818" s="2">
        <v>62109</v>
      </c>
      <c r="F1818" s="4">
        <v>45259</v>
      </c>
    </row>
    <row r="1819" spans="1:6" x14ac:dyDescent="0.3">
      <c r="A1819" s="3">
        <v>2017</v>
      </c>
      <c r="B1819" s="1" t="s">
        <v>61</v>
      </c>
      <c r="C1819" s="1" t="s">
        <v>50</v>
      </c>
      <c r="D1819" s="2">
        <v>42910</v>
      </c>
      <c r="E1819" s="2">
        <v>496944</v>
      </c>
      <c r="F1819" s="4">
        <v>48573</v>
      </c>
    </row>
    <row r="1820" spans="1:6" x14ac:dyDescent="0.3">
      <c r="A1820" s="3">
        <v>2017</v>
      </c>
      <c r="B1820" s="1" t="s">
        <v>61</v>
      </c>
      <c r="C1820" s="1" t="s">
        <v>51</v>
      </c>
      <c r="D1820" s="2">
        <v>56689</v>
      </c>
      <c r="E1820" s="2">
        <v>451563</v>
      </c>
      <c r="F1820" s="4">
        <v>49782</v>
      </c>
    </row>
    <row r="1821" spans="1:6" x14ac:dyDescent="0.3">
      <c r="A1821" s="3">
        <v>2017</v>
      </c>
      <c r="B1821" s="1" t="s">
        <v>61</v>
      </c>
      <c r="C1821" s="1" t="s">
        <v>52</v>
      </c>
      <c r="D1821" s="2">
        <v>5679</v>
      </c>
      <c r="E1821" s="2">
        <v>123772</v>
      </c>
      <c r="F1821" s="4">
        <v>44732</v>
      </c>
    </row>
    <row r="1822" spans="1:6" x14ac:dyDescent="0.3">
      <c r="A1822" s="3">
        <v>2017</v>
      </c>
      <c r="B1822" s="1" t="s">
        <v>61</v>
      </c>
      <c r="C1822" s="1" t="s">
        <v>53</v>
      </c>
      <c r="D1822" s="2">
        <v>25989</v>
      </c>
      <c r="E1822" s="2">
        <v>428367</v>
      </c>
      <c r="F1822" s="4">
        <v>47663</v>
      </c>
    </row>
    <row r="1823" spans="1:6" x14ac:dyDescent="0.3">
      <c r="A1823" s="3">
        <v>2017</v>
      </c>
      <c r="B1823" s="1" t="s">
        <v>61</v>
      </c>
      <c r="C1823" s="1" t="s">
        <v>54</v>
      </c>
      <c r="D1823" s="2">
        <v>3268</v>
      </c>
      <c r="E1823" s="2">
        <v>26479</v>
      </c>
      <c r="F1823" s="4">
        <v>41913</v>
      </c>
    </row>
    <row r="1824" spans="1:6" x14ac:dyDescent="0.3">
      <c r="A1824" s="3">
        <v>2017</v>
      </c>
      <c r="B1824" s="1" t="s">
        <v>62</v>
      </c>
      <c r="C1824" s="1" t="s">
        <v>7</v>
      </c>
      <c r="D1824" s="2">
        <v>10741</v>
      </c>
      <c r="E1824" s="2">
        <v>202336</v>
      </c>
      <c r="F1824" s="4">
        <v>16222</v>
      </c>
    </row>
    <row r="1825" spans="1:6" x14ac:dyDescent="0.3">
      <c r="A1825" s="3">
        <v>2017</v>
      </c>
      <c r="B1825" s="1" t="s">
        <v>62</v>
      </c>
      <c r="C1825" s="1" t="s">
        <v>8</v>
      </c>
      <c r="D1825" s="2">
        <v>12771</v>
      </c>
      <c r="E1825" s="2">
        <v>317076</v>
      </c>
      <c r="F1825" s="4">
        <v>23505</v>
      </c>
    </row>
    <row r="1826" spans="1:6" x14ac:dyDescent="0.3">
      <c r="A1826" s="3">
        <v>2017</v>
      </c>
      <c r="B1826" s="1" t="s">
        <v>62</v>
      </c>
      <c r="C1826" s="1" t="s">
        <v>9</v>
      </c>
      <c r="D1826" s="2">
        <v>7024</v>
      </c>
      <c r="E1826" s="2">
        <v>116690</v>
      </c>
      <c r="F1826" s="4">
        <v>16181</v>
      </c>
    </row>
    <row r="1827" spans="1:6" x14ac:dyDescent="0.3">
      <c r="A1827" s="3">
        <v>2017</v>
      </c>
      <c r="B1827" s="1" t="s">
        <v>62</v>
      </c>
      <c r="C1827" s="1" t="s">
        <v>10</v>
      </c>
      <c r="D1827" s="2">
        <v>103495</v>
      </c>
      <c r="E1827" s="2">
        <v>1935980</v>
      </c>
      <c r="F1827" s="4">
        <v>29214</v>
      </c>
    </row>
    <row r="1828" spans="1:6" x14ac:dyDescent="0.3">
      <c r="A1828" s="3">
        <v>2017</v>
      </c>
      <c r="B1828" s="1" t="s">
        <v>62</v>
      </c>
      <c r="C1828" s="1" t="s">
        <v>11</v>
      </c>
      <c r="D1828" s="2">
        <v>16627</v>
      </c>
      <c r="E1828" s="2">
        <v>333190</v>
      </c>
      <c r="F1828" s="4">
        <v>24462</v>
      </c>
    </row>
    <row r="1829" spans="1:6" x14ac:dyDescent="0.3">
      <c r="A1829" s="3">
        <v>2017</v>
      </c>
      <c r="B1829" s="1" t="s">
        <v>62</v>
      </c>
      <c r="C1829" s="1" t="s">
        <v>12</v>
      </c>
      <c r="D1829" s="2">
        <v>10338</v>
      </c>
      <c r="E1829" s="2">
        <v>156514</v>
      </c>
      <c r="F1829" s="4">
        <v>23066</v>
      </c>
    </row>
    <row r="1830" spans="1:6" x14ac:dyDescent="0.3">
      <c r="A1830" s="3">
        <v>2017</v>
      </c>
      <c r="B1830" s="1" t="s">
        <v>62</v>
      </c>
      <c r="C1830" s="1" t="s">
        <v>13</v>
      </c>
      <c r="D1830" s="2">
        <v>2565</v>
      </c>
      <c r="E1830" s="2">
        <v>50272</v>
      </c>
      <c r="F1830" s="4">
        <v>19997</v>
      </c>
    </row>
    <row r="1831" spans="1:6" x14ac:dyDescent="0.3">
      <c r="A1831" s="3">
        <v>2017</v>
      </c>
      <c r="B1831" s="1" t="s">
        <v>62</v>
      </c>
      <c r="C1831" s="1" t="s">
        <v>14</v>
      </c>
      <c r="D1831" s="2">
        <v>55396</v>
      </c>
      <c r="E1831" s="2">
        <v>1198478</v>
      </c>
      <c r="F1831" s="4">
        <v>24953</v>
      </c>
    </row>
    <row r="1832" spans="1:6" x14ac:dyDescent="0.3">
      <c r="A1832" s="3">
        <v>2017</v>
      </c>
      <c r="B1832" s="1" t="s">
        <v>62</v>
      </c>
      <c r="C1832" s="1" t="s">
        <v>15</v>
      </c>
      <c r="D1832" s="2">
        <v>23538</v>
      </c>
      <c r="E1832" s="2">
        <v>476035</v>
      </c>
      <c r="F1832" s="4">
        <v>20142</v>
      </c>
    </row>
    <row r="1833" spans="1:6" x14ac:dyDescent="0.3">
      <c r="A1833" s="3">
        <v>2017</v>
      </c>
      <c r="B1833" s="1" t="s">
        <v>62</v>
      </c>
      <c r="C1833" s="1" t="s">
        <v>16</v>
      </c>
      <c r="D1833" s="2">
        <v>4906</v>
      </c>
      <c r="E1833" s="2">
        <v>74928</v>
      </c>
      <c r="F1833" s="4">
        <v>16382</v>
      </c>
    </row>
    <row r="1834" spans="1:6" x14ac:dyDescent="0.3">
      <c r="A1834" s="3">
        <v>2017</v>
      </c>
      <c r="B1834" s="1" t="s">
        <v>62</v>
      </c>
      <c r="C1834" s="1" t="s">
        <v>17</v>
      </c>
      <c r="D1834" s="2">
        <v>32076</v>
      </c>
      <c r="E1834" s="2">
        <v>610100</v>
      </c>
      <c r="F1834" s="4">
        <v>22930</v>
      </c>
    </row>
    <row r="1835" spans="1:6" x14ac:dyDescent="0.3">
      <c r="A1835" s="3">
        <v>2017</v>
      </c>
      <c r="B1835" s="1" t="s">
        <v>62</v>
      </c>
      <c r="C1835" s="1" t="s">
        <v>18</v>
      </c>
      <c r="D1835" s="2">
        <v>15273</v>
      </c>
      <c r="E1835" s="2">
        <v>308506</v>
      </c>
      <c r="F1835" s="4">
        <v>18223</v>
      </c>
    </row>
    <row r="1836" spans="1:6" x14ac:dyDescent="0.3">
      <c r="A1836" s="3">
        <v>2017</v>
      </c>
      <c r="B1836" s="1" t="s">
        <v>62</v>
      </c>
      <c r="C1836" s="1" t="s">
        <v>19</v>
      </c>
      <c r="D1836" s="2">
        <v>8532</v>
      </c>
      <c r="E1836" s="2">
        <v>143101</v>
      </c>
      <c r="F1836" s="4">
        <v>16280</v>
      </c>
    </row>
    <row r="1837" spans="1:6" x14ac:dyDescent="0.3">
      <c r="A1837" s="3">
        <v>2017</v>
      </c>
      <c r="B1837" s="1" t="s">
        <v>62</v>
      </c>
      <c r="C1837" s="1" t="s">
        <v>20</v>
      </c>
      <c r="D1837" s="2">
        <v>6839</v>
      </c>
      <c r="E1837" s="2">
        <v>128449</v>
      </c>
      <c r="F1837" s="4">
        <v>16257</v>
      </c>
    </row>
    <row r="1838" spans="1:6" x14ac:dyDescent="0.3">
      <c r="A1838" s="3">
        <v>2017</v>
      </c>
      <c r="B1838" s="1" t="s">
        <v>62</v>
      </c>
      <c r="C1838" s="1" t="s">
        <v>21</v>
      </c>
      <c r="D1838" s="2">
        <v>10063</v>
      </c>
      <c r="E1838" s="2">
        <v>196846</v>
      </c>
      <c r="F1838" s="4">
        <v>17160</v>
      </c>
    </row>
    <row r="1839" spans="1:6" x14ac:dyDescent="0.3">
      <c r="A1839" s="3">
        <v>2017</v>
      </c>
      <c r="B1839" s="1" t="s">
        <v>62</v>
      </c>
      <c r="C1839" s="1" t="s">
        <v>22</v>
      </c>
      <c r="D1839" s="2">
        <v>12015</v>
      </c>
      <c r="E1839" s="2">
        <v>233109</v>
      </c>
      <c r="F1839" s="4">
        <v>20623</v>
      </c>
    </row>
    <row r="1840" spans="1:6" x14ac:dyDescent="0.3">
      <c r="A1840" s="3">
        <v>2017</v>
      </c>
      <c r="B1840" s="1" t="s">
        <v>62</v>
      </c>
      <c r="C1840" s="1" t="s">
        <v>23</v>
      </c>
      <c r="D1840" s="2">
        <v>5119</v>
      </c>
      <c r="E1840" s="2">
        <v>67354</v>
      </c>
      <c r="F1840" s="4">
        <v>21119</v>
      </c>
    </row>
    <row r="1841" spans="1:6" x14ac:dyDescent="0.3">
      <c r="A1841" s="3">
        <v>2017</v>
      </c>
      <c r="B1841" s="1" t="s">
        <v>62</v>
      </c>
      <c r="C1841" s="1" t="s">
        <v>24</v>
      </c>
      <c r="D1841" s="2">
        <v>14733</v>
      </c>
      <c r="E1841" s="2">
        <v>280195</v>
      </c>
      <c r="F1841" s="4">
        <v>23436</v>
      </c>
    </row>
    <row r="1842" spans="1:6" x14ac:dyDescent="0.3">
      <c r="A1842" s="3">
        <v>2017</v>
      </c>
      <c r="B1842" s="1" t="s">
        <v>62</v>
      </c>
      <c r="C1842" s="1" t="s">
        <v>25</v>
      </c>
      <c r="D1842" s="2">
        <v>20695</v>
      </c>
      <c r="E1842" s="2">
        <v>369350</v>
      </c>
      <c r="F1842" s="4">
        <v>26779</v>
      </c>
    </row>
    <row r="1843" spans="1:6" x14ac:dyDescent="0.3">
      <c r="A1843" s="3">
        <v>2017</v>
      </c>
      <c r="B1843" s="1" t="s">
        <v>62</v>
      </c>
      <c r="C1843" s="1" t="s">
        <v>26</v>
      </c>
      <c r="D1843" s="2">
        <v>21783</v>
      </c>
      <c r="E1843" s="2">
        <v>431316</v>
      </c>
      <c r="F1843" s="4">
        <v>19834</v>
      </c>
    </row>
    <row r="1844" spans="1:6" x14ac:dyDescent="0.3">
      <c r="A1844" s="3">
        <v>2017</v>
      </c>
      <c r="B1844" s="1" t="s">
        <v>62</v>
      </c>
      <c r="C1844" s="1" t="s">
        <v>27</v>
      </c>
      <c r="D1844" s="2">
        <v>14729</v>
      </c>
      <c r="E1844" s="2">
        <v>270490</v>
      </c>
      <c r="F1844" s="4">
        <v>21386</v>
      </c>
    </row>
    <row r="1845" spans="1:6" x14ac:dyDescent="0.3">
      <c r="A1845" s="3">
        <v>2017</v>
      </c>
      <c r="B1845" s="1" t="s">
        <v>62</v>
      </c>
      <c r="C1845" s="1" t="s">
        <v>28</v>
      </c>
      <c r="D1845" s="2">
        <v>6381</v>
      </c>
      <c r="E1845" s="2">
        <v>134613</v>
      </c>
      <c r="F1845" s="4">
        <v>17011</v>
      </c>
    </row>
    <row r="1846" spans="1:6" x14ac:dyDescent="0.3">
      <c r="A1846" s="3">
        <v>2017</v>
      </c>
      <c r="B1846" s="1" t="s">
        <v>62</v>
      </c>
      <c r="C1846" s="1" t="s">
        <v>29</v>
      </c>
      <c r="D1846" s="2">
        <v>14797</v>
      </c>
      <c r="E1846" s="2">
        <v>303022</v>
      </c>
      <c r="F1846" s="4">
        <v>20276</v>
      </c>
    </row>
    <row r="1847" spans="1:6" x14ac:dyDescent="0.3">
      <c r="A1847" s="3">
        <v>2017</v>
      </c>
      <c r="B1847" s="1" t="s">
        <v>62</v>
      </c>
      <c r="C1847" s="1" t="s">
        <v>30</v>
      </c>
      <c r="D1847" s="2">
        <v>4978</v>
      </c>
      <c r="E1847" s="2">
        <v>64958</v>
      </c>
      <c r="F1847" s="4">
        <v>18625</v>
      </c>
    </row>
    <row r="1848" spans="1:6" x14ac:dyDescent="0.3">
      <c r="A1848" s="3">
        <v>2017</v>
      </c>
      <c r="B1848" s="1" t="s">
        <v>62</v>
      </c>
      <c r="C1848" s="1" t="s">
        <v>31</v>
      </c>
      <c r="D1848" s="2">
        <v>5508</v>
      </c>
      <c r="E1848" s="2">
        <v>91776</v>
      </c>
      <c r="F1848" s="4">
        <v>16253</v>
      </c>
    </row>
    <row r="1849" spans="1:6" x14ac:dyDescent="0.3">
      <c r="A1849" s="3">
        <v>2017</v>
      </c>
      <c r="B1849" s="1" t="s">
        <v>62</v>
      </c>
      <c r="C1849" s="1" t="s">
        <v>32</v>
      </c>
      <c r="D1849" s="2">
        <v>8246</v>
      </c>
      <c r="E1849" s="2">
        <v>348888</v>
      </c>
      <c r="F1849" s="4">
        <v>33048</v>
      </c>
    </row>
    <row r="1850" spans="1:6" x14ac:dyDescent="0.3">
      <c r="A1850" s="3">
        <v>2017</v>
      </c>
      <c r="B1850" s="1" t="s">
        <v>62</v>
      </c>
      <c r="C1850" s="1" t="s">
        <v>33</v>
      </c>
      <c r="D1850" s="2">
        <v>4512</v>
      </c>
      <c r="E1850" s="2">
        <v>70729</v>
      </c>
      <c r="F1850" s="4">
        <v>21058</v>
      </c>
    </row>
    <row r="1851" spans="1:6" x14ac:dyDescent="0.3">
      <c r="A1851" s="3">
        <v>2017</v>
      </c>
      <c r="B1851" s="1" t="s">
        <v>62</v>
      </c>
      <c r="C1851" s="1" t="s">
        <v>34</v>
      </c>
      <c r="D1851" s="2">
        <v>23501</v>
      </c>
      <c r="E1851" s="2">
        <v>372798</v>
      </c>
      <c r="F1851" s="4">
        <v>24851</v>
      </c>
    </row>
    <row r="1852" spans="1:6" x14ac:dyDescent="0.3">
      <c r="A1852" s="3">
        <v>2017</v>
      </c>
      <c r="B1852" s="1" t="s">
        <v>62</v>
      </c>
      <c r="C1852" s="1" t="s">
        <v>35</v>
      </c>
      <c r="D1852" s="2">
        <v>4929</v>
      </c>
      <c r="E1852" s="2">
        <v>96321</v>
      </c>
      <c r="F1852" s="4">
        <v>17901</v>
      </c>
    </row>
    <row r="1853" spans="1:6" x14ac:dyDescent="0.3">
      <c r="A1853" s="3">
        <v>2017</v>
      </c>
      <c r="B1853" s="1" t="s">
        <v>62</v>
      </c>
      <c r="C1853" s="1" t="s">
        <v>36</v>
      </c>
      <c r="D1853" s="2">
        <v>66166</v>
      </c>
      <c r="E1853" s="2">
        <v>944545</v>
      </c>
      <c r="F1853" s="4">
        <v>32365</v>
      </c>
    </row>
    <row r="1854" spans="1:6" x14ac:dyDescent="0.3">
      <c r="A1854" s="3">
        <v>2017</v>
      </c>
      <c r="B1854" s="1" t="s">
        <v>62</v>
      </c>
      <c r="C1854" s="1" t="s">
        <v>37</v>
      </c>
      <c r="D1854" s="2">
        <v>25235</v>
      </c>
      <c r="E1854" s="2">
        <v>493758</v>
      </c>
      <c r="F1854" s="4">
        <v>19111</v>
      </c>
    </row>
    <row r="1855" spans="1:6" x14ac:dyDescent="0.3">
      <c r="A1855" s="3">
        <v>2017</v>
      </c>
      <c r="B1855" s="1" t="s">
        <v>62</v>
      </c>
      <c r="C1855" s="1" t="s">
        <v>38</v>
      </c>
      <c r="D1855" s="2">
        <v>2600</v>
      </c>
      <c r="E1855" s="2">
        <v>39316</v>
      </c>
      <c r="F1855" s="4">
        <v>17400</v>
      </c>
    </row>
    <row r="1856" spans="1:6" x14ac:dyDescent="0.3">
      <c r="A1856" s="3">
        <v>2017</v>
      </c>
      <c r="B1856" s="1" t="s">
        <v>62</v>
      </c>
      <c r="C1856" s="1" t="s">
        <v>39</v>
      </c>
      <c r="D1856" s="2">
        <v>28218</v>
      </c>
      <c r="E1856" s="2">
        <v>560257</v>
      </c>
      <c r="F1856" s="4">
        <v>18856</v>
      </c>
    </row>
    <row r="1857" spans="1:6" x14ac:dyDescent="0.3">
      <c r="A1857" s="3">
        <v>2017</v>
      </c>
      <c r="B1857" s="1" t="s">
        <v>62</v>
      </c>
      <c r="C1857" s="1" t="s">
        <v>40</v>
      </c>
      <c r="D1857" s="2">
        <v>8969</v>
      </c>
      <c r="E1857" s="2">
        <v>167540</v>
      </c>
      <c r="F1857" s="4">
        <v>17729</v>
      </c>
    </row>
    <row r="1858" spans="1:6" x14ac:dyDescent="0.3">
      <c r="A1858" s="3">
        <v>2017</v>
      </c>
      <c r="B1858" s="1" t="s">
        <v>62</v>
      </c>
      <c r="C1858" s="1" t="s">
        <v>41</v>
      </c>
      <c r="D1858" s="2">
        <v>13588</v>
      </c>
      <c r="E1858" s="2">
        <v>205823</v>
      </c>
      <c r="F1858" s="4">
        <v>21379</v>
      </c>
    </row>
    <row r="1859" spans="1:6" x14ac:dyDescent="0.3">
      <c r="A1859" s="3">
        <v>2017</v>
      </c>
      <c r="B1859" s="1" t="s">
        <v>62</v>
      </c>
      <c r="C1859" s="1" t="s">
        <v>42</v>
      </c>
      <c r="D1859" s="2">
        <v>33146</v>
      </c>
      <c r="E1859" s="2">
        <v>566779</v>
      </c>
      <c r="F1859" s="4">
        <v>20389</v>
      </c>
    </row>
    <row r="1860" spans="1:6" x14ac:dyDescent="0.3">
      <c r="A1860" s="3">
        <v>2017</v>
      </c>
      <c r="B1860" s="1" t="s">
        <v>62</v>
      </c>
      <c r="C1860" s="1" t="s">
        <v>43</v>
      </c>
      <c r="D1860" s="2">
        <v>3683</v>
      </c>
      <c r="E1860" s="2">
        <v>58183</v>
      </c>
      <c r="F1860" s="4">
        <v>22353</v>
      </c>
    </row>
    <row r="1861" spans="1:6" x14ac:dyDescent="0.3">
      <c r="A1861" s="3">
        <v>2017</v>
      </c>
      <c r="B1861" s="1" t="s">
        <v>62</v>
      </c>
      <c r="C1861" s="1" t="s">
        <v>44</v>
      </c>
      <c r="D1861" s="2">
        <v>12337</v>
      </c>
      <c r="E1861" s="2">
        <v>254069</v>
      </c>
      <c r="F1861" s="4">
        <v>17885</v>
      </c>
    </row>
    <row r="1862" spans="1:6" x14ac:dyDescent="0.3">
      <c r="A1862" s="3">
        <v>2017</v>
      </c>
      <c r="B1862" s="1" t="s">
        <v>62</v>
      </c>
      <c r="C1862" s="1" t="s">
        <v>45</v>
      </c>
      <c r="D1862" s="2">
        <v>3109</v>
      </c>
      <c r="E1862" s="2">
        <v>46967</v>
      </c>
      <c r="F1862" s="4">
        <v>16460</v>
      </c>
    </row>
    <row r="1863" spans="1:6" x14ac:dyDescent="0.3">
      <c r="A1863" s="3">
        <v>2017</v>
      </c>
      <c r="B1863" s="1" t="s">
        <v>62</v>
      </c>
      <c r="C1863" s="1" t="s">
        <v>46</v>
      </c>
      <c r="D1863" s="2">
        <v>15932</v>
      </c>
      <c r="E1863" s="2">
        <v>328856</v>
      </c>
      <c r="F1863" s="4">
        <v>22398</v>
      </c>
    </row>
    <row r="1864" spans="1:6" x14ac:dyDescent="0.3">
      <c r="A1864" s="3">
        <v>2017</v>
      </c>
      <c r="B1864" s="1" t="s">
        <v>62</v>
      </c>
      <c r="C1864" s="1" t="s">
        <v>47</v>
      </c>
      <c r="D1864" s="2">
        <v>60744</v>
      </c>
      <c r="E1864" s="2">
        <v>1317762</v>
      </c>
      <c r="F1864" s="4">
        <v>21234</v>
      </c>
    </row>
    <row r="1865" spans="1:6" x14ac:dyDescent="0.3">
      <c r="A1865" s="3">
        <v>2017</v>
      </c>
      <c r="B1865" s="1" t="s">
        <v>62</v>
      </c>
      <c r="C1865" s="1" t="s">
        <v>48</v>
      </c>
      <c r="D1865" s="2">
        <v>7068</v>
      </c>
      <c r="E1865" s="2">
        <v>142985</v>
      </c>
      <c r="F1865" s="4">
        <v>19510</v>
      </c>
    </row>
    <row r="1866" spans="1:6" x14ac:dyDescent="0.3">
      <c r="A1866" s="3">
        <v>2017</v>
      </c>
      <c r="B1866" s="1" t="s">
        <v>62</v>
      </c>
      <c r="C1866" s="1" t="s">
        <v>49</v>
      </c>
      <c r="D1866" s="2">
        <v>2266</v>
      </c>
      <c r="E1866" s="2">
        <v>37337</v>
      </c>
      <c r="F1866" s="4">
        <v>22375</v>
      </c>
    </row>
    <row r="1867" spans="1:6" x14ac:dyDescent="0.3">
      <c r="A1867" s="3">
        <v>2017</v>
      </c>
      <c r="B1867" s="1" t="s">
        <v>62</v>
      </c>
      <c r="C1867" s="1" t="s">
        <v>50</v>
      </c>
      <c r="D1867" s="2">
        <v>20269</v>
      </c>
      <c r="E1867" s="2">
        <v>402475</v>
      </c>
      <c r="F1867" s="4">
        <v>20078</v>
      </c>
    </row>
    <row r="1868" spans="1:6" x14ac:dyDescent="0.3">
      <c r="A1868" s="3">
        <v>2017</v>
      </c>
      <c r="B1868" s="1" t="s">
        <v>62</v>
      </c>
      <c r="C1868" s="1" t="s">
        <v>51</v>
      </c>
      <c r="D1868" s="2">
        <v>20065</v>
      </c>
      <c r="E1868" s="2">
        <v>325141</v>
      </c>
      <c r="F1868" s="4">
        <v>24250</v>
      </c>
    </row>
    <row r="1869" spans="1:6" x14ac:dyDescent="0.3">
      <c r="A1869" s="3">
        <v>2017</v>
      </c>
      <c r="B1869" s="1" t="s">
        <v>62</v>
      </c>
      <c r="C1869" s="1" t="s">
        <v>52</v>
      </c>
      <c r="D1869" s="2">
        <v>4646</v>
      </c>
      <c r="E1869" s="2">
        <v>74275</v>
      </c>
      <c r="F1869" s="4">
        <v>17335</v>
      </c>
    </row>
    <row r="1870" spans="1:6" x14ac:dyDescent="0.3">
      <c r="A1870" s="3">
        <v>2017</v>
      </c>
      <c r="B1870" s="1" t="s">
        <v>62</v>
      </c>
      <c r="C1870" s="1" t="s">
        <v>53</v>
      </c>
      <c r="D1870" s="2">
        <v>16599</v>
      </c>
      <c r="E1870" s="2">
        <v>279749</v>
      </c>
      <c r="F1870" s="4">
        <v>17248</v>
      </c>
    </row>
    <row r="1871" spans="1:6" x14ac:dyDescent="0.3">
      <c r="A1871" s="3">
        <v>2017</v>
      </c>
      <c r="B1871" s="1" t="s">
        <v>62</v>
      </c>
      <c r="C1871" s="1" t="s">
        <v>54</v>
      </c>
      <c r="D1871" s="2">
        <v>2355</v>
      </c>
      <c r="E1871" s="2">
        <v>36297</v>
      </c>
      <c r="F1871" s="4">
        <v>19867</v>
      </c>
    </row>
    <row r="1872" spans="1:6" x14ac:dyDescent="0.3">
      <c r="A1872" s="3">
        <v>2017</v>
      </c>
      <c r="B1872" s="1" t="s">
        <v>63</v>
      </c>
      <c r="C1872" s="1" t="s">
        <v>7</v>
      </c>
      <c r="D1872" s="2">
        <v>9603</v>
      </c>
      <c r="E1872" s="2">
        <v>45296</v>
      </c>
      <c r="F1872" s="4">
        <v>36539</v>
      </c>
    </row>
    <row r="1873" spans="1:6" x14ac:dyDescent="0.3">
      <c r="A1873" s="3">
        <v>2017</v>
      </c>
      <c r="B1873" s="1" t="s">
        <v>63</v>
      </c>
      <c r="C1873" s="1" t="s">
        <v>8</v>
      </c>
      <c r="D1873" s="2">
        <v>10297</v>
      </c>
      <c r="E1873" s="2">
        <v>71320</v>
      </c>
      <c r="F1873" s="4">
        <v>37061</v>
      </c>
    </row>
    <row r="1874" spans="1:6" x14ac:dyDescent="0.3">
      <c r="A1874" s="3">
        <v>2017</v>
      </c>
      <c r="B1874" s="1" t="s">
        <v>63</v>
      </c>
      <c r="C1874" s="1" t="s">
        <v>9</v>
      </c>
      <c r="D1874" s="2">
        <v>5315</v>
      </c>
      <c r="E1874" s="2">
        <v>24804</v>
      </c>
      <c r="F1874" s="4">
        <v>33179</v>
      </c>
    </row>
    <row r="1875" spans="1:6" x14ac:dyDescent="0.3">
      <c r="A1875" s="3">
        <v>2017</v>
      </c>
      <c r="B1875" s="1" t="s">
        <v>63</v>
      </c>
      <c r="C1875" s="1" t="s">
        <v>10</v>
      </c>
      <c r="D1875" s="2">
        <v>88470</v>
      </c>
      <c r="E1875" s="2">
        <v>527915</v>
      </c>
      <c r="F1875" s="4">
        <v>40412</v>
      </c>
    </row>
    <row r="1876" spans="1:6" x14ac:dyDescent="0.3">
      <c r="A1876" s="3">
        <v>2017</v>
      </c>
      <c r="B1876" s="1" t="s">
        <v>63</v>
      </c>
      <c r="C1876" s="1" t="s">
        <v>11</v>
      </c>
      <c r="D1876" s="2">
        <v>15777</v>
      </c>
      <c r="E1876" s="2">
        <v>80034</v>
      </c>
      <c r="F1876" s="4">
        <v>39558</v>
      </c>
    </row>
    <row r="1877" spans="1:6" x14ac:dyDescent="0.3">
      <c r="A1877" s="3">
        <v>2017</v>
      </c>
      <c r="B1877" s="1" t="s">
        <v>63</v>
      </c>
      <c r="C1877" s="1" t="s">
        <v>12</v>
      </c>
      <c r="D1877" s="2">
        <v>16529</v>
      </c>
      <c r="E1877" s="2">
        <v>64279</v>
      </c>
      <c r="F1877" s="4">
        <v>33397</v>
      </c>
    </row>
    <row r="1878" spans="1:6" x14ac:dyDescent="0.3">
      <c r="A1878" s="3">
        <v>2017</v>
      </c>
      <c r="B1878" s="1" t="s">
        <v>63</v>
      </c>
      <c r="C1878" s="1" t="s">
        <v>13</v>
      </c>
      <c r="D1878" s="2">
        <v>2003</v>
      </c>
      <c r="E1878" s="2">
        <v>11881</v>
      </c>
      <c r="F1878" s="4">
        <v>33610</v>
      </c>
    </row>
    <row r="1879" spans="1:6" x14ac:dyDescent="0.3">
      <c r="A1879" s="3">
        <v>2017</v>
      </c>
      <c r="B1879" s="1" t="s">
        <v>63</v>
      </c>
      <c r="C1879" s="1" t="s">
        <v>14</v>
      </c>
      <c r="D1879" s="2">
        <v>54928</v>
      </c>
      <c r="E1879" s="2">
        <v>273903</v>
      </c>
      <c r="F1879" s="4">
        <v>35319</v>
      </c>
    </row>
    <row r="1880" spans="1:6" x14ac:dyDescent="0.3">
      <c r="A1880" s="3">
        <v>2017</v>
      </c>
      <c r="B1880" s="1" t="s">
        <v>63</v>
      </c>
      <c r="C1880" s="1" t="s">
        <v>15</v>
      </c>
      <c r="D1880" s="2">
        <v>18097</v>
      </c>
      <c r="E1880" s="2">
        <v>106445</v>
      </c>
      <c r="F1880" s="4">
        <v>35520</v>
      </c>
    </row>
    <row r="1881" spans="1:6" x14ac:dyDescent="0.3">
      <c r="A1881" s="3">
        <v>2017</v>
      </c>
      <c r="B1881" s="1" t="s">
        <v>63</v>
      </c>
      <c r="C1881" s="1" t="s">
        <v>16</v>
      </c>
      <c r="D1881" s="2">
        <v>3888</v>
      </c>
      <c r="E1881" s="2">
        <v>17915</v>
      </c>
      <c r="F1881" s="4">
        <v>30056</v>
      </c>
    </row>
    <row r="1882" spans="1:6" x14ac:dyDescent="0.3">
      <c r="A1882" s="3">
        <v>2017</v>
      </c>
      <c r="B1882" s="1" t="s">
        <v>63</v>
      </c>
      <c r="C1882" s="1" t="s">
        <v>17</v>
      </c>
      <c r="D1882" s="2">
        <v>39500</v>
      </c>
      <c r="E1882" s="2">
        <v>206494</v>
      </c>
      <c r="F1882" s="4">
        <v>41240</v>
      </c>
    </row>
    <row r="1883" spans="1:6" x14ac:dyDescent="0.3">
      <c r="A1883" s="3">
        <v>2017</v>
      </c>
      <c r="B1883" s="1" t="s">
        <v>63</v>
      </c>
      <c r="C1883" s="1" t="s">
        <v>18</v>
      </c>
      <c r="D1883" s="2">
        <v>13113</v>
      </c>
      <c r="E1883" s="2">
        <v>86944</v>
      </c>
      <c r="F1883" s="4">
        <v>31882</v>
      </c>
    </row>
    <row r="1884" spans="1:6" x14ac:dyDescent="0.3">
      <c r="A1884" s="3">
        <v>2017</v>
      </c>
      <c r="B1884" s="1" t="s">
        <v>63</v>
      </c>
      <c r="C1884" s="1" t="s">
        <v>19</v>
      </c>
      <c r="D1884" s="2">
        <v>8710</v>
      </c>
      <c r="E1884" s="2">
        <v>42498</v>
      </c>
      <c r="F1884" s="4">
        <v>33069</v>
      </c>
    </row>
    <row r="1885" spans="1:6" x14ac:dyDescent="0.3">
      <c r="A1885" s="3">
        <v>2017</v>
      </c>
      <c r="B1885" s="1" t="s">
        <v>63</v>
      </c>
      <c r="C1885" s="1" t="s">
        <v>20</v>
      </c>
      <c r="D1885" s="2">
        <v>6031</v>
      </c>
      <c r="E1885" s="2">
        <v>33578</v>
      </c>
      <c r="F1885" s="4">
        <v>33575</v>
      </c>
    </row>
    <row r="1886" spans="1:6" x14ac:dyDescent="0.3">
      <c r="A1886" s="3">
        <v>2017</v>
      </c>
      <c r="B1886" s="1" t="s">
        <v>63</v>
      </c>
      <c r="C1886" s="1" t="s">
        <v>21</v>
      </c>
      <c r="D1886" s="2">
        <v>10912</v>
      </c>
      <c r="E1886" s="2">
        <v>46382</v>
      </c>
      <c r="F1886" s="4">
        <v>32330</v>
      </c>
    </row>
    <row r="1887" spans="1:6" x14ac:dyDescent="0.3">
      <c r="A1887" s="3">
        <v>2017</v>
      </c>
      <c r="B1887" s="1" t="s">
        <v>63</v>
      </c>
      <c r="C1887" s="1" t="s">
        <v>22</v>
      </c>
      <c r="D1887" s="2">
        <v>9250</v>
      </c>
      <c r="E1887" s="2">
        <v>45963</v>
      </c>
      <c r="F1887" s="4">
        <v>36468</v>
      </c>
    </row>
    <row r="1888" spans="1:6" x14ac:dyDescent="0.3">
      <c r="A1888" s="3">
        <v>2017</v>
      </c>
      <c r="B1888" s="1" t="s">
        <v>63</v>
      </c>
      <c r="C1888" s="1" t="s">
        <v>23</v>
      </c>
      <c r="D1888" s="2">
        <v>4028</v>
      </c>
      <c r="E1888" s="2">
        <v>17774</v>
      </c>
      <c r="F1888" s="4">
        <v>32993</v>
      </c>
    </row>
    <row r="1889" spans="1:6" x14ac:dyDescent="0.3">
      <c r="A1889" s="3">
        <v>2017</v>
      </c>
      <c r="B1889" s="1" t="s">
        <v>63</v>
      </c>
      <c r="C1889" s="1" t="s">
        <v>24</v>
      </c>
      <c r="D1889" s="2">
        <v>19506</v>
      </c>
      <c r="E1889" s="2">
        <v>91492</v>
      </c>
      <c r="F1889" s="4">
        <v>41793</v>
      </c>
    </row>
    <row r="1890" spans="1:6" x14ac:dyDescent="0.3">
      <c r="A1890" s="3">
        <v>2017</v>
      </c>
      <c r="B1890" s="1" t="s">
        <v>63</v>
      </c>
      <c r="C1890" s="1" t="s">
        <v>25</v>
      </c>
      <c r="D1890" s="2">
        <v>21677</v>
      </c>
      <c r="E1890" s="2">
        <v>118160</v>
      </c>
      <c r="F1890" s="4">
        <v>37032</v>
      </c>
    </row>
    <row r="1891" spans="1:6" x14ac:dyDescent="0.3">
      <c r="A1891" s="3">
        <v>2017</v>
      </c>
      <c r="B1891" s="1" t="s">
        <v>63</v>
      </c>
      <c r="C1891" s="1" t="s">
        <v>26</v>
      </c>
      <c r="D1891" s="2">
        <v>29930</v>
      </c>
      <c r="E1891" s="2">
        <v>137568</v>
      </c>
      <c r="F1891" s="4">
        <v>32157</v>
      </c>
    </row>
    <row r="1892" spans="1:6" x14ac:dyDescent="0.3">
      <c r="A1892" s="3">
        <v>2017</v>
      </c>
      <c r="B1892" s="1" t="s">
        <v>63</v>
      </c>
      <c r="C1892" s="1" t="s">
        <v>27</v>
      </c>
      <c r="D1892" s="2">
        <v>16226</v>
      </c>
      <c r="E1892" s="2">
        <v>90138</v>
      </c>
      <c r="F1892" s="4">
        <v>33237</v>
      </c>
    </row>
    <row r="1893" spans="1:6" x14ac:dyDescent="0.3">
      <c r="A1893" s="3">
        <v>2017</v>
      </c>
      <c r="B1893" s="1" t="s">
        <v>63</v>
      </c>
      <c r="C1893" s="1" t="s">
        <v>28</v>
      </c>
      <c r="D1893" s="2">
        <v>4726</v>
      </c>
      <c r="E1893" s="2">
        <v>21154</v>
      </c>
      <c r="F1893" s="4">
        <v>33958</v>
      </c>
    </row>
    <row r="1894" spans="1:6" x14ac:dyDescent="0.3">
      <c r="A1894" s="3">
        <v>2017</v>
      </c>
      <c r="B1894" s="1" t="s">
        <v>63</v>
      </c>
      <c r="C1894" s="1" t="s">
        <v>29</v>
      </c>
      <c r="D1894" s="2">
        <v>13734</v>
      </c>
      <c r="E1894" s="2">
        <v>76037</v>
      </c>
      <c r="F1894" s="4">
        <v>32705</v>
      </c>
    </row>
    <row r="1895" spans="1:6" x14ac:dyDescent="0.3">
      <c r="A1895" s="3">
        <v>2017</v>
      </c>
      <c r="B1895" s="1" t="s">
        <v>63</v>
      </c>
      <c r="C1895" s="1" t="s">
        <v>30</v>
      </c>
      <c r="D1895" s="2">
        <v>4094</v>
      </c>
      <c r="E1895" s="2">
        <v>17909</v>
      </c>
      <c r="F1895" s="4">
        <v>29177</v>
      </c>
    </row>
    <row r="1896" spans="1:6" x14ac:dyDescent="0.3">
      <c r="A1896" s="3">
        <v>2017</v>
      </c>
      <c r="B1896" s="1" t="s">
        <v>63</v>
      </c>
      <c r="C1896" s="1" t="s">
        <v>31</v>
      </c>
      <c r="D1896" s="2">
        <v>4671</v>
      </c>
      <c r="E1896" s="2">
        <v>25082</v>
      </c>
      <c r="F1896" s="4">
        <v>31310</v>
      </c>
    </row>
    <row r="1897" spans="1:6" x14ac:dyDescent="0.3">
      <c r="A1897" s="3">
        <v>2017</v>
      </c>
      <c r="B1897" s="1" t="s">
        <v>63</v>
      </c>
      <c r="C1897" s="1" t="s">
        <v>32</v>
      </c>
      <c r="D1897" s="2">
        <v>4959</v>
      </c>
      <c r="E1897" s="2">
        <v>33667</v>
      </c>
      <c r="F1897" s="4">
        <v>36336</v>
      </c>
    </row>
    <row r="1898" spans="1:6" x14ac:dyDescent="0.3">
      <c r="A1898" s="3">
        <v>2017</v>
      </c>
      <c r="B1898" s="1" t="s">
        <v>63</v>
      </c>
      <c r="C1898" s="1" t="s">
        <v>33</v>
      </c>
      <c r="D1898" s="2">
        <v>3871</v>
      </c>
      <c r="E1898" s="2">
        <v>20493</v>
      </c>
      <c r="F1898" s="4">
        <v>36646</v>
      </c>
    </row>
    <row r="1899" spans="1:6" x14ac:dyDescent="0.3">
      <c r="A1899" s="3">
        <v>2017</v>
      </c>
      <c r="B1899" s="1" t="s">
        <v>63</v>
      </c>
      <c r="C1899" s="1" t="s">
        <v>34</v>
      </c>
      <c r="D1899" s="2">
        <v>25881</v>
      </c>
      <c r="E1899" s="2">
        <v>136480</v>
      </c>
      <c r="F1899" s="4">
        <v>35059</v>
      </c>
    </row>
    <row r="1900" spans="1:6" x14ac:dyDescent="0.3">
      <c r="A1900" s="3">
        <v>2017</v>
      </c>
      <c r="B1900" s="1" t="s">
        <v>63</v>
      </c>
      <c r="C1900" s="1" t="s">
        <v>35</v>
      </c>
      <c r="D1900" s="2">
        <v>3961</v>
      </c>
      <c r="E1900" s="2">
        <v>20593</v>
      </c>
      <c r="F1900" s="4">
        <v>32578</v>
      </c>
    </row>
    <row r="1901" spans="1:6" x14ac:dyDescent="0.3">
      <c r="A1901" s="3">
        <v>2017</v>
      </c>
      <c r="B1901" s="1" t="s">
        <v>63</v>
      </c>
      <c r="C1901" s="1" t="s">
        <v>36</v>
      </c>
      <c r="D1901" s="2">
        <v>74536</v>
      </c>
      <c r="E1901" s="2">
        <v>369805</v>
      </c>
      <c r="F1901" s="4">
        <v>40436</v>
      </c>
    </row>
    <row r="1902" spans="1:6" x14ac:dyDescent="0.3">
      <c r="A1902" s="3">
        <v>2017</v>
      </c>
      <c r="B1902" s="1" t="s">
        <v>63</v>
      </c>
      <c r="C1902" s="1" t="s">
        <v>37</v>
      </c>
      <c r="D1902" s="2">
        <v>23024</v>
      </c>
      <c r="E1902" s="2">
        <v>107404</v>
      </c>
      <c r="F1902" s="4">
        <v>33978</v>
      </c>
    </row>
    <row r="1903" spans="1:6" x14ac:dyDescent="0.3">
      <c r="A1903" s="3">
        <v>2017</v>
      </c>
      <c r="B1903" s="1" t="s">
        <v>63</v>
      </c>
      <c r="C1903" s="1" t="s">
        <v>38</v>
      </c>
      <c r="D1903" s="2">
        <v>2040</v>
      </c>
      <c r="E1903" s="2">
        <v>12231</v>
      </c>
      <c r="F1903" s="4">
        <v>34167</v>
      </c>
    </row>
    <row r="1904" spans="1:6" x14ac:dyDescent="0.3">
      <c r="A1904" s="3">
        <v>2017</v>
      </c>
      <c r="B1904" s="1" t="s">
        <v>63</v>
      </c>
      <c r="C1904" s="1" t="s">
        <v>39</v>
      </c>
      <c r="D1904" s="2">
        <v>23601</v>
      </c>
      <c r="E1904" s="2">
        <v>155257</v>
      </c>
      <c r="F1904" s="4">
        <v>33039</v>
      </c>
    </row>
    <row r="1905" spans="1:6" x14ac:dyDescent="0.3">
      <c r="A1905" s="3">
        <v>2017</v>
      </c>
      <c r="B1905" s="1" t="s">
        <v>63</v>
      </c>
      <c r="C1905" s="1" t="s">
        <v>40</v>
      </c>
      <c r="D1905" s="2">
        <v>6751</v>
      </c>
      <c r="E1905" s="2">
        <v>35772</v>
      </c>
      <c r="F1905" s="4">
        <v>34306</v>
      </c>
    </row>
    <row r="1906" spans="1:6" x14ac:dyDescent="0.3">
      <c r="A1906" s="3">
        <v>2017</v>
      </c>
      <c r="B1906" s="1" t="s">
        <v>63</v>
      </c>
      <c r="C1906" s="1" t="s">
        <v>41</v>
      </c>
      <c r="D1906" s="2">
        <v>22753</v>
      </c>
      <c r="E1906" s="2">
        <v>77028</v>
      </c>
      <c r="F1906" s="4">
        <v>31901</v>
      </c>
    </row>
    <row r="1907" spans="1:6" x14ac:dyDescent="0.3">
      <c r="A1907" s="3">
        <v>2017</v>
      </c>
      <c r="B1907" s="1" t="s">
        <v>63</v>
      </c>
      <c r="C1907" s="1" t="s">
        <v>42</v>
      </c>
      <c r="D1907" s="2">
        <v>32259</v>
      </c>
      <c r="E1907" s="2">
        <v>197527</v>
      </c>
      <c r="F1907" s="4">
        <v>32593</v>
      </c>
    </row>
    <row r="1908" spans="1:6" x14ac:dyDescent="0.3">
      <c r="A1908" s="3">
        <v>2017</v>
      </c>
      <c r="B1908" s="1" t="s">
        <v>63</v>
      </c>
      <c r="C1908" s="1" t="s">
        <v>43</v>
      </c>
      <c r="D1908" s="2">
        <v>3395</v>
      </c>
      <c r="E1908" s="2">
        <v>17959</v>
      </c>
      <c r="F1908" s="4">
        <v>32566</v>
      </c>
    </row>
    <row r="1909" spans="1:6" x14ac:dyDescent="0.3">
      <c r="A1909" s="3">
        <v>2017</v>
      </c>
      <c r="B1909" s="1" t="s">
        <v>63</v>
      </c>
      <c r="C1909" s="1" t="s">
        <v>44</v>
      </c>
      <c r="D1909" s="2">
        <v>11490</v>
      </c>
      <c r="E1909" s="2">
        <v>51779</v>
      </c>
      <c r="F1909" s="4">
        <v>32842</v>
      </c>
    </row>
    <row r="1910" spans="1:6" x14ac:dyDescent="0.3">
      <c r="A1910" s="3">
        <v>2017</v>
      </c>
      <c r="B1910" s="1" t="s">
        <v>63</v>
      </c>
      <c r="C1910" s="1" t="s">
        <v>45</v>
      </c>
      <c r="D1910" s="2">
        <v>2171</v>
      </c>
      <c r="E1910" s="2">
        <v>11078</v>
      </c>
      <c r="F1910" s="4">
        <v>31403</v>
      </c>
    </row>
    <row r="1911" spans="1:6" x14ac:dyDescent="0.3">
      <c r="A1911" s="3">
        <v>2017</v>
      </c>
      <c r="B1911" s="1" t="s">
        <v>63</v>
      </c>
      <c r="C1911" s="1" t="s">
        <v>46</v>
      </c>
      <c r="D1911" s="2">
        <v>14618</v>
      </c>
      <c r="E1911" s="2">
        <v>76045</v>
      </c>
      <c r="F1911" s="4">
        <v>34443</v>
      </c>
    </row>
    <row r="1912" spans="1:6" x14ac:dyDescent="0.3">
      <c r="A1912" s="3">
        <v>2017</v>
      </c>
      <c r="B1912" s="1" t="s">
        <v>63</v>
      </c>
      <c r="C1912" s="1" t="s">
        <v>47</v>
      </c>
      <c r="D1912" s="2">
        <v>56060</v>
      </c>
      <c r="E1912" s="2">
        <v>328026</v>
      </c>
      <c r="F1912" s="4">
        <v>37841</v>
      </c>
    </row>
    <row r="1913" spans="1:6" x14ac:dyDescent="0.3">
      <c r="A1913" s="3">
        <v>2017</v>
      </c>
      <c r="B1913" s="1" t="s">
        <v>63</v>
      </c>
      <c r="C1913" s="1" t="s">
        <v>48</v>
      </c>
      <c r="D1913" s="2">
        <v>6084</v>
      </c>
      <c r="E1913" s="2">
        <v>35143</v>
      </c>
      <c r="F1913" s="4">
        <v>34421</v>
      </c>
    </row>
    <row r="1914" spans="1:6" x14ac:dyDescent="0.3">
      <c r="A1914" s="3">
        <v>2017</v>
      </c>
      <c r="B1914" s="1" t="s">
        <v>63</v>
      </c>
      <c r="C1914" s="1" t="s">
        <v>49</v>
      </c>
      <c r="D1914" s="2">
        <v>1958</v>
      </c>
      <c r="E1914" s="2">
        <v>8658</v>
      </c>
      <c r="F1914" s="4">
        <v>34757</v>
      </c>
    </row>
    <row r="1915" spans="1:6" x14ac:dyDescent="0.3">
      <c r="A1915" s="3">
        <v>2017</v>
      </c>
      <c r="B1915" s="1" t="s">
        <v>63</v>
      </c>
      <c r="C1915" s="1" t="s">
        <v>50</v>
      </c>
      <c r="D1915" s="2">
        <v>32154</v>
      </c>
      <c r="E1915" s="2">
        <v>141985</v>
      </c>
      <c r="F1915" s="4">
        <v>42290</v>
      </c>
    </row>
    <row r="1916" spans="1:6" x14ac:dyDescent="0.3">
      <c r="A1916" s="3">
        <v>2017</v>
      </c>
      <c r="B1916" s="1" t="s">
        <v>63</v>
      </c>
      <c r="C1916" s="1" t="s">
        <v>51</v>
      </c>
      <c r="D1916" s="2">
        <v>19701</v>
      </c>
      <c r="E1916" s="2">
        <v>97492</v>
      </c>
      <c r="F1916" s="4">
        <v>38822</v>
      </c>
    </row>
    <row r="1917" spans="1:6" x14ac:dyDescent="0.3">
      <c r="A1917" s="3">
        <v>2017</v>
      </c>
      <c r="B1917" s="1" t="s">
        <v>63</v>
      </c>
      <c r="C1917" s="1" t="s">
        <v>52</v>
      </c>
      <c r="D1917" s="2">
        <v>5237</v>
      </c>
      <c r="E1917" s="2">
        <v>19979</v>
      </c>
      <c r="F1917" s="4">
        <v>29927</v>
      </c>
    </row>
    <row r="1918" spans="1:6" x14ac:dyDescent="0.3">
      <c r="A1918" s="3">
        <v>2017</v>
      </c>
      <c r="B1918" s="1" t="s">
        <v>63</v>
      </c>
      <c r="C1918" s="1" t="s">
        <v>53</v>
      </c>
      <c r="D1918" s="2">
        <v>14001</v>
      </c>
      <c r="E1918" s="2">
        <v>84153</v>
      </c>
      <c r="F1918" s="4">
        <v>29242</v>
      </c>
    </row>
    <row r="1919" spans="1:6" x14ac:dyDescent="0.3">
      <c r="A1919" s="5">
        <v>2017</v>
      </c>
      <c r="B1919" s="6" t="s">
        <v>63</v>
      </c>
      <c r="C1919" s="6" t="s">
        <v>54</v>
      </c>
      <c r="D1919" s="7">
        <v>1656</v>
      </c>
      <c r="E1919" s="7">
        <v>7231</v>
      </c>
      <c r="F1919" s="8">
        <v>35035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29E0-8024-495D-9836-246295BB1EEF}">
  <dimension ref="A1:Z50"/>
  <sheetViews>
    <sheetView zoomScale="90" zoomScaleNormal="90" workbookViewId="0">
      <selection activeCell="F4" sqref="F4"/>
    </sheetView>
  </sheetViews>
  <sheetFormatPr defaultRowHeight="14.4" x14ac:dyDescent="0.3"/>
  <cols>
    <col min="1" max="1" width="19.33203125" bestFit="1" customWidth="1"/>
    <col min="2" max="2" width="23.44140625" bestFit="1" customWidth="1"/>
    <col min="4" max="4" width="20.21875" bestFit="1" customWidth="1"/>
    <col min="5" max="5" width="16.88671875" bestFit="1" customWidth="1"/>
    <col min="6" max="6" width="16.88671875" customWidth="1"/>
    <col min="8" max="8" width="19.33203125" bestFit="1" customWidth="1"/>
    <col min="9" max="9" width="16.88671875" bestFit="1" customWidth="1"/>
    <col min="11" max="11" width="19.33203125" bestFit="1" customWidth="1"/>
    <col min="12" max="12" width="16" bestFit="1" customWidth="1"/>
    <col min="14" max="14" width="8.6640625" bestFit="1" customWidth="1"/>
    <col min="15" max="15" width="16.88671875" bestFit="1" customWidth="1"/>
    <col min="16" max="16" width="15" bestFit="1" customWidth="1"/>
    <col min="18" max="18" width="14.5546875" bestFit="1" customWidth="1"/>
    <col min="19" max="19" width="16.88671875" bestFit="1" customWidth="1"/>
    <col min="20" max="20" width="15.33203125" bestFit="1" customWidth="1"/>
    <col min="21" max="21" width="25.44140625" bestFit="1" customWidth="1"/>
    <col min="22" max="22" width="10.5546875" bestFit="1" customWidth="1"/>
    <col min="23" max="23" width="25.44140625" bestFit="1" customWidth="1"/>
    <col min="25" max="25" width="16.6640625" bestFit="1" customWidth="1"/>
  </cols>
  <sheetData>
    <row r="1" spans="1:26" ht="18" thickBot="1" x14ac:dyDescent="0.4">
      <c r="A1" s="14" t="s">
        <v>64</v>
      </c>
      <c r="B1" s="15"/>
      <c r="D1" s="26" t="s">
        <v>68</v>
      </c>
      <c r="E1" s="18"/>
      <c r="F1" s="18"/>
      <c r="H1" s="26" t="s">
        <v>70</v>
      </c>
      <c r="I1" s="18"/>
      <c r="K1" s="26" t="s">
        <v>70</v>
      </c>
      <c r="L1" s="18"/>
      <c r="N1" s="26" t="s">
        <v>72</v>
      </c>
      <c r="O1" s="18"/>
      <c r="P1" s="30"/>
      <c r="R1" s="39" t="s">
        <v>74</v>
      </c>
      <c r="S1" s="40"/>
      <c r="T1" s="30"/>
      <c r="U1" s="30"/>
      <c r="V1" s="30"/>
      <c r="W1" s="30"/>
      <c r="Y1" s="46" t="s">
        <v>80</v>
      </c>
    </row>
    <row r="2" spans="1:26" ht="16.2" thickBot="1" x14ac:dyDescent="0.35">
      <c r="A2" s="13" t="s">
        <v>1</v>
      </c>
      <c r="B2" s="13" t="s">
        <v>65</v>
      </c>
      <c r="D2" s="19" t="s">
        <v>1</v>
      </c>
      <c r="E2" s="19" t="s">
        <v>5</v>
      </c>
      <c r="F2" s="19" t="s">
        <v>65</v>
      </c>
      <c r="H2" s="19" t="s">
        <v>1</v>
      </c>
      <c r="I2" s="19" t="s">
        <v>69</v>
      </c>
      <c r="K2" s="19" t="s">
        <v>1</v>
      </c>
      <c r="L2" s="19" t="s">
        <v>69</v>
      </c>
      <c r="N2" s="19" t="s">
        <v>0</v>
      </c>
      <c r="O2" s="19" t="s">
        <v>5</v>
      </c>
      <c r="P2" s="19" t="s">
        <v>73</v>
      </c>
      <c r="R2" s="19" t="s">
        <v>2</v>
      </c>
      <c r="S2" s="19" t="s">
        <v>73</v>
      </c>
      <c r="T2" s="19" t="s">
        <v>75</v>
      </c>
      <c r="U2" s="19" t="s">
        <v>76</v>
      </c>
      <c r="V2" s="19" t="s">
        <v>77</v>
      </c>
      <c r="W2" s="19" t="str">
        <f>B18</f>
        <v>Employee Per 1000 Capita</v>
      </c>
      <c r="Y2" s="45">
        <f ca="1">NOW()</f>
        <v>46167.323033217595</v>
      </c>
    </row>
    <row r="3" spans="1:26" ht="15" thickBot="1" x14ac:dyDescent="0.35">
      <c r="A3" s="20" t="s">
        <v>60</v>
      </c>
      <c r="B3" s="23" t="str">
        <f>Dashboard!D10</f>
        <v>Education &amp; Health</v>
      </c>
      <c r="D3" s="12" t="s">
        <v>58</v>
      </c>
      <c r="E3" s="17">
        <f>AVERAGEIFS(Raw_Data[Avg Annual Wage], Raw_Data[Industry], $D3, Raw_Data[Year], $B$15)</f>
        <v>93586.333333333328</v>
      </c>
      <c r="F3" s="17">
        <f>IF($B$3 = $D3, $E3, 0)</f>
        <v>0</v>
      </c>
      <c r="H3" s="12" t="s">
        <v>57</v>
      </c>
      <c r="I3" s="31">
        <f>SUMIFS(Raw_Data[Employees], Raw_Data[Industry], $H3, Raw_Data[Year], $B$15)</f>
        <v>26277342</v>
      </c>
      <c r="K3" s="12" t="str">
        <f>B3</f>
        <v>Education &amp; Health</v>
      </c>
      <c r="L3" s="31">
        <f>VLOOKUP($B$3, $H$2:$I$12, 2, 0)</f>
        <v>22035033</v>
      </c>
      <c r="N3" s="12">
        <v>2017</v>
      </c>
      <c r="O3" s="17">
        <f>AVERAGEIFS(Raw_Data[Avg Annual Wage], Raw_Data[Industry], $B$3, Raw_Data[Year], $N3)</f>
        <v>47654.729166666664</v>
      </c>
      <c r="P3" s="31">
        <f>SUMIFS(Raw_Data[Employees], Raw_Data[Industry], $B$3, Raw_Data[Year], $N3)</f>
        <v>21899196</v>
      </c>
      <c r="R3" s="12" t="s">
        <v>7</v>
      </c>
      <c r="S3" s="31">
        <f>SUMIFS(Raw_Data[Employees], Raw_Data[Industry], $B$3, Raw_Data[Year], $B$15, Raw_Data[State], $R3)</f>
        <v>228486</v>
      </c>
      <c r="T3" s="41">
        <v>5024279</v>
      </c>
      <c r="U3" s="42">
        <f>(S3/T3)*1000</f>
        <v>45.476375814320818</v>
      </c>
      <c r="V3" s="43">
        <f>AVERAGEIFS(Raw_Data[Avg Annual Wage], Raw_Data[Industry], $B$3, Raw_Data[Year], $B$15, Raw_Data[State], $R3)</f>
        <v>51193</v>
      </c>
      <c r="W3" s="44">
        <f>IF($W$2=$V$2, -$V3, $U3)</f>
        <v>45.476375814320818</v>
      </c>
      <c r="Y3" s="27"/>
      <c r="Z3" s="27"/>
    </row>
    <row r="4" spans="1:26" x14ac:dyDescent="0.3">
      <c r="A4" s="21" t="s">
        <v>55</v>
      </c>
      <c r="D4" s="1" t="s">
        <v>59</v>
      </c>
      <c r="E4" s="16">
        <f>AVERAGEIFS(Raw_Data[Avg Annual Wage], Raw_Data[Industry], $D4, Raw_Data[Year], $B$15)</f>
        <v>90040.666666666672</v>
      </c>
      <c r="F4" s="16">
        <f t="shared" ref="F4:F12" si="0">IF($B$3 = $D4, $E4, 0)</f>
        <v>0</v>
      </c>
      <c r="H4" s="1" t="s">
        <v>61</v>
      </c>
      <c r="I4" s="28">
        <f>SUMIFS(Raw_Data[Employees], Raw_Data[Industry], $H4, Raw_Data[Year], $B$15)</f>
        <v>22035033</v>
      </c>
      <c r="K4" s="1" t="s">
        <v>71</v>
      </c>
      <c r="L4" s="29">
        <f>SUM(I3:I12) - L3</f>
        <v>94614306</v>
      </c>
      <c r="N4" s="1">
        <v>2018</v>
      </c>
      <c r="O4" s="16">
        <f>AVERAGEIFS(Raw_Data[Avg Annual Wage], Raw_Data[Industry], $B$3, Raw_Data[Year], $N4)</f>
        <v>48817.958333333336</v>
      </c>
      <c r="P4" s="28">
        <f>SUMIFS(Raw_Data[Employees], Raw_Data[Industry], $B$3, Raw_Data[Year], $N4)</f>
        <v>22380791</v>
      </c>
      <c r="R4" s="1" t="s">
        <v>8</v>
      </c>
      <c r="S4" s="28">
        <f>SUMIFS(Raw_Data[Employees], Raw_Data[Industry], $B$3, Raw_Data[Year], $B$15, Raw_Data[State], $R4)</f>
        <v>455356</v>
      </c>
      <c r="T4" s="32">
        <v>7151502</v>
      </c>
      <c r="U4" s="36">
        <f t="shared" ref="U4:U50" si="1">(S4/T4)*1000</f>
        <v>63.672778110108894</v>
      </c>
      <c r="V4" s="37">
        <f>AVERAGEIFS(Raw_Data[Avg Annual Wage], Raw_Data[Industry], $B$3, Raw_Data[Year], $B$15, Raw_Data[State], $R4)</f>
        <v>56159</v>
      </c>
      <c r="W4" s="38">
        <f t="shared" ref="W4:W50" si="2">IF($W$2=$V$2, -$V4, $U4)</f>
        <v>63.672778110108894</v>
      </c>
      <c r="Y4" s="27"/>
    </row>
    <row r="5" spans="1:26" x14ac:dyDescent="0.3">
      <c r="A5" s="21" t="s">
        <v>61</v>
      </c>
      <c r="D5" s="1" t="s">
        <v>60</v>
      </c>
      <c r="E5" s="16">
        <f>AVERAGEIFS(Raw_Data[Avg Annual Wage], Raw_Data[Industry], $D5, Raw_Data[Year], $B$15)</f>
        <v>74713.0625</v>
      </c>
      <c r="F5" s="16">
        <f t="shared" si="0"/>
        <v>0</v>
      </c>
      <c r="H5" s="1" t="s">
        <v>60</v>
      </c>
      <c r="I5" s="28">
        <f>SUMIFS(Raw_Data[Employees], Raw_Data[Industry], $H5, Raw_Data[Year], $B$15)</f>
        <v>20065896</v>
      </c>
      <c r="N5" s="1">
        <v>2019</v>
      </c>
      <c r="O5" s="16">
        <f>AVERAGEIFS(Raw_Data[Avg Annual Wage], Raw_Data[Industry], $B$3, Raw_Data[Year], $N5)</f>
        <v>50279.708333333336</v>
      </c>
      <c r="P5" s="28">
        <f>SUMIFS(Raw_Data[Employees], Raw_Data[Industry], $B$3, Raw_Data[Year], $N5)</f>
        <v>22867558</v>
      </c>
      <c r="R5" s="1" t="s">
        <v>9</v>
      </c>
      <c r="S5" s="28">
        <f>SUMIFS(Raw_Data[Employees], Raw_Data[Industry], $B$3, Raw_Data[Year], $B$15, Raw_Data[State], $R5)</f>
        <v>181169</v>
      </c>
      <c r="T5" s="32">
        <v>3011524</v>
      </c>
      <c r="U5" s="36">
        <f t="shared" si="1"/>
        <v>60.158577517562541</v>
      </c>
      <c r="V5" s="37">
        <f>AVERAGEIFS(Raw_Data[Avg Annual Wage], Raw_Data[Industry], $B$3, Raw_Data[Year], $B$15, Raw_Data[State], $R5)</f>
        <v>47435</v>
      </c>
      <c r="W5" s="38">
        <f t="shared" si="2"/>
        <v>60.158577517562541</v>
      </c>
    </row>
    <row r="6" spans="1:26" x14ac:dyDescent="0.3">
      <c r="A6" s="21" t="s">
        <v>59</v>
      </c>
      <c r="D6" s="1" t="s">
        <v>56</v>
      </c>
      <c r="E6" s="16">
        <f>AVERAGEIFS(Raw_Data[Avg Annual Wage], Raw_Data[Industry], $D6, Raw_Data[Year], $B$15)</f>
        <v>68427.875</v>
      </c>
      <c r="F6" s="16">
        <f t="shared" si="0"/>
        <v>0</v>
      </c>
      <c r="H6" s="1" t="s">
        <v>62</v>
      </c>
      <c r="I6" s="28">
        <f>SUMIFS(Raw_Data[Employees], Raw_Data[Industry], $H6, Raw_Data[Year], $B$15)</f>
        <v>12649500</v>
      </c>
      <c r="N6" s="1">
        <v>2020</v>
      </c>
      <c r="O6" s="16">
        <f>AVERAGEIFS(Raw_Data[Avg Annual Wage], Raw_Data[Industry], $B$3, Raw_Data[Year], $N6)</f>
        <v>53607.208333333336</v>
      </c>
      <c r="P6" s="28">
        <f>SUMIFS(Raw_Data[Employees], Raw_Data[Industry], $B$3, Raw_Data[Year], $N6)</f>
        <v>22035033</v>
      </c>
      <c r="R6" s="1" t="s">
        <v>10</v>
      </c>
      <c r="S6" s="28">
        <f>SUMIFS(Raw_Data[Employees], Raw_Data[Industry], $B$3, Raw_Data[Year], $B$15, Raw_Data[State], $R6)</f>
        <v>2651781</v>
      </c>
      <c r="T6" s="32">
        <v>39538223</v>
      </c>
      <c r="U6" s="36">
        <f t="shared" si="1"/>
        <v>67.068795681586394</v>
      </c>
      <c r="V6" s="37">
        <f>AVERAGEIFS(Raw_Data[Avg Annual Wage], Raw_Data[Industry], $B$3, Raw_Data[Year], $B$15, Raw_Data[State], $R6)</f>
        <v>57668</v>
      </c>
      <c r="W6" s="38">
        <f t="shared" si="2"/>
        <v>67.068795681586394</v>
      </c>
    </row>
    <row r="7" spans="1:26" x14ac:dyDescent="0.3">
      <c r="A7" s="21" t="s">
        <v>58</v>
      </c>
      <c r="D7" s="1" t="s">
        <v>55</v>
      </c>
      <c r="E7" s="16">
        <f>AVERAGEIFS(Raw_Data[Avg Annual Wage], Raw_Data[Industry], $D7, Raw_Data[Year], $B$15)</f>
        <v>63896.895833333336</v>
      </c>
      <c r="F7" s="16">
        <f t="shared" si="0"/>
        <v>0</v>
      </c>
      <c r="H7" s="1" t="s">
        <v>56</v>
      </c>
      <c r="I7" s="28">
        <f>SUMIFS(Raw_Data[Employees], Raw_Data[Industry], $H7, Raw_Data[Year], $B$15)</f>
        <v>12058694</v>
      </c>
      <c r="R7" s="1" t="s">
        <v>11</v>
      </c>
      <c r="S7" s="28">
        <f>SUMIFS(Raw_Data[Employees], Raw_Data[Industry], $B$3, Raw_Data[Year], $B$15, Raw_Data[State], $R7)</f>
        <v>332209</v>
      </c>
      <c r="T7" s="32">
        <v>5773714</v>
      </c>
      <c r="U7" s="36">
        <f t="shared" si="1"/>
        <v>57.538180796624147</v>
      </c>
      <c r="V7" s="37">
        <f>AVERAGEIFS(Raw_Data[Avg Annual Wage], Raw_Data[Industry], $B$3, Raw_Data[Year], $B$15, Raw_Data[State], $R7)</f>
        <v>55198</v>
      </c>
      <c r="W7" s="38">
        <f t="shared" si="2"/>
        <v>57.538180796624147</v>
      </c>
    </row>
    <row r="8" spans="1:26" x14ac:dyDescent="0.3">
      <c r="A8" s="21" t="s">
        <v>62</v>
      </c>
      <c r="D8" s="1" t="s">
        <v>6</v>
      </c>
      <c r="E8" s="16">
        <f>AVERAGEIFS(Raw_Data[Avg Annual Wage], Raw_Data[Industry], $D8, Raw_Data[Year], $B$15)</f>
        <v>55605.9375</v>
      </c>
      <c r="F8" s="16">
        <f t="shared" si="0"/>
        <v>0</v>
      </c>
      <c r="H8" s="1" t="s">
        <v>59</v>
      </c>
      <c r="I8" s="28">
        <f>SUMIFS(Raw_Data[Employees], Raw_Data[Industry], $H8, Raw_Data[Year], $B$15)</f>
        <v>8142043</v>
      </c>
      <c r="R8" s="1" t="s">
        <v>12</v>
      </c>
      <c r="S8" s="28">
        <f>SUMIFS(Raw_Data[Employees], Raw_Data[Industry], $B$3, Raw_Data[Year], $B$15, Raw_Data[State], $R8)</f>
        <v>319881</v>
      </c>
      <c r="T8" s="32">
        <v>3605944</v>
      </c>
      <c r="U8" s="36">
        <f t="shared" si="1"/>
        <v>88.709364316251168</v>
      </c>
      <c r="V8" s="37">
        <f>AVERAGEIFS(Raw_Data[Avg Annual Wage], Raw_Data[Industry], $B$3, Raw_Data[Year], $B$15, Raw_Data[State], $R8)</f>
        <v>61215</v>
      </c>
      <c r="W8" s="38">
        <f t="shared" si="2"/>
        <v>88.709364316251168</v>
      </c>
    </row>
    <row r="9" spans="1:26" x14ac:dyDescent="0.3">
      <c r="A9" s="21" t="s">
        <v>56</v>
      </c>
      <c r="D9" s="1" t="s">
        <v>61</v>
      </c>
      <c r="E9" s="16">
        <f>AVERAGEIFS(Raw_Data[Avg Annual Wage], Raw_Data[Industry], $D9, Raw_Data[Year], $B$15)</f>
        <v>53607.208333333336</v>
      </c>
      <c r="F9" s="16">
        <f t="shared" si="0"/>
        <v>53607.208333333336</v>
      </c>
      <c r="H9" s="1" t="s">
        <v>55</v>
      </c>
      <c r="I9" s="28">
        <f>SUMIFS(Raw_Data[Employees], Raw_Data[Industry], $H9, Raw_Data[Year], $B$15)</f>
        <v>7136444</v>
      </c>
      <c r="R9" s="1" t="s">
        <v>13</v>
      </c>
      <c r="S9" s="28">
        <f>SUMIFS(Raw_Data[Employees], Raw_Data[Industry], $B$3, Raw_Data[Year], $B$15, Raw_Data[State], $R9)</f>
        <v>74184</v>
      </c>
      <c r="T9" s="32">
        <v>989948</v>
      </c>
      <c r="U9" s="36">
        <f t="shared" si="1"/>
        <v>74.937269432333821</v>
      </c>
      <c r="V9" s="37">
        <f>AVERAGEIFS(Raw_Data[Avg Annual Wage], Raw_Data[Industry], $B$3, Raw_Data[Year], $B$15, Raw_Data[State], $R9)</f>
        <v>57470</v>
      </c>
      <c r="W9" s="38">
        <f t="shared" si="2"/>
        <v>74.937269432333821</v>
      </c>
    </row>
    <row r="10" spans="1:26" x14ac:dyDescent="0.3">
      <c r="A10" s="21" t="s">
        <v>6</v>
      </c>
      <c r="D10" s="1" t="s">
        <v>57</v>
      </c>
      <c r="E10" s="16">
        <f>AVERAGEIFS(Raw_Data[Avg Annual Wage], Raw_Data[Industry], $D10, Raw_Data[Year], $B$15)</f>
        <v>49366.8125</v>
      </c>
      <c r="F10" s="16">
        <f t="shared" si="0"/>
        <v>0</v>
      </c>
      <c r="H10" s="1" t="s">
        <v>63</v>
      </c>
      <c r="I10" s="28">
        <f>SUMIFS(Raw_Data[Employees], Raw_Data[Industry], $H10, Raw_Data[Year], $B$15)</f>
        <v>3843699</v>
      </c>
      <c r="R10" s="1" t="s">
        <v>14</v>
      </c>
      <c r="S10" s="28">
        <f>SUMIFS(Raw_Data[Employees], Raw_Data[Industry], $B$3, Raw_Data[Year], $B$15, Raw_Data[State], $R10)</f>
        <v>1293582</v>
      </c>
      <c r="T10" s="32">
        <v>21538187</v>
      </c>
      <c r="U10" s="36">
        <f t="shared" si="1"/>
        <v>60.059929835319934</v>
      </c>
      <c r="V10" s="37">
        <f>AVERAGEIFS(Raw_Data[Avg Annual Wage], Raw_Data[Industry], $B$3, Raw_Data[Year], $B$15, Raw_Data[State], $R10)</f>
        <v>55114</v>
      </c>
      <c r="W10" s="38">
        <f t="shared" si="2"/>
        <v>60.059929835319934</v>
      </c>
    </row>
    <row r="11" spans="1:26" x14ac:dyDescent="0.3">
      <c r="A11" s="21" t="s">
        <v>63</v>
      </c>
      <c r="D11" s="1" t="s">
        <v>63</v>
      </c>
      <c r="E11" s="16">
        <f>AVERAGEIFS(Raw_Data[Avg Annual Wage], Raw_Data[Industry], $D11, Raw_Data[Year], $B$15)</f>
        <v>40790.1875</v>
      </c>
      <c r="F11" s="16">
        <f t="shared" si="0"/>
        <v>0</v>
      </c>
      <c r="H11" s="1" t="s">
        <v>58</v>
      </c>
      <c r="I11" s="28">
        <f>SUMIFS(Raw_Data[Employees], Raw_Data[Industry], $H11, Raw_Data[Year], $B$15)</f>
        <v>2677815</v>
      </c>
      <c r="R11" s="1" t="s">
        <v>15</v>
      </c>
      <c r="S11" s="28">
        <f>SUMIFS(Raw_Data[Employees], Raw_Data[Industry], $B$3, Raw_Data[Year], $B$15, Raw_Data[State], $R11)</f>
        <v>561390</v>
      </c>
      <c r="T11" s="32">
        <v>10711908</v>
      </c>
      <c r="U11" s="36">
        <f t="shared" si="1"/>
        <v>52.408030390104173</v>
      </c>
      <c r="V11" s="37">
        <f>AVERAGEIFS(Raw_Data[Avg Annual Wage], Raw_Data[Industry], $B$3, Raw_Data[Year], $B$15, Raw_Data[State], $R11)</f>
        <v>57141</v>
      </c>
      <c r="W11" s="38">
        <f t="shared" si="2"/>
        <v>52.408030390104173</v>
      </c>
    </row>
    <row r="12" spans="1:26" ht="15" thickBot="1" x14ac:dyDescent="0.35">
      <c r="A12" s="22" t="s">
        <v>57</v>
      </c>
      <c r="D12" s="1" t="s">
        <v>62</v>
      </c>
      <c r="E12" s="16">
        <f>AVERAGEIFS(Raw_Data[Avg Annual Wage], Raw_Data[Industry], $D12, Raw_Data[Year], $B$15)</f>
        <v>23286.416666666668</v>
      </c>
      <c r="F12" s="16">
        <f t="shared" si="0"/>
        <v>0</v>
      </c>
      <c r="H12" s="1" t="s">
        <v>6</v>
      </c>
      <c r="I12" s="28">
        <f>SUMIFS(Raw_Data[Employees], Raw_Data[Industry], $H12, Raw_Data[Year], $B$15)</f>
        <v>1762873</v>
      </c>
      <c r="R12" s="1" t="s">
        <v>16</v>
      </c>
      <c r="S12" s="28">
        <f>SUMIFS(Raw_Data[Employees], Raw_Data[Industry], $B$3, Raw_Data[Year], $B$15, Raw_Data[State], $R12)</f>
        <v>106752</v>
      </c>
      <c r="T12" s="32">
        <v>1839106</v>
      </c>
      <c r="U12" s="36">
        <f t="shared" si="1"/>
        <v>58.045593891814832</v>
      </c>
      <c r="V12" s="37">
        <f>AVERAGEIFS(Raw_Data[Avg Annual Wage], Raw_Data[Industry], $B$3, Raw_Data[Year], $B$15, Raw_Data[State], $R12)</f>
        <v>45479</v>
      </c>
      <c r="W12" s="38">
        <f t="shared" si="2"/>
        <v>58.045593891814832</v>
      </c>
    </row>
    <row r="13" spans="1:26" ht="15" thickBot="1" x14ac:dyDescent="0.35">
      <c r="R13" s="1" t="s">
        <v>17</v>
      </c>
      <c r="S13" s="28">
        <f>SUMIFS(Raw_Data[Employees], Raw_Data[Industry], $B$3, Raw_Data[Year], $B$15, Raw_Data[State], $R13)</f>
        <v>882088</v>
      </c>
      <c r="T13" s="32">
        <v>12812508</v>
      </c>
      <c r="U13" s="36">
        <f t="shared" si="1"/>
        <v>68.845849696249942</v>
      </c>
      <c r="V13" s="37">
        <f>AVERAGEIFS(Raw_Data[Avg Annual Wage], Raw_Data[Industry], $B$3, Raw_Data[Year], $B$15, Raw_Data[State], $R13)</f>
        <v>55678</v>
      </c>
      <c r="W13" s="38">
        <f t="shared" si="2"/>
        <v>68.845849696249942</v>
      </c>
    </row>
    <row r="14" spans="1:26" ht="18" thickBot="1" x14ac:dyDescent="0.4">
      <c r="A14" s="14" t="s">
        <v>66</v>
      </c>
      <c r="B14" s="15"/>
      <c r="R14" s="1" t="s">
        <v>18</v>
      </c>
      <c r="S14" s="28">
        <f>SUMIFS(Raw_Data[Employees], Raw_Data[Industry], $B$3, Raw_Data[Year], $B$15, Raw_Data[State], $R14)</f>
        <v>451743</v>
      </c>
      <c r="T14" s="32">
        <v>6785528</v>
      </c>
      <c r="U14" s="36">
        <f t="shared" si="1"/>
        <v>66.574480276258541</v>
      </c>
      <c r="V14" s="37">
        <f>AVERAGEIFS(Raw_Data[Avg Annual Wage], Raw_Data[Industry], $B$3, Raw_Data[Year], $B$15, Raw_Data[State], $R14)</f>
        <v>52802</v>
      </c>
      <c r="W14" s="38">
        <f t="shared" si="2"/>
        <v>66.574480276258541</v>
      </c>
    </row>
    <row r="15" spans="1:26" ht="16.2" thickBot="1" x14ac:dyDescent="0.35">
      <c r="A15" s="24" t="s">
        <v>67</v>
      </c>
      <c r="B15" s="25">
        <v>2020</v>
      </c>
      <c r="R15" s="1" t="s">
        <v>19</v>
      </c>
      <c r="S15" s="28">
        <f>SUMIFS(Raw_Data[Employees], Raw_Data[Industry], $B$3, Raw_Data[Year], $B$15, Raw_Data[State], $R15)</f>
        <v>209301</v>
      </c>
      <c r="T15" s="32">
        <v>3190369</v>
      </c>
      <c r="U15" s="36">
        <f t="shared" si="1"/>
        <v>65.604010069054709</v>
      </c>
      <c r="V15" s="37">
        <f>AVERAGEIFS(Raw_Data[Avg Annual Wage], Raw_Data[Industry], $B$3, Raw_Data[Year], $B$15, Raw_Data[State], $R15)</f>
        <v>47222</v>
      </c>
      <c r="W15" s="38">
        <f t="shared" si="2"/>
        <v>65.604010069054709</v>
      </c>
    </row>
    <row r="16" spans="1:26" ht="15" thickBot="1" x14ac:dyDescent="0.35">
      <c r="R16" s="1" t="s">
        <v>20</v>
      </c>
      <c r="S16" s="28">
        <f>SUMIFS(Raw_Data[Employees], Raw_Data[Industry], $B$3, Raw_Data[Year], $B$15, Raw_Data[State], $R16)</f>
        <v>194569</v>
      </c>
      <c r="T16" s="32">
        <v>2937880</v>
      </c>
      <c r="U16" s="36">
        <f t="shared" si="1"/>
        <v>66.227687992702215</v>
      </c>
      <c r="V16" s="37">
        <f>AVERAGEIFS(Raw_Data[Avg Annual Wage], Raw_Data[Industry], $B$3, Raw_Data[Year], $B$15, Raw_Data[State], $R16)</f>
        <v>48486</v>
      </c>
      <c r="W16" s="38">
        <f t="shared" si="2"/>
        <v>66.227687992702215</v>
      </c>
    </row>
    <row r="17" spans="1:23" ht="18" thickBot="1" x14ac:dyDescent="0.4">
      <c r="A17" s="14" t="s">
        <v>78</v>
      </c>
      <c r="B17" s="15"/>
      <c r="R17" s="1" t="s">
        <v>21</v>
      </c>
      <c r="S17" s="28">
        <f>SUMIFS(Raw_Data[Employees], Raw_Data[Industry], $B$3, Raw_Data[Year], $B$15, Raw_Data[State], $R17)</f>
        <v>263195</v>
      </c>
      <c r="T17" s="32">
        <v>4505836</v>
      </c>
      <c r="U17" s="36">
        <f t="shared" si="1"/>
        <v>58.412023873039324</v>
      </c>
      <c r="V17" s="37">
        <f>AVERAGEIFS(Raw_Data[Avg Annual Wage], Raw_Data[Industry], $B$3, Raw_Data[Year], $B$15, Raw_Data[State], $R17)</f>
        <v>52098</v>
      </c>
      <c r="W17" s="38">
        <f t="shared" si="2"/>
        <v>58.412023873039324</v>
      </c>
    </row>
    <row r="18" spans="1:23" ht="16.2" thickBot="1" x14ac:dyDescent="0.35">
      <c r="A18" s="24" t="s">
        <v>79</v>
      </c>
      <c r="B18" s="33" t="str">
        <f>Dashboard!H10</f>
        <v>Employee Per 1000 Capita</v>
      </c>
      <c r="R18" s="1" t="s">
        <v>22</v>
      </c>
      <c r="S18" s="28">
        <f>SUMIFS(Raw_Data[Employees], Raw_Data[Industry], $B$3, Raw_Data[Year], $B$15, Raw_Data[State], $R18)</f>
        <v>296324</v>
      </c>
      <c r="T18" s="32">
        <v>4657757</v>
      </c>
      <c r="U18" s="36">
        <f t="shared" si="1"/>
        <v>63.619463187967945</v>
      </c>
      <c r="V18" s="37">
        <f>AVERAGEIFS(Raw_Data[Avg Annual Wage], Raw_Data[Industry], $B$3, Raw_Data[Year], $B$15, Raw_Data[State], $R18)</f>
        <v>48222</v>
      </c>
      <c r="W18" s="38">
        <f t="shared" si="2"/>
        <v>63.619463187967945</v>
      </c>
    </row>
    <row r="19" spans="1:23" x14ac:dyDescent="0.3">
      <c r="R19" s="1" t="s">
        <v>23</v>
      </c>
      <c r="S19" s="28">
        <f>SUMIFS(Raw_Data[Employees], Raw_Data[Industry], $B$3, Raw_Data[Year], $B$15, Raw_Data[State], $R19)</f>
        <v>115511</v>
      </c>
      <c r="T19" s="32">
        <v>1362359</v>
      </c>
      <c r="U19" s="36">
        <f t="shared" si="1"/>
        <v>84.787489934738204</v>
      </c>
      <c r="V19" s="37">
        <f>AVERAGEIFS(Raw_Data[Avg Annual Wage], Raw_Data[Industry], $B$3, Raw_Data[Year], $B$15, Raw_Data[State], $R19)</f>
        <v>53739</v>
      </c>
      <c r="W19" s="38">
        <f t="shared" si="2"/>
        <v>84.787489934738204</v>
      </c>
    </row>
    <row r="20" spans="1:23" x14ac:dyDescent="0.3">
      <c r="R20" s="1" t="s">
        <v>24</v>
      </c>
      <c r="S20" s="28">
        <f>SUMIFS(Raw_Data[Employees], Raw_Data[Industry], $B$3, Raw_Data[Year], $B$15, Raw_Data[State], $R20)</f>
        <v>420463</v>
      </c>
      <c r="T20" s="32">
        <v>6177224</v>
      </c>
      <c r="U20" s="36">
        <f t="shared" si="1"/>
        <v>68.066659068863288</v>
      </c>
      <c r="V20" s="37">
        <f>AVERAGEIFS(Raw_Data[Avg Annual Wage], Raw_Data[Industry], $B$3, Raw_Data[Year], $B$15, Raw_Data[State], $R20)</f>
        <v>59854</v>
      </c>
      <c r="W20" s="38">
        <f t="shared" si="2"/>
        <v>68.066659068863288</v>
      </c>
    </row>
    <row r="21" spans="1:23" x14ac:dyDescent="0.3">
      <c r="R21" s="1" t="s">
        <v>25</v>
      </c>
      <c r="S21" s="28">
        <f>SUMIFS(Raw_Data[Employees], Raw_Data[Industry], $B$3, Raw_Data[Year], $B$15, Raw_Data[State], $R21)</f>
        <v>742606</v>
      </c>
      <c r="T21" s="32">
        <v>7029917</v>
      </c>
      <c r="U21" s="36">
        <f t="shared" si="1"/>
        <v>105.63510209295501</v>
      </c>
      <c r="V21" s="37">
        <f>AVERAGEIFS(Raw_Data[Avg Annual Wage], Raw_Data[Industry], $B$3, Raw_Data[Year], $B$15, Raw_Data[State], $R21)</f>
        <v>64556</v>
      </c>
      <c r="W21" s="38">
        <f t="shared" si="2"/>
        <v>105.63510209295501</v>
      </c>
    </row>
    <row r="22" spans="1:23" x14ac:dyDescent="0.3">
      <c r="R22" s="1" t="s">
        <v>26</v>
      </c>
      <c r="S22" s="28">
        <f>SUMIFS(Raw_Data[Employees], Raw_Data[Industry], $B$3, Raw_Data[Year], $B$15, Raw_Data[State], $R22)</f>
        <v>622119</v>
      </c>
      <c r="T22" s="32">
        <v>10077331</v>
      </c>
      <c r="U22" s="36">
        <f t="shared" si="1"/>
        <v>61.734500930851631</v>
      </c>
      <c r="V22" s="37">
        <f>AVERAGEIFS(Raw_Data[Avg Annual Wage], Raw_Data[Industry], $B$3, Raw_Data[Year], $B$15, Raw_Data[State], $R22)</f>
        <v>54163</v>
      </c>
      <c r="W22" s="38">
        <f t="shared" si="2"/>
        <v>61.734500930851631</v>
      </c>
    </row>
    <row r="23" spans="1:23" x14ac:dyDescent="0.3">
      <c r="R23" s="1" t="s">
        <v>27</v>
      </c>
      <c r="S23" s="28">
        <f>SUMIFS(Raw_Data[Employees], Raw_Data[Industry], $B$3, Raw_Data[Year], $B$15, Raw_Data[State], $R23)</f>
        <v>513228</v>
      </c>
      <c r="T23" s="32">
        <v>5706494</v>
      </c>
      <c r="U23" s="36">
        <f t="shared" si="1"/>
        <v>89.937534324928748</v>
      </c>
      <c r="V23" s="37">
        <f>AVERAGEIFS(Raw_Data[Avg Annual Wage], Raw_Data[Industry], $B$3, Raw_Data[Year], $B$15, Raw_Data[State], $R23)</f>
        <v>55127</v>
      </c>
      <c r="W23" s="38">
        <f t="shared" si="2"/>
        <v>89.937534324928748</v>
      </c>
    </row>
    <row r="24" spans="1:23" x14ac:dyDescent="0.3">
      <c r="R24" s="1" t="s">
        <v>28</v>
      </c>
      <c r="S24" s="28">
        <f>SUMIFS(Raw_Data[Employees], Raw_Data[Industry], $B$3, Raw_Data[Year], $B$15, Raw_Data[State], $R24)</f>
        <v>138876</v>
      </c>
      <c r="T24" s="32">
        <v>2961279</v>
      </c>
      <c r="U24" s="36">
        <f t="shared" si="1"/>
        <v>46.897303496225781</v>
      </c>
      <c r="V24" s="37">
        <f>AVERAGEIFS(Raw_Data[Avg Annual Wage], Raw_Data[Industry], $B$3, Raw_Data[Year], $B$15, Raw_Data[State], $R24)</f>
        <v>45670</v>
      </c>
      <c r="W24" s="38">
        <f t="shared" si="2"/>
        <v>46.897303496225781</v>
      </c>
    </row>
    <row r="25" spans="1:23" x14ac:dyDescent="0.3">
      <c r="R25" s="1" t="s">
        <v>29</v>
      </c>
      <c r="S25" s="28">
        <f>SUMIFS(Raw_Data[Employees], Raw_Data[Industry], $B$3, Raw_Data[Year], $B$15, Raw_Data[State], $R25)</f>
        <v>448355</v>
      </c>
      <c r="T25" s="32">
        <v>6154913</v>
      </c>
      <c r="U25" s="36">
        <f t="shared" si="1"/>
        <v>72.845058898476708</v>
      </c>
      <c r="V25" s="37">
        <f>AVERAGEIFS(Raw_Data[Avg Annual Wage], Raw_Data[Industry], $B$3, Raw_Data[Year], $B$15, Raw_Data[State], $R25)</f>
        <v>50460</v>
      </c>
      <c r="W25" s="38">
        <f t="shared" si="2"/>
        <v>72.845058898476708</v>
      </c>
    </row>
    <row r="26" spans="1:23" x14ac:dyDescent="0.3">
      <c r="R26" s="1" t="s">
        <v>30</v>
      </c>
      <c r="S26" s="28">
        <f>SUMIFS(Raw_Data[Employees], Raw_Data[Industry], $B$3, Raw_Data[Year], $B$15, Raw_Data[State], $R26)</f>
        <v>73374</v>
      </c>
      <c r="T26" s="32">
        <v>1084225</v>
      </c>
      <c r="U26" s="36">
        <f t="shared" si="1"/>
        <v>67.674145126703408</v>
      </c>
      <c r="V26" s="37">
        <f>AVERAGEIFS(Raw_Data[Avg Annual Wage], Raw_Data[Industry], $B$3, Raw_Data[Year], $B$15, Raw_Data[State], $R26)</f>
        <v>52612</v>
      </c>
      <c r="W26" s="38">
        <f t="shared" si="2"/>
        <v>67.674145126703408</v>
      </c>
    </row>
    <row r="27" spans="1:23" x14ac:dyDescent="0.3">
      <c r="R27" s="1" t="s">
        <v>31</v>
      </c>
      <c r="S27" s="28">
        <f>SUMIFS(Raw_Data[Employees], Raw_Data[Industry], $B$3, Raw_Data[Year], $B$15, Raw_Data[State], $R27)</f>
        <v>135205</v>
      </c>
      <c r="T27" s="32">
        <v>1961504</v>
      </c>
      <c r="U27" s="36">
        <f t="shared" si="1"/>
        <v>68.929250208003651</v>
      </c>
      <c r="V27" s="37">
        <f>AVERAGEIFS(Raw_Data[Avg Annual Wage], Raw_Data[Industry], $B$3, Raw_Data[Year], $B$15, Raw_Data[State], $R27)</f>
        <v>51740</v>
      </c>
      <c r="W27" s="38">
        <f t="shared" si="2"/>
        <v>68.929250208003651</v>
      </c>
    </row>
    <row r="28" spans="1:23" x14ac:dyDescent="0.3">
      <c r="R28" s="1" t="s">
        <v>32</v>
      </c>
      <c r="S28" s="28">
        <f>SUMIFS(Raw_Data[Employees], Raw_Data[Industry], $B$3, Raw_Data[Year], $B$15, Raw_Data[State], $R28)</f>
        <v>139696</v>
      </c>
      <c r="T28" s="32">
        <v>3104614</v>
      </c>
      <c r="U28" s="36">
        <f t="shared" si="1"/>
        <v>44.996253962650428</v>
      </c>
      <c r="V28" s="37">
        <f>AVERAGEIFS(Raw_Data[Avg Annual Wage], Raw_Data[Industry], $B$3, Raw_Data[Year], $B$15, Raw_Data[State], $R28)</f>
        <v>58047</v>
      </c>
      <c r="W28" s="38">
        <f t="shared" si="2"/>
        <v>44.996253962650428</v>
      </c>
    </row>
    <row r="29" spans="1:23" x14ac:dyDescent="0.3">
      <c r="R29" s="1" t="s">
        <v>33</v>
      </c>
      <c r="S29" s="28">
        <f>SUMIFS(Raw_Data[Employees], Raw_Data[Industry], $B$3, Raw_Data[Year], $B$15, Raw_Data[State], $R29)</f>
        <v>108757</v>
      </c>
      <c r="T29" s="32">
        <v>1377529</v>
      </c>
      <c r="U29" s="36">
        <f t="shared" si="1"/>
        <v>78.950787968892129</v>
      </c>
      <c r="V29" s="37">
        <f>AVERAGEIFS(Raw_Data[Avg Annual Wage], Raw_Data[Industry], $B$3, Raw_Data[Year], $B$15, Raw_Data[State], $R29)</f>
        <v>63675</v>
      </c>
      <c r="W29" s="38">
        <f t="shared" si="2"/>
        <v>78.950787968892129</v>
      </c>
    </row>
    <row r="30" spans="1:23" x14ac:dyDescent="0.3">
      <c r="R30" s="1" t="s">
        <v>34</v>
      </c>
      <c r="S30" s="28">
        <f>SUMIFS(Raw_Data[Employees], Raw_Data[Industry], $B$3, Raw_Data[Year], $B$15, Raw_Data[State], $R30)</f>
        <v>622420</v>
      </c>
      <c r="T30" s="32">
        <v>9288994</v>
      </c>
      <c r="U30" s="36">
        <f t="shared" si="1"/>
        <v>67.006179571221594</v>
      </c>
      <c r="V30" s="37">
        <f>AVERAGEIFS(Raw_Data[Avg Annual Wage], Raw_Data[Industry], $B$3, Raw_Data[Year], $B$15, Raw_Data[State], $R30)</f>
        <v>60044</v>
      </c>
      <c r="W30" s="38">
        <f t="shared" si="2"/>
        <v>67.006179571221594</v>
      </c>
    </row>
    <row r="31" spans="1:23" x14ac:dyDescent="0.3">
      <c r="R31" s="1" t="s">
        <v>35</v>
      </c>
      <c r="S31" s="28">
        <f>SUMIFS(Raw_Data[Employees], Raw_Data[Industry], $B$3, Raw_Data[Year], $B$15, Raw_Data[State], $R31)</f>
        <v>126459</v>
      </c>
      <c r="T31" s="32">
        <v>2117522</v>
      </c>
      <c r="U31" s="36">
        <f t="shared" si="1"/>
        <v>59.720276814125185</v>
      </c>
      <c r="V31" s="37">
        <f>AVERAGEIFS(Raw_Data[Avg Annual Wage], Raw_Data[Industry], $B$3, Raw_Data[Year], $B$15, Raw_Data[State], $R31)</f>
        <v>45191</v>
      </c>
      <c r="W31" s="38">
        <f t="shared" si="2"/>
        <v>59.720276814125185</v>
      </c>
    </row>
    <row r="32" spans="1:23" x14ac:dyDescent="0.3">
      <c r="R32" s="1" t="s">
        <v>36</v>
      </c>
      <c r="S32" s="28">
        <f>SUMIFS(Raw_Data[Employees], Raw_Data[Industry], $B$3, Raw_Data[Year], $B$15, Raw_Data[State], $R32)</f>
        <v>1872526</v>
      </c>
      <c r="T32" s="32">
        <v>20201249</v>
      </c>
      <c r="U32" s="36">
        <f t="shared" si="1"/>
        <v>92.693575530899096</v>
      </c>
      <c r="V32" s="37">
        <f>AVERAGEIFS(Raw_Data[Avg Annual Wage], Raw_Data[Industry], $B$3, Raw_Data[Year], $B$15, Raw_Data[State], $R32)</f>
        <v>58936</v>
      </c>
      <c r="W32" s="38">
        <f t="shared" si="2"/>
        <v>92.693575530899096</v>
      </c>
    </row>
    <row r="33" spans="18:23" x14ac:dyDescent="0.3">
      <c r="R33" s="1" t="s">
        <v>37</v>
      </c>
      <c r="S33" s="28">
        <f>SUMIFS(Raw_Data[Employees], Raw_Data[Industry], $B$3, Raw_Data[Year], $B$15, Raw_Data[State], $R33)</f>
        <v>584896</v>
      </c>
      <c r="T33" s="32">
        <v>10439388</v>
      </c>
      <c r="U33" s="36">
        <f t="shared" si="1"/>
        <v>56.027805461392944</v>
      </c>
      <c r="V33" s="37">
        <f>AVERAGEIFS(Raw_Data[Avg Annual Wage], Raw_Data[Industry], $B$3, Raw_Data[Year], $B$15, Raw_Data[State], $R33)</f>
        <v>53252</v>
      </c>
      <c r="W33" s="38">
        <f t="shared" si="2"/>
        <v>56.027805461392944</v>
      </c>
    </row>
    <row r="34" spans="18:23" x14ac:dyDescent="0.3">
      <c r="R34" s="1" t="s">
        <v>38</v>
      </c>
      <c r="S34" s="28">
        <f>SUMIFS(Raw_Data[Employees], Raw_Data[Industry], $B$3, Raw_Data[Year], $B$15, Raw_Data[State], $R34)</f>
        <v>64418</v>
      </c>
      <c r="T34" s="32">
        <v>779094</v>
      </c>
      <c r="U34" s="36">
        <f t="shared" si="1"/>
        <v>82.683219226434801</v>
      </c>
      <c r="V34" s="37">
        <f>AVERAGEIFS(Raw_Data[Avg Annual Wage], Raw_Data[Industry], $B$3, Raw_Data[Year], $B$15, Raw_Data[State], $R34)</f>
        <v>55234</v>
      </c>
      <c r="W34" s="38">
        <f t="shared" si="2"/>
        <v>82.683219226434801</v>
      </c>
    </row>
    <row r="35" spans="18:23" x14ac:dyDescent="0.3">
      <c r="R35" s="1" t="s">
        <v>39</v>
      </c>
      <c r="S35" s="28">
        <f>SUMIFS(Raw_Data[Employees], Raw_Data[Industry], $B$3, Raw_Data[Year], $B$15, Raw_Data[State], $R35)</f>
        <v>868191</v>
      </c>
      <c r="T35" s="32">
        <v>11799448</v>
      </c>
      <c r="U35" s="36">
        <f t="shared" si="1"/>
        <v>73.578950472937379</v>
      </c>
      <c r="V35" s="37">
        <f>AVERAGEIFS(Raw_Data[Avg Annual Wage], Raw_Data[Industry], $B$3, Raw_Data[Year], $B$15, Raw_Data[State], $R35)</f>
        <v>51366</v>
      </c>
      <c r="W35" s="38">
        <f t="shared" si="2"/>
        <v>73.578950472937379</v>
      </c>
    </row>
    <row r="36" spans="18:23" x14ac:dyDescent="0.3">
      <c r="R36" s="1" t="s">
        <v>40</v>
      </c>
      <c r="S36" s="28">
        <f>SUMIFS(Raw_Data[Employees], Raw_Data[Industry], $B$3, Raw_Data[Year], $B$15, Raw_Data[State], $R36)</f>
        <v>209679</v>
      </c>
      <c r="T36" s="32">
        <v>3959353</v>
      </c>
      <c r="U36" s="36">
        <f t="shared" si="1"/>
        <v>52.957894888382022</v>
      </c>
      <c r="V36" s="37">
        <f>AVERAGEIFS(Raw_Data[Avg Annual Wage], Raw_Data[Industry], $B$3, Raw_Data[Year], $B$15, Raw_Data[State], $R36)</f>
        <v>49095</v>
      </c>
      <c r="W36" s="38">
        <f t="shared" si="2"/>
        <v>52.957894888382022</v>
      </c>
    </row>
    <row r="37" spans="18:23" x14ac:dyDescent="0.3">
      <c r="R37" s="1" t="s">
        <v>41</v>
      </c>
      <c r="S37" s="28">
        <f>SUMIFS(Raw_Data[Employees], Raw_Data[Industry], $B$3, Raw_Data[Year], $B$15, Raw_Data[State], $R37)</f>
        <v>292631</v>
      </c>
      <c r="T37" s="32">
        <v>4237256</v>
      </c>
      <c r="U37" s="36">
        <f t="shared" si="1"/>
        <v>69.06143976195915</v>
      </c>
      <c r="V37" s="37">
        <f>AVERAGEIFS(Raw_Data[Avg Annual Wage], Raw_Data[Industry], $B$3, Raw_Data[Year], $B$15, Raw_Data[State], $R37)</f>
        <v>54216</v>
      </c>
      <c r="W37" s="38">
        <f t="shared" si="2"/>
        <v>69.06143976195915</v>
      </c>
    </row>
    <row r="38" spans="18:23" x14ac:dyDescent="0.3">
      <c r="R38" s="1" t="s">
        <v>42</v>
      </c>
      <c r="S38" s="28">
        <f>SUMIFS(Raw_Data[Employees], Raw_Data[Industry], $B$3, Raw_Data[Year], $B$15, Raw_Data[State], $R38)</f>
        <v>1179840</v>
      </c>
      <c r="T38" s="32">
        <v>13002700</v>
      </c>
      <c r="U38" s="36">
        <f t="shared" si="1"/>
        <v>90.738077476216489</v>
      </c>
      <c r="V38" s="37">
        <f>AVERAGEIFS(Raw_Data[Avg Annual Wage], Raw_Data[Industry], $B$3, Raw_Data[Year], $B$15, Raw_Data[State], $R38)</f>
        <v>57087</v>
      </c>
      <c r="W38" s="38">
        <f t="shared" si="2"/>
        <v>90.738077476216489</v>
      </c>
    </row>
    <row r="39" spans="18:23" x14ac:dyDescent="0.3">
      <c r="R39" s="1" t="s">
        <v>43</v>
      </c>
      <c r="S39" s="28">
        <f>SUMIFS(Raw_Data[Employees], Raw_Data[Industry], $B$3, Raw_Data[Year], $B$15, Raw_Data[State], $R39)</f>
        <v>95079</v>
      </c>
      <c r="T39" s="32">
        <v>1097379</v>
      </c>
      <c r="U39" s="36">
        <f t="shared" si="1"/>
        <v>86.641898560114598</v>
      </c>
      <c r="V39" s="37">
        <f>AVERAGEIFS(Raw_Data[Avg Annual Wage], Raw_Data[Industry], $B$3, Raw_Data[Year], $B$15, Raw_Data[State], $R39)</f>
        <v>54510</v>
      </c>
      <c r="W39" s="38">
        <f t="shared" si="2"/>
        <v>86.641898560114598</v>
      </c>
    </row>
    <row r="40" spans="18:23" x14ac:dyDescent="0.3">
      <c r="R40" s="1" t="s">
        <v>44</v>
      </c>
      <c r="S40" s="28">
        <f>SUMIFS(Raw_Data[Employees], Raw_Data[Industry], $B$3, Raw_Data[Year], $B$15, Raw_Data[State], $R40)</f>
        <v>231072</v>
      </c>
      <c r="T40" s="32">
        <v>5118425</v>
      </c>
      <c r="U40" s="36">
        <f t="shared" si="1"/>
        <v>45.145137420202509</v>
      </c>
      <c r="V40" s="37">
        <f>AVERAGEIFS(Raw_Data[Avg Annual Wage], Raw_Data[Industry], $B$3, Raw_Data[Year], $B$15, Raw_Data[State], $R40)</f>
        <v>50055</v>
      </c>
      <c r="W40" s="38">
        <f t="shared" si="2"/>
        <v>45.145137420202509</v>
      </c>
    </row>
    <row r="41" spans="18:23" x14ac:dyDescent="0.3">
      <c r="R41" s="1" t="s">
        <v>45</v>
      </c>
      <c r="S41" s="28">
        <f>SUMIFS(Raw_Data[Employees], Raw_Data[Industry], $B$3, Raw_Data[Year], $B$15, Raw_Data[State], $R41)</f>
        <v>68990</v>
      </c>
      <c r="T41" s="32">
        <v>886667</v>
      </c>
      <c r="U41" s="36">
        <f t="shared" si="1"/>
        <v>77.808241425473142</v>
      </c>
      <c r="V41" s="37">
        <f>AVERAGEIFS(Raw_Data[Avg Annual Wage], Raw_Data[Industry], $B$3, Raw_Data[Year], $B$15, Raw_Data[State], $R41)</f>
        <v>57054</v>
      </c>
      <c r="W41" s="38">
        <f t="shared" si="2"/>
        <v>77.808241425473142</v>
      </c>
    </row>
    <row r="42" spans="18:23" x14ac:dyDescent="0.3">
      <c r="R42" s="1" t="s">
        <v>46</v>
      </c>
      <c r="S42" s="28">
        <f>SUMIFS(Raw_Data[Employees], Raw_Data[Industry], $B$3, Raw_Data[Year], $B$15, Raw_Data[State], $R42)</f>
        <v>421097</v>
      </c>
      <c r="T42" s="32">
        <v>6910840</v>
      </c>
      <c r="U42" s="36">
        <f t="shared" si="1"/>
        <v>60.932824374460992</v>
      </c>
      <c r="V42" s="37">
        <f>AVERAGEIFS(Raw_Data[Avg Annual Wage], Raw_Data[Industry], $B$3, Raw_Data[Year], $B$15, Raw_Data[State], $R42)</f>
        <v>56401</v>
      </c>
      <c r="W42" s="38">
        <f t="shared" si="2"/>
        <v>60.932824374460992</v>
      </c>
    </row>
    <row r="43" spans="18:23" x14ac:dyDescent="0.3">
      <c r="R43" s="1" t="s">
        <v>47</v>
      </c>
      <c r="S43" s="28">
        <f>SUMIFS(Raw_Data[Employees], Raw_Data[Industry], $B$3, Raw_Data[Year], $B$15, Raw_Data[State], $R43)</f>
        <v>1646144</v>
      </c>
      <c r="T43" s="32">
        <v>29145505</v>
      </c>
      <c r="U43" s="36">
        <f t="shared" si="1"/>
        <v>56.480201664030183</v>
      </c>
      <c r="V43" s="37">
        <f>AVERAGEIFS(Raw_Data[Avg Annual Wage], Raw_Data[Industry], $B$3, Raw_Data[Year], $B$15, Raw_Data[State], $R43)</f>
        <v>51856</v>
      </c>
      <c r="W43" s="38">
        <f t="shared" si="2"/>
        <v>56.480201664030183</v>
      </c>
    </row>
    <row r="44" spans="18:23" x14ac:dyDescent="0.3">
      <c r="R44" s="1" t="s">
        <v>48</v>
      </c>
      <c r="S44" s="28">
        <f>SUMIFS(Raw_Data[Employees], Raw_Data[Industry], $B$3, Raw_Data[Year], $B$15, Raw_Data[State], $R44)</f>
        <v>193157</v>
      </c>
      <c r="T44" s="32">
        <v>3271616</v>
      </c>
      <c r="U44" s="36">
        <f t="shared" si="1"/>
        <v>59.040241886578372</v>
      </c>
      <c r="V44" s="37">
        <f>AVERAGEIFS(Raw_Data[Avg Annual Wage], Raw_Data[Industry], $B$3, Raw_Data[Year], $B$15, Raw_Data[State], $R44)</f>
        <v>48260</v>
      </c>
      <c r="W44" s="38">
        <f t="shared" si="2"/>
        <v>59.040241886578372</v>
      </c>
    </row>
    <row r="45" spans="18:23" x14ac:dyDescent="0.3">
      <c r="R45" s="1" t="s">
        <v>49</v>
      </c>
      <c r="S45" s="28">
        <f>SUMIFS(Raw_Data[Employees], Raw_Data[Industry], $B$3, Raw_Data[Year], $B$15, Raw_Data[State], $R45)</f>
        <v>58443</v>
      </c>
      <c r="T45" s="32">
        <v>643077</v>
      </c>
      <c r="U45" s="36">
        <f t="shared" si="1"/>
        <v>90.88025228705115</v>
      </c>
      <c r="V45" s="37">
        <f>AVERAGEIFS(Raw_Data[Avg Annual Wage], Raw_Data[Industry], $B$3, Raw_Data[Year], $B$15, Raw_Data[State], $R45)</f>
        <v>52779</v>
      </c>
      <c r="W45" s="38">
        <f t="shared" si="2"/>
        <v>90.88025228705115</v>
      </c>
    </row>
    <row r="46" spans="18:23" x14ac:dyDescent="0.3">
      <c r="R46" s="1" t="s">
        <v>50</v>
      </c>
      <c r="S46" s="28">
        <f>SUMIFS(Raw_Data[Employees], Raw_Data[Industry], $B$3, Raw_Data[Year], $B$15, Raw_Data[State], $R46)</f>
        <v>492598</v>
      </c>
      <c r="T46" s="32">
        <v>8631393</v>
      </c>
      <c r="U46" s="36">
        <f t="shared" si="1"/>
        <v>57.070509939704976</v>
      </c>
      <c r="V46" s="37">
        <f>AVERAGEIFS(Raw_Data[Avg Annual Wage], Raw_Data[Industry], $B$3, Raw_Data[Year], $B$15, Raw_Data[State], $R46)</f>
        <v>54119</v>
      </c>
      <c r="W46" s="38">
        <f t="shared" si="2"/>
        <v>57.070509939704976</v>
      </c>
    </row>
    <row r="47" spans="18:23" x14ac:dyDescent="0.3">
      <c r="R47" s="1" t="s">
        <v>51</v>
      </c>
      <c r="S47" s="28">
        <f>SUMIFS(Raw_Data[Employees], Raw_Data[Industry], $B$3, Raw_Data[Year], $B$15, Raw_Data[State], $R47)</f>
        <v>468495</v>
      </c>
      <c r="T47" s="32">
        <v>7705281</v>
      </c>
      <c r="U47" s="36">
        <f t="shared" si="1"/>
        <v>60.801805930244463</v>
      </c>
      <c r="V47" s="37">
        <f>AVERAGEIFS(Raw_Data[Avg Annual Wage], Raw_Data[Industry], $B$3, Raw_Data[Year], $B$15, Raw_Data[State], $R47)</f>
        <v>55544</v>
      </c>
      <c r="W47" s="38">
        <f t="shared" si="2"/>
        <v>60.801805930244463</v>
      </c>
    </row>
    <row r="48" spans="18:23" x14ac:dyDescent="0.3">
      <c r="R48" s="1" t="s">
        <v>52</v>
      </c>
      <c r="S48" s="28">
        <f>SUMIFS(Raw_Data[Employees], Raw_Data[Industry], $B$3, Raw_Data[Year], $B$15, Raw_Data[State], $R48)</f>
        <v>124604</v>
      </c>
      <c r="T48" s="32">
        <v>1793716</v>
      </c>
      <c r="U48" s="36">
        <f t="shared" si="1"/>
        <v>69.466961324981213</v>
      </c>
      <c r="V48" s="37">
        <f>AVERAGEIFS(Raw_Data[Avg Annual Wage], Raw_Data[Industry], $B$3, Raw_Data[Year], $B$15, Raw_Data[State], $R48)</f>
        <v>50597</v>
      </c>
      <c r="W48" s="38">
        <f t="shared" si="2"/>
        <v>69.466961324981213</v>
      </c>
    </row>
    <row r="49" spans="18:23" x14ac:dyDescent="0.3">
      <c r="R49" s="1" t="s">
        <v>53</v>
      </c>
      <c r="S49" s="28">
        <f>SUMIFS(Raw_Data[Employees], Raw_Data[Industry], $B$3, Raw_Data[Year], $B$15, Raw_Data[State], $R49)</f>
        <v>427152</v>
      </c>
      <c r="T49" s="32">
        <v>5893718</v>
      </c>
      <c r="U49" s="36">
        <f t="shared" si="1"/>
        <v>72.475812381929359</v>
      </c>
      <c r="V49" s="37">
        <f>AVERAGEIFS(Raw_Data[Avg Annual Wage], Raw_Data[Industry], $B$3, Raw_Data[Year], $B$15, Raw_Data[State], $R49)</f>
        <v>52993</v>
      </c>
      <c r="W49" s="38">
        <f t="shared" si="2"/>
        <v>72.475812381929359</v>
      </c>
    </row>
    <row r="50" spans="18:23" x14ac:dyDescent="0.3">
      <c r="R50" s="1" t="s">
        <v>54</v>
      </c>
      <c r="S50" s="28">
        <f>SUMIFS(Raw_Data[Employees], Raw_Data[Industry], $B$3, Raw_Data[Year], $B$15, Raw_Data[State], $R50)</f>
        <v>26942</v>
      </c>
      <c r="T50" s="32">
        <v>576851</v>
      </c>
      <c r="U50" s="36">
        <f t="shared" si="1"/>
        <v>46.705301715694347</v>
      </c>
      <c r="V50" s="37">
        <f>AVERAGEIFS(Raw_Data[Avg Annual Wage], Raw_Data[Industry], $B$3, Raw_Data[Year], $B$15, Raw_Data[State], $R50)</f>
        <v>46334</v>
      </c>
      <c r="W50" s="38">
        <f t="shared" si="2"/>
        <v>46.705301715694347</v>
      </c>
    </row>
  </sheetData>
  <sortState xmlns:xlrd2="http://schemas.microsoft.com/office/spreadsheetml/2017/richdata2" ref="H3:I12">
    <sortCondition descending="1" ref="I3:I1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C53A-AC9B-4EB1-8E22-C2DA7D1072A1}">
  <dimension ref="A1:H10"/>
  <sheetViews>
    <sheetView showGridLines="0" tabSelected="1" zoomScale="80" zoomScaleNormal="80" workbookViewId="0">
      <selection activeCell="H31" sqref="H31"/>
    </sheetView>
  </sheetViews>
  <sheetFormatPr defaultRowHeight="14.4" x14ac:dyDescent="0.3"/>
  <cols>
    <col min="1" max="1" width="11.33203125" customWidth="1"/>
    <col min="2" max="2" width="8.88671875" customWidth="1"/>
    <col min="3" max="3" width="19.88671875" style="34" customWidth="1"/>
    <col min="4" max="4" width="22.44140625" style="34" customWidth="1"/>
    <col min="5" max="5" width="20.77734375" style="34" customWidth="1"/>
    <col min="6" max="6" width="25.33203125" style="34" customWidth="1"/>
    <col min="7" max="7" width="16.33203125" style="34" customWidth="1"/>
    <col min="8" max="8" width="25.33203125" style="34" customWidth="1"/>
    <col min="9" max="16384" width="8.88671875" style="34"/>
  </cols>
  <sheetData>
    <row r="1" spans="4:8" customFormat="1" x14ac:dyDescent="0.3"/>
    <row r="2" spans="4:8" customFormat="1" x14ac:dyDescent="0.3"/>
    <row r="3" spans="4:8" customFormat="1" x14ac:dyDescent="0.3"/>
    <row r="4" spans="4:8" customFormat="1" x14ac:dyDescent="0.3"/>
    <row r="7" spans="4:8" ht="13.8" customHeight="1" x14ac:dyDescent="0.3"/>
    <row r="8" spans="4:8" ht="2.4" customHeight="1" x14ac:dyDescent="0.3"/>
    <row r="9" spans="4:8" ht="0.6" customHeight="1" thickBot="1" x14ac:dyDescent="0.35"/>
    <row r="10" spans="4:8" ht="16.2" thickBot="1" x14ac:dyDescent="0.35">
      <c r="D10" s="35" t="s">
        <v>61</v>
      </c>
      <c r="F10" s="35">
        <v>2020</v>
      </c>
      <c r="H10" s="35" t="s">
        <v>76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2715EE9-1F54-47CE-BAAD-B85634998A20}">
          <x14:formula1>
            <xm:f>Data_Prep!$A$3:$A$12</xm:f>
          </x14:formula1>
          <xm:sqref>D10</xm:sqref>
        </x14:dataValidation>
        <x14:dataValidation type="list" allowBlank="1" showInputMessage="1" showErrorMessage="1" xr:uid="{6C7DAFFC-4D4E-4A9E-A776-FC1021448B57}">
          <x14:formula1>
            <xm:f>Data_Prep!$U$2:$V$2</xm:f>
          </x14:formula1>
          <xm:sqref>H10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Raw_Data</vt:lpstr>
      <vt:lpstr>Data_Prep</vt:lpstr>
      <vt:lpstr>Dashboard</vt:lpstr>
      <vt:lpstr>Date_Time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Maity</dc:creator>
  <cp:lastModifiedBy>Ranjan Maity</cp:lastModifiedBy>
  <dcterms:created xsi:type="dcterms:W3CDTF">2026-05-24T05:16:04Z</dcterms:created>
  <dcterms:modified xsi:type="dcterms:W3CDTF">2026-05-25T02:17:11Z</dcterms:modified>
</cp:coreProperties>
</file>