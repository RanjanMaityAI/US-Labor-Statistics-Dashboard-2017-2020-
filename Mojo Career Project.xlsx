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Ex1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56895ce85db3270/Documents/"/>
    </mc:Choice>
  </mc:AlternateContent>
  <xr:revisionPtr revIDLastSave="567" documentId="8_{EFE34ADE-867D-4F5C-9B7C-844C84874342}" xr6:coauthVersionLast="47" xr6:coauthVersionMax="47" xr10:uidLastSave="{4E6EE598-8CDA-4CCA-BEF2-20E0F7AF2145}"/>
  <bookViews>
    <workbookView xWindow="-108" yWindow="-108" windowWidth="23256" windowHeight="12456" xr2:uid="{49592D85-D74C-4AE1-BD93-859863CD724B}"/>
  </bookViews>
  <sheets>
    <sheet name="Raw_Data" sheetId="1" r:id="rId1"/>
    <sheet name="Data_Prep" sheetId="2" r:id="rId2"/>
    <sheet name="Dashboard" sheetId="4" r:id="rId3"/>
  </sheets>
  <definedNames>
    <definedName name="_xlnm._FilterDatabase" localSheetId="1" hidden="1">Data_Prep!$D$1:$E$12</definedName>
    <definedName name="_xlchart.v5.0" hidden="1">Data_Prep!$R$2</definedName>
    <definedName name="_xlchart.v5.1" hidden="1">Data_Prep!$R$3:$R$50</definedName>
    <definedName name="_xlchart.v5.2" hidden="1">Data_Prep!$W$2</definedName>
    <definedName name="_xlchart.v5.3" hidden="1">Data_Prep!$W$3:$W$50</definedName>
    <definedName name="Date_Time">Data_Prep!$Y$2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2" i="2" l="1"/>
  <c r="B18" i="2"/>
  <c r="B3" i="2"/>
  <c r="F3" i="2" s="1"/>
  <c r="F12" i="2" l="1"/>
  <c r="F11" i="2"/>
  <c r="F10" i="2"/>
  <c r="F9" i="2"/>
  <c r="F8" i="2"/>
  <c r="F7" i="2"/>
  <c r="F6" i="2"/>
  <c r="F5" i="2"/>
  <c r="F4" i="2"/>
  <c r="W2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3" i="2"/>
  <c r="S4" i="2"/>
  <c r="U4" i="2" s="1"/>
  <c r="S5" i="2"/>
  <c r="U5" i="2" s="1"/>
  <c r="S6" i="2"/>
  <c r="U6" i="2" s="1"/>
  <c r="S7" i="2"/>
  <c r="U7" i="2" s="1"/>
  <c r="S8" i="2"/>
  <c r="U8" i="2" s="1"/>
  <c r="S9" i="2"/>
  <c r="U9" i="2" s="1"/>
  <c r="S10" i="2"/>
  <c r="U10" i="2" s="1"/>
  <c r="S11" i="2"/>
  <c r="U11" i="2" s="1"/>
  <c r="S12" i="2"/>
  <c r="U12" i="2" s="1"/>
  <c r="S13" i="2"/>
  <c r="U13" i="2" s="1"/>
  <c r="S14" i="2"/>
  <c r="U14" i="2" s="1"/>
  <c r="S15" i="2"/>
  <c r="U15" i="2" s="1"/>
  <c r="S16" i="2"/>
  <c r="U16" i="2" s="1"/>
  <c r="S17" i="2"/>
  <c r="U17" i="2" s="1"/>
  <c r="S18" i="2"/>
  <c r="U18" i="2" s="1"/>
  <c r="S19" i="2"/>
  <c r="U19" i="2" s="1"/>
  <c r="S20" i="2"/>
  <c r="U20" i="2" s="1"/>
  <c r="S21" i="2"/>
  <c r="U21" i="2" s="1"/>
  <c r="S22" i="2"/>
  <c r="U22" i="2" s="1"/>
  <c r="S23" i="2"/>
  <c r="U23" i="2" s="1"/>
  <c r="S24" i="2"/>
  <c r="U24" i="2" s="1"/>
  <c r="S25" i="2"/>
  <c r="U25" i="2" s="1"/>
  <c r="S26" i="2"/>
  <c r="U26" i="2" s="1"/>
  <c r="S27" i="2"/>
  <c r="U27" i="2" s="1"/>
  <c r="S28" i="2"/>
  <c r="U28" i="2" s="1"/>
  <c r="S29" i="2"/>
  <c r="U29" i="2" s="1"/>
  <c r="S30" i="2"/>
  <c r="U30" i="2" s="1"/>
  <c r="S31" i="2"/>
  <c r="U31" i="2" s="1"/>
  <c r="S32" i="2"/>
  <c r="U32" i="2" s="1"/>
  <c r="S33" i="2"/>
  <c r="U33" i="2" s="1"/>
  <c r="S34" i="2"/>
  <c r="U34" i="2" s="1"/>
  <c r="S35" i="2"/>
  <c r="U35" i="2" s="1"/>
  <c r="S36" i="2"/>
  <c r="U36" i="2" s="1"/>
  <c r="S37" i="2"/>
  <c r="U37" i="2" s="1"/>
  <c r="S38" i="2"/>
  <c r="U38" i="2" s="1"/>
  <c r="S39" i="2"/>
  <c r="U39" i="2" s="1"/>
  <c r="S40" i="2"/>
  <c r="U40" i="2" s="1"/>
  <c r="S41" i="2"/>
  <c r="U41" i="2" s="1"/>
  <c r="S42" i="2"/>
  <c r="U42" i="2" s="1"/>
  <c r="S43" i="2"/>
  <c r="U43" i="2" s="1"/>
  <c r="S44" i="2"/>
  <c r="U44" i="2" s="1"/>
  <c r="S45" i="2"/>
  <c r="U45" i="2" s="1"/>
  <c r="S46" i="2"/>
  <c r="U46" i="2" s="1"/>
  <c r="S47" i="2"/>
  <c r="U47" i="2" s="1"/>
  <c r="S48" i="2"/>
  <c r="U48" i="2" s="1"/>
  <c r="S49" i="2"/>
  <c r="U49" i="2" s="1"/>
  <c r="S50" i="2"/>
  <c r="U50" i="2" s="1"/>
  <c r="S3" i="2"/>
  <c r="U3" i="2" s="1"/>
  <c r="P4" i="2"/>
  <c r="P5" i="2"/>
  <c r="P6" i="2"/>
  <c r="P3" i="2"/>
  <c r="O4" i="2"/>
  <c r="O5" i="2"/>
  <c r="O6" i="2"/>
  <c r="O3" i="2"/>
  <c r="K3" i="2"/>
  <c r="I8" i="2"/>
  <c r="I5" i="2"/>
  <c r="L3" i="2" s="1"/>
  <c r="L4" i="2" s="1"/>
  <c r="I7" i="2"/>
  <c r="I9" i="2"/>
  <c r="I12" i="2"/>
  <c r="I4" i="2"/>
  <c r="I3" i="2"/>
  <c r="I10" i="2"/>
  <c r="I6" i="2"/>
  <c r="I11" i="2"/>
  <c r="E7" i="2"/>
  <c r="E9" i="2"/>
  <c r="E4" i="2"/>
  <c r="E3" i="2"/>
  <c r="E12" i="2"/>
  <c r="E6" i="2"/>
  <c r="E8" i="2"/>
  <c r="E11" i="2"/>
  <c r="E10" i="2"/>
  <c r="E5" i="2"/>
  <c r="W4" i="2" l="1"/>
  <c r="W47" i="2"/>
  <c r="W46" i="2"/>
  <c r="W45" i="2"/>
  <c r="W27" i="2"/>
  <c r="W26" i="2"/>
  <c r="W25" i="2"/>
  <c r="W48" i="2"/>
  <c r="W21" i="2"/>
  <c r="W15" i="2"/>
  <c r="W19" i="2"/>
  <c r="W36" i="2"/>
  <c r="W35" i="2"/>
  <c r="W14" i="2"/>
  <c r="W34" i="2"/>
  <c r="W13" i="2"/>
  <c r="W3" i="2"/>
  <c r="W33" i="2"/>
  <c r="W12" i="2"/>
  <c r="W44" i="2"/>
  <c r="W43" i="2"/>
  <c r="W50" i="2"/>
  <c r="W32" i="2"/>
  <c r="W11" i="2"/>
  <c r="W20" i="2"/>
  <c r="W49" i="2"/>
  <c r="W31" i="2"/>
  <c r="W10" i="2"/>
  <c r="W39" i="2"/>
  <c r="W24" i="2"/>
  <c r="W9" i="2"/>
  <c r="W38" i="2"/>
  <c r="W23" i="2"/>
  <c r="W8" i="2"/>
  <c r="W37" i="2"/>
  <c r="W22" i="2"/>
  <c r="W7" i="2"/>
  <c r="W42" i="2"/>
  <c r="W30" i="2"/>
  <c r="W18" i="2"/>
  <c r="W6" i="2"/>
  <c r="W41" i="2"/>
  <c r="W29" i="2"/>
  <c r="W17" i="2"/>
  <c r="W5" i="2"/>
  <c r="W40" i="2"/>
  <c r="W28" i="2"/>
  <c r="W16" i="2"/>
</calcChain>
</file>

<file path=xl/sharedStrings.xml><?xml version="1.0" encoding="utf-8"?>
<sst xmlns="http://schemas.openxmlformats.org/spreadsheetml/2006/main" count="3951" uniqueCount="81">
  <si>
    <t>Year</t>
  </si>
  <si>
    <t>Industry</t>
  </si>
  <si>
    <t>State</t>
  </si>
  <si>
    <t>Establishments</t>
  </si>
  <si>
    <t>Employees</t>
  </si>
  <si>
    <t>Avg Annual Wage</t>
  </si>
  <si>
    <t>Natural Resources</t>
  </si>
  <si>
    <t>Alabama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</si>
  <si>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</si>
  <si>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</si>
  <si>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</si>
  <si>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</si>
  <si>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</si>
  <si>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</si>
  <si>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</si>
  <si>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</si>
  <si>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</si>
  <si>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</si>
  <si>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</si>
  <si>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</si>
  <si>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</si>
  <si>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</si>
  <si>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</si>
  <si>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</si>
  <si>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</si>
  <si>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</si>
  <si>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</si>
  <si>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</si>
  <si>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</si>
  <si>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</si>
  <si>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</si>
  <si>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</si>
  <si>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</si>
  <si>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</si>
  <si>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</si>
  <si>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</si>
  <si>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</si>
  <si>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</si>
  <si>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</si>
  <si>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</si>
  <si>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</si>
  <si>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</si>
  <si>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</si>
  <si>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</si>
  <si>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</si>
  <si>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</si>
  <si>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</si>
  <si>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</si>
  <si>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</si>
  <si>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</si>
  <si>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</si>
  <si>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</si>
  <si>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</si>
  <si>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</si>
  <si>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</si>
  <si>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Construction</t>
  </si>
  <si>
    <t>Manufacturing</t>
  </si>
  <si>
    <t>Trade &amp; Transportation</t>
  </si>
  <si>
    <t>Information</t>
  </si>
  <si>
    <t>Finance</t>
  </si>
  <si>
    <t>Business Services</t>
  </si>
  <si>
    <t>Education &amp; Health</t>
  </si>
  <si>
    <t>Leisure &amp; Hospitality</t>
  </si>
  <si>
    <t>Other Services</t>
  </si>
  <si>
    <t>Industry Filter</t>
  </si>
  <si>
    <t>Selection</t>
  </si>
  <si>
    <t>Date Filter</t>
  </si>
  <si>
    <t>Current Year</t>
  </si>
  <si>
    <t>Avg Wage by Industry</t>
  </si>
  <si>
    <t>Total Employees</t>
  </si>
  <si>
    <t>Employee by Industry</t>
  </si>
  <si>
    <t>Others</t>
  </si>
  <si>
    <t>Wage &amp; Employee Trends</t>
  </si>
  <si>
    <t>Total Employee</t>
  </si>
  <si>
    <t>Comparison by State</t>
  </si>
  <si>
    <t>Population</t>
  </si>
  <si>
    <t>Employee Per 1000 Capita</t>
  </si>
  <si>
    <t>Avg Wage</t>
  </si>
  <si>
    <t>Map Filter</t>
  </si>
  <si>
    <t>Metric</t>
  </si>
  <si>
    <t>Date &amp;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</si>
</sst>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 * #,##0.00_ ;_ * \-#,##0.00_ ;_ * &quot;-&quot;??_ ;_ @_ "/>
    <numFmt numFmtId="164" formatCode="&quot;$&quot;#,##0"/>
    <numFmt numFmtId="165" formatCode="[$$-409]#,##0"/>
    <numFmt numFmtId="166" formatCode="_ * #,##0_ ;_ * \-#,##0_ ;_ * &quot;-&quot;??_ ;_ @_ "/>
    <numFmt numFmtId="167" formatCode="#,##0_ ;\-#,##0\ "/>
    <numFmt numFmtId="168" formatCode="[$$-409]#,##0_ ;\-[$$-409]#,##0\ "/>
    <numFmt numFmtId="169" formatCode="#,##0;#,##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b/>
      <sz val="13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7">
    <xf numFmtId="0" fontId="0" fillId="0" borderId="0" xfId="0"/>
    <xf numFmtId="0" fontId="0" fillId="0" borderId="1" xfId="0" applyBorder="1"/>
    <xf numFmtId="3" fontId="0" fillId="0" borderId="1" xfId="0" applyNumberFormat="1" applyBorder="1"/>
    <xf numFmtId="0" fontId="0" fillId="0" borderId="2" xfId="0" applyBorder="1"/>
    <xf numFmtId="164" fontId="0" fillId="0" borderId="3" xfId="0" applyNumberFormat="1" applyBorder="1"/>
    <xf numFmtId="0" fontId="0" fillId="0" borderId="7" xfId="0" applyBorder="1"/>
    <xf numFmtId="0" fontId="0" fillId="0" borderId="8" xfId="0" applyBorder="1"/>
    <xf numFmtId="3" fontId="0" fillId="0" borderId="8" xfId="0" applyNumberFormat="1" applyBorder="1"/>
    <xf numFmtId="164" fontId="0" fillId="0" borderId="9" xfId="0" applyNumberFormat="1" applyBorder="1"/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0" fillId="0" borderId="5" xfId="0" applyBorder="1"/>
    <xf numFmtId="0" fontId="3" fillId="3" borderId="10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Continuous"/>
    </xf>
    <xf numFmtId="0" fontId="4" fillId="2" borderId="12" xfId="0" applyFont="1" applyFill="1" applyBorder="1" applyAlignment="1">
      <alignment horizontal="centerContinuous"/>
    </xf>
    <xf numFmtId="165" fontId="0" fillId="0" borderId="1" xfId="0" applyNumberFormat="1" applyBorder="1"/>
    <xf numFmtId="165" fontId="0" fillId="0" borderId="5" xfId="0" applyNumberFormat="1" applyBorder="1"/>
    <xf numFmtId="0" fontId="3" fillId="4" borderId="12" xfId="0" applyFont="1" applyFill="1" applyBorder="1" applyAlignment="1">
      <alignment horizontal="centerContinuous"/>
    </xf>
    <xf numFmtId="0" fontId="2" fillId="2" borderId="10" xfId="0" applyFont="1" applyFill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0" xfId="0" applyBorder="1"/>
    <xf numFmtId="0" fontId="3" fillId="3" borderId="16" xfId="0" applyFont="1" applyFill="1" applyBorder="1" applyAlignment="1">
      <alignment horizontal="center"/>
    </xf>
    <xf numFmtId="0" fontId="0" fillId="0" borderId="17" xfId="0" applyBorder="1"/>
    <xf numFmtId="0" fontId="5" fillId="4" borderId="11" xfId="0" applyFont="1" applyFill="1" applyBorder="1" applyAlignment="1">
      <alignment horizontal="centerContinuous"/>
    </xf>
    <xf numFmtId="166" fontId="0" fillId="0" borderId="0" xfId="0" applyNumberFormat="1"/>
    <xf numFmtId="166" fontId="0" fillId="0" borderId="1" xfId="1" applyNumberFormat="1" applyFont="1" applyBorder="1"/>
    <xf numFmtId="166" fontId="0" fillId="0" borderId="1" xfId="0" applyNumberFormat="1" applyBorder="1"/>
    <xf numFmtId="0" fontId="0" fillId="4" borderId="0" xfId="0" applyFill="1" applyAlignment="1">
      <alignment horizontal="centerContinuous"/>
    </xf>
    <xf numFmtId="166" fontId="0" fillId="0" borderId="5" xfId="1" applyNumberFormat="1" applyFont="1" applyBorder="1"/>
    <xf numFmtId="3" fontId="0" fillId="0" borderId="1" xfId="0" applyNumberFormat="1" applyBorder="1" applyAlignment="1">
      <alignment horizontal="right" vertical="center" wrapText="1"/>
    </xf>
    <xf numFmtId="0" fontId="0" fillId="0" borderId="12" xfId="0" applyBorder="1"/>
    <xf numFmtId="0" fontId="0" fillId="5" borderId="0" xfId="0" applyFill="1"/>
    <xf numFmtId="0" fontId="3" fillId="6" borderId="10" xfId="0" applyFont="1" applyFill="1" applyBorder="1" applyAlignment="1">
      <alignment horizontal="center" vertical="center"/>
    </xf>
    <xf numFmtId="167" fontId="0" fillId="0" borderId="1" xfId="1" applyNumberFormat="1" applyFont="1" applyBorder="1"/>
    <xf numFmtId="168" fontId="0" fillId="0" borderId="1" xfId="0" applyNumberFormat="1" applyBorder="1"/>
    <xf numFmtId="169" fontId="0" fillId="0" borderId="1" xfId="1" applyNumberFormat="1" applyFont="1" applyBorder="1"/>
    <xf numFmtId="0" fontId="5" fillId="4" borderId="18" xfId="0" applyFont="1" applyFill="1" applyBorder="1" applyAlignment="1">
      <alignment horizontal="centerContinuous"/>
    </xf>
    <xf numFmtId="0" fontId="3" fillId="4" borderId="19" xfId="0" applyFont="1" applyFill="1" applyBorder="1" applyAlignment="1">
      <alignment horizontal="centerContinuous"/>
    </xf>
    <xf numFmtId="3" fontId="0" fillId="0" borderId="5" xfId="0" applyNumberFormat="1" applyBorder="1" applyAlignment="1">
      <alignment horizontal="right" vertical="center" wrapText="1"/>
    </xf>
    <xf numFmtId="167" fontId="0" fillId="0" borderId="5" xfId="1" applyNumberFormat="1" applyFont="1" applyBorder="1"/>
    <xf numFmtId="168" fontId="0" fillId="0" borderId="5" xfId="0" applyNumberFormat="1" applyBorder="1"/>
    <xf numFmtId="169" fontId="0" fillId="0" borderId="5" xfId="1" applyNumberFormat="1" applyFont="1" applyBorder="1"/>
    <xf numFmtId="22" fontId="0" fillId="0" borderId="5" xfId="0" applyNumberFormat="1" applyBorder="1"/>
    <xf numFmtId="0" fontId="3" fillId="4" borderId="10" xfId="0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10">
    <dxf>
      <numFmt numFmtId="164" formatCode="&quot;$&quot;#,##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3" formatCode="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" formatCode="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Employees by Industry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Data_Prep!$I$2</c:f>
              <c:strCache>
                <c:ptCount val="1"/>
                <c:pt idx="0">
                  <c:v>Total Employees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7C7-4E43-8A7F-42F1EB9D820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7C7-4E43-8A7F-42F1EB9D820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7C7-4E43-8A7F-42F1EB9D820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7C7-4E43-8A7F-42F1EB9D820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77C7-4E43-8A7F-42F1EB9D820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77C7-4E43-8A7F-42F1EB9D820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77C7-4E43-8A7F-42F1EB9D820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77C7-4E43-8A7F-42F1EB9D820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77C7-4E43-8A7F-42F1EB9D8205}"/>
              </c:ext>
            </c:extLst>
          </c:dPt>
          <c:dPt>
            <c:idx val="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734-4114-884B-0940FF0182D4}"/>
              </c:ext>
            </c:extLst>
          </c:dPt>
          <c:cat>
            <c:strRef>
              <c:f>Data_Prep!$H$3:$H$12</c:f>
              <c:strCache>
                <c:ptCount val="10"/>
                <c:pt idx="0">
                  <c:v>Trade &amp; Transportation</c:v>
                </c:pt>
                <c:pt idx="1">
                  <c:v>Education &amp; Health</c:v>
                </c:pt>
                <c:pt idx="2">
                  <c:v>Business Services</c:v>
                </c:pt>
                <c:pt idx="3">
                  <c:v>Leisure &amp; Hospitality</c:v>
                </c:pt>
                <c:pt idx="4">
                  <c:v>Manufacturing</c:v>
                </c:pt>
                <c:pt idx="5">
                  <c:v>Finance</c:v>
                </c:pt>
                <c:pt idx="6">
                  <c:v>Construction</c:v>
                </c:pt>
                <c:pt idx="7">
                  <c:v>Other Services</c:v>
                </c:pt>
                <c:pt idx="8">
                  <c:v>Information</c:v>
                </c:pt>
                <c:pt idx="9">
                  <c:v>Natural Resources</c:v>
                </c:pt>
              </c:strCache>
            </c:strRef>
          </c:cat>
          <c:val>
            <c:numRef>
              <c:f>Data_Prep!$I$3:$I$12</c:f>
              <c:numCache>
                <c:formatCode>_ * #,##0_ ;_ * \-#,##0_ ;_ * "-"??_ ;_ @_ </c:formatCode>
                <c:ptCount val="10"/>
                <c:pt idx="0">
                  <c:v>26277342</c:v>
                </c:pt>
                <c:pt idx="1">
                  <c:v>22035033</c:v>
                </c:pt>
                <c:pt idx="2">
                  <c:v>20065896</c:v>
                </c:pt>
                <c:pt idx="3">
                  <c:v>12649500</c:v>
                </c:pt>
                <c:pt idx="4">
                  <c:v>12058694</c:v>
                </c:pt>
                <c:pt idx="5">
                  <c:v>8142043</c:v>
                </c:pt>
                <c:pt idx="6">
                  <c:v>7136444</c:v>
                </c:pt>
                <c:pt idx="7">
                  <c:v>3843699</c:v>
                </c:pt>
                <c:pt idx="8">
                  <c:v>2677815</c:v>
                </c:pt>
                <c:pt idx="9">
                  <c:v>1762873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34-4114-884B-0940FF0182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Avg Annual Wage by Industry</a:t>
            </a:r>
          </a:p>
        </c:rich>
      </c:tx>
      <c:layout>
        <c:manualLayout>
          <c:xMode val="edge"/>
          <c:yMode val="edge"/>
          <c:x val="0.19631738800303722"/>
          <c:y val="4.7022109524445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Data_Prep!$E$2</c:f>
              <c:strCache>
                <c:ptCount val="1"/>
                <c:pt idx="0">
                  <c:v>Avg Annual Wage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Data_Prep!$D$3:$D$12</c:f>
              <c:strCache>
                <c:ptCount val="10"/>
                <c:pt idx="0">
                  <c:v>Information</c:v>
                </c:pt>
                <c:pt idx="1">
                  <c:v>Finance</c:v>
                </c:pt>
                <c:pt idx="2">
                  <c:v>Business Services</c:v>
                </c:pt>
                <c:pt idx="3">
                  <c:v>Manufacturing</c:v>
                </c:pt>
                <c:pt idx="4">
                  <c:v>Construction</c:v>
                </c:pt>
                <c:pt idx="5">
                  <c:v>Natural Resources</c:v>
                </c:pt>
                <c:pt idx="6">
                  <c:v>Education &amp; Health</c:v>
                </c:pt>
                <c:pt idx="7">
                  <c:v>Trade &amp; Transportation</c:v>
                </c:pt>
                <c:pt idx="8">
                  <c:v>Other Services</c:v>
                </c:pt>
                <c:pt idx="9">
                  <c:v>Leisure &amp; Hospitality</c:v>
                </c:pt>
              </c:strCache>
            </c:strRef>
          </c:cat>
          <c:val>
            <c:numRef>
              <c:f>Data_Prep!$E$3:$E$12</c:f>
              <c:numCache>
                <c:formatCode>[$$-409]#,##0</c:formatCode>
                <c:ptCount val="10"/>
                <c:pt idx="0">
                  <c:v>93586.333333333328</c:v>
                </c:pt>
                <c:pt idx="1">
                  <c:v>90040.666666666672</c:v>
                </c:pt>
                <c:pt idx="2">
                  <c:v>74713.0625</c:v>
                </c:pt>
                <c:pt idx="3">
                  <c:v>68427.875</c:v>
                </c:pt>
                <c:pt idx="4">
                  <c:v>63896.895833333336</c:v>
                </c:pt>
                <c:pt idx="5">
                  <c:v>55605.9375</c:v>
                </c:pt>
                <c:pt idx="6">
                  <c:v>53607.208333333336</c:v>
                </c:pt>
                <c:pt idx="7">
                  <c:v>49366.8125</c:v>
                </c:pt>
                <c:pt idx="8">
                  <c:v>40790.1875</c:v>
                </c:pt>
                <c:pt idx="9">
                  <c:v>23286.416666666668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31-48B7-8320-2E3212D9C089}"/>
            </c:ext>
          </c:extLst>
        </c:ser>
        <c:ser>
          <c:idx val="1"/>
          <c:order val="1"/>
          <c:tx>
            <c:strRef>
              <c:f>Data_Prep!$F$2</c:f>
              <c:strCache>
                <c:ptCount val="1"/>
                <c:pt idx="0">
                  <c:v>Selection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Data_Prep!$D$3:$D$12</c:f>
              <c:strCache>
                <c:ptCount val="10"/>
                <c:pt idx="0">
                  <c:v>Information</c:v>
                </c:pt>
                <c:pt idx="1">
                  <c:v>Finance</c:v>
                </c:pt>
                <c:pt idx="2">
                  <c:v>Business Services</c:v>
                </c:pt>
                <c:pt idx="3">
                  <c:v>Manufacturing</c:v>
                </c:pt>
                <c:pt idx="4">
                  <c:v>Construction</c:v>
                </c:pt>
                <c:pt idx="5">
                  <c:v>Natural Resources</c:v>
                </c:pt>
                <c:pt idx="6">
                  <c:v>Education &amp; Health</c:v>
                </c:pt>
                <c:pt idx="7">
                  <c:v>Trade &amp; Transportation</c:v>
                </c:pt>
                <c:pt idx="8">
                  <c:v>Other Services</c:v>
                </c:pt>
                <c:pt idx="9">
                  <c:v>Leisure &amp; Hospitality</c:v>
                </c:pt>
              </c:strCache>
            </c:strRef>
          </c:cat>
          <c:val>
            <c:numRef>
              <c:f>Data_Prep!$F$3:$F$12</c:f>
              <c:numCache>
                <c:formatCode>[$$-409]#,##0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68427.875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90-4F45-8D55-AA2965A63D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892736463"/>
        <c:axId val="572166351"/>
      </c:barChart>
      <c:catAx>
        <c:axId val="892736463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166351"/>
        <c:crosses val="autoZero"/>
        <c:auto val="1"/>
        <c:lblAlgn val="ctr"/>
        <c:lblOffset val="100"/>
        <c:noMultiLvlLbl val="0"/>
      </c:catAx>
      <c:valAx>
        <c:axId val="572166351"/>
        <c:scaling>
          <c:orientation val="minMax"/>
        </c:scaling>
        <c:delete val="0"/>
        <c:axPos val="t"/>
        <c:numFmt formatCode="[$$-409]#,##0,\k" sourceLinked="0"/>
        <c:majorTickMark val="out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736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Employee by Industry</a:t>
            </a:r>
          </a:p>
        </c:rich>
      </c:tx>
      <c:layout>
        <c:manualLayout>
          <c:xMode val="edge"/>
          <c:yMode val="edge"/>
          <c:x val="0.1735522674469317"/>
          <c:y val="1.42450142450142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6710098737657778E-2"/>
          <c:y val="0.216240157480315"/>
          <c:w val="0.39710817397825271"/>
          <c:h val="0.60429504735821071"/>
        </c:manualLayout>
      </c:layout>
      <c:doughnutChart>
        <c:varyColors val="1"/>
        <c:ser>
          <c:idx val="0"/>
          <c:order val="0"/>
          <c:tx>
            <c:strRef>
              <c:f>Data_Prep!$L$2</c:f>
              <c:strCache>
                <c:ptCount val="1"/>
                <c:pt idx="0">
                  <c:v>Total Employees</c:v>
                </c:pt>
              </c:strCache>
            </c:strRef>
          </c:tx>
          <c:dPt>
            <c:idx val="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27A-40A2-8741-65F6B84DA6D7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27A-40A2-8741-65F6B84DA6D7}"/>
              </c:ext>
            </c:extLst>
          </c:dPt>
          <c:dLbls>
            <c:dLbl>
              <c:idx val="1"/>
              <c:layout>
                <c:manualLayout>
                  <c:x val="3.2469015391202991E-2"/>
                  <c:y val="2.2540625044820219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27A-40A2-8741-65F6B84DA6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Data_Prep!$K$3:$K$4</c:f>
              <c:strCache>
                <c:ptCount val="2"/>
                <c:pt idx="0">
                  <c:v>Manufacturing</c:v>
                </c:pt>
                <c:pt idx="1">
                  <c:v>Others</c:v>
                </c:pt>
              </c:strCache>
            </c:strRef>
          </c:cat>
          <c:val>
            <c:numRef>
              <c:f>Data_Prep!$L$3:$L$4</c:f>
              <c:numCache>
                <c:formatCode>_ * #,##0_ ;_ * \-#,##0_ ;_ * "-"??_ ;_ @_ </c:formatCode>
                <c:ptCount val="2"/>
                <c:pt idx="0">
                  <c:v>12058694</c:v>
                </c:pt>
                <c:pt idx="1">
                  <c:v>104590645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7A-40A2-8741-65F6B84DA6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6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4753490972238742"/>
          <c:y val="0.35489882674922046"/>
          <c:w val="0.49639286025802659"/>
          <c:h val="0.241770980550508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>
                <a:solidFill>
                  <a:schemeClr val="tx1"/>
                </a:solidFill>
              </a:rPr>
              <a:t>Wage &amp; Employee Trends</a:t>
            </a:r>
          </a:p>
        </c:rich>
      </c:tx>
      <c:layout>
        <c:manualLayout>
          <c:xMode val="edge"/>
          <c:yMode val="edge"/>
          <c:x val="0.17556438752118012"/>
          <c:y val="2.36159996129516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01328947805572"/>
          <c:y val="0.21640964234309421"/>
          <c:w val="0.82111560939217731"/>
          <c:h val="0.74140519676717864"/>
        </c:manualLayout>
      </c:layout>
      <c:lineChart>
        <c:grouping val="standard"/>
        <c:varyColors val="0"/>
        <c:ser>
          <c:idx val="1"/>
          <c:order val="0"/>
          <c:tx>
            <c:strRef>
              <c:f>Data_Prep!$O$2</c:f>
              <c:strCache>
                <c:ptCount val="1"/>
                <c:pt idx="0">
                  <c:v>Avg Annual Wage</c:v>
                </c:pt>
              </c:strCache>
            </c:strRef>
          </c:tx>
          <c:spPr>
            <a:ln w="412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bg1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dLbls>
            <c:numFmt formatCode="\$\ #,##0,&quot;K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Data_Prep!$N$3:$N$6</c:f>
              <c:numCache>
                <c:formatCode>General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cat>
          <c:val>
            <c:numRef>
              <c:f>Data_Prep!$O$3:$O$6</c:f>
              <c:numCache>
                <c:formatCode>[$$-409]#,##0</c:formatCode>
                <c:ptCount val="4"/>
                <c:pt idx="0">
                  <c:v>62625.291666666664</c:v>
                </c:pt>
                <c:pt idx="1">
                  <c:v>64166.541666666664</c:v>
                </c:pt>
                <c:pt idx="2">
                  <c:v>65480.25</c:v>
                </c:pt>
                <c:pt idx="3">
                  <c:v>68427.875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97-41B3-8BE3-6EDCC74FDB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0314639"/>
        <c:axId val="572153871"/>
      </c:lineChart>
      <c:catAx>
        <c:axId val="9803146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72153871"/>
        <c:crosses val="autoZero"/>
        <c:auto val="1"/>
        <c:lblAlgn val="ctr"/>
        <c:lblOffset val="100"/>
        <c:noMultiLvlLbl val="0"/>
      </c:catAx>
      <c:valAx>
        <c:axId val="57215387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100" b="1">
                    <a:solidFill>
                      <a:sysClr val="windowText" lastClr="000000"/>
                    </a:solidFill>
                  </a:rPr>
                  <a:t>Avg Annual Wage</a:t>
                </a:r>
              </a:p>
            </c:rich>
          </c:tx>
          <c:layout>
            <c:manualLayout>
              <c:xMode val="edge"/>
              <c:yMode val="edge"/>
              <c:x val="6.4651974947405641E-2"/>
              <c:y val="0.1687504863452354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;;;" sourceLinked="0"/>
        <c:majorTickMark val="none"/>
        <c:minorTickMark val="none"/>
        <c:tickLblPos val="nextTo"/>
        <c:spPr>
          <a:noFill/>
          <a:ln w="12700">
            <a:solidFill>
              <a:srgbClr val="C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3146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775270648764779"/>
          <c:y val="4.9871523006461742E-2"/>
          <c:w val="0.82155677216104239"/>
          <c:h val="0.79310628343297396"/>
        </c:manualLayout>
      </c:layout>
      <c:barChart>
        <c:barDir val="col"/>
        <c:grouping val="clustered"/>
        <c:varyColors val="0"/>
        <c:ser>
          <c:idx val="2"/>
          <c:order val="0"/>
          <c:tx>
            <c:strRef>
              <c:f>Data_Prep!$P$2</c:f>
              <c:strCache>
                <c:ptCount val="1"/>
                <c:pt idx="0">
                  <c:v>Total Employee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\ #,##0.0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Data_Prep!$N$3:$N$6</c:f>
              <c:numCache>
                <c:formatCode>General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cat>
          <c:val>
            <c:numRef>
              <c:f>Data_Prep!$P$3:$P$6</c:f>
              <c:numCache>
                <c:formatCode>_ * #,##0_ ;_ * \-#,##0_ ;_ * "-"??_ ;_ @_ </c:formatCode>
                <c:ptCount val="4"/>
                <c:pt idx="0">
                  <c:v>12378010</c:v>
                </c:pt>
                <c:pt idx="1">
                  <c:v>12619732</c:v>
                </c:pt>
                <c:pt idx="2">
                  <c:v>12747753</c:v>
                </c:pt>
                <c:pt idx="3">
                  <c:v>12058694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A3-4795-A762-C16AB90B344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980314639"/>
        <c:axId val="572153871"/>
      </c:barChart>
      <c:catAx>
        <c:axId val="9803146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153871"/>
        <c:crosses val="autoZero"/>
        <c:auto val="1"/>
        <c:lblAlgn val="ctr"/>
        <c:lblOffset val="100"/>
        <c:noMultiLvlLbl val="0"/>
      </c:catAx>
      <c:valAx>
        <c:axId val="572153871"/>
        <c:scaling>
          <c:orientation val="minMax"/>
          <c:max val="30000000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100" b="1">
                    <a:solidFill>
                      <a:sysClr val="windowText" lastClr="000000"/>
                    </a:solidFill>
                  </a:rPr>
                  <a:t>Total Employee</a:t>
                </a:r>
              </a:p>
            </c:rich>
          </c:tx>
          <c:layout>
            <c:manualLayout>
              <c:xMode val="edge"/>
              <c:yMode val="edge"/>
              <c:x val="3.5544498546993888E-2"/>
              <c:y val="0.163264002377061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;;;" sourceLinked="0"/>
        <c:majorTickMark val="none"/>
        <c:minorTickMark val="none"/>
        <c:tickLblPos val="nextTo"/>
        <c:spPr>
          <a:noFill/>
          <a:ln w="12700">
            <a:solidFill>
              <a:srgbClr val="C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3146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</cx:f>
        <cx:nf>_xlchart.v5.0</cx:nf>
      </cx:strDim>
      <cx:numDim type="colorVal">
        <cx:f>_xlchart.v5.3</cx:f>
        <cx:nf>_xlchart.v5.2</cx:nf>
      </cx:numDim>
    </cx:data>
  </cx:chartData>
  <cx:chart>
    <cx:title pos="t" align="ctr" overlay="0">
      <cx:tx>
        <cx:txData>
          <cx:v>Comparison by State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1" i="0" u="none" strike="noStrike" baseline="0">
              <a:solidFill>
                <a:schemeClr val="tx1"/>
              </a:solidFill>
              <a:latin typeface="Aptos Narrow" panose="02110004020202020204"/>
            </a:rPr>
            <a:t>Comparison by State</a:t>
          </a:r>
        </a:p>
      </cx:txPr>
    </cx:title>
    <cx:plotArea>
      <cx:plotAreaRegion>
        <cx:series layoutId="regionMap" uniqueId="{00000005-9450-4377-B4D7-4FB8C370BCCE}">
          <cx:tx>
            <cx:txData>
              <cx:f>_xlchart.v5.2</cx:f>
              <cx:v>Employee Per 1000 Capita</cx:v>
            </cx:txData>
          </cx:tx>
          <cx:dataId val="0"/>
          <cx:layoutPr>
            <cx:regionLabelLayout val="none"/>
            <cx:geography viewedRegionType="dataOnly" cultureLanguage="en-US" cultureRegion="IN" attribution="Powered by Bing">
              <cx:geoCache provider="{E9337A44-BEBE-4D9F-B70C-5C5E7DAFC167}">
                <cx:binary>1H1pb9vKsu1fCfL50Zs9sIeLuy+wm9RkWYrHTF8IxXY4Ncfm/OtfKR5i89gnvjh+D5B2gA2baqvY
i121alV167+v+/+61re76kOf6sz813X/98ewrov/+usvcx3epjtzlEbXVW7yn/XRdZ7+lf/8GV3f
/nVT7booC/7CNqJ/XYe7qr7tP/7Pf8NfC27zk/x6V0d5dtbcVsP5rWl0bf7NtRcvfdjdpFHmRaau
ousa/f3xqt6FHz/cZnVUD5dDcfv3x2fv+Pjhr+nf+ZfP/KDBrLq5gbFEHhFMOGfYsX+98McPOs+C
+8sWQuiIcYExZuzhU7e7FEb+yY5fVuxubqpbY+Amfv3/YdQzi+GXlx8/XOdNVu9nKYAJg19lUX17
8+Gi3tW35uOHyOTu3RvcfG/21cWv+/zr+Tz/z39PfgF3PvnNEyim0/SnS/+CxD9692OX7h6m5R3A
wEecMQqTzZ+jINiRoDYh2Mby7vXwoXdYvMGSl+F4HDhB5J+Tg0TEzbPs9rqOrpv6YYL+c1QoOnK4
gxxC7pcIeg4OB9SIwAJh5+FD71B5ozUvI/Ns8AQd90DXSxWNefae64UeYUkwTD29WxWTZfPLeTHq
SOawX84NkLtznPfL5s8GvQzOPw8DJ8D88/0gl80/VbLLzA787LuFFXokpBQ2Qc4dMuL5mpH4iBKJ
HMcRd2FnsnTeYtFr0DzcyxSb84PExt3p6GdeZdF7rht+hB3KmETybvYnHg0hecQQxxxR9FK4eZtN
L+PzdOwEIfefg0To8haCjjG3t++4fByI9xDqbXG/PCasDPgAoQTvMXoE8Klje5NJL+PzZOgEnsvt
QcLj3epdt6veEx15ZNsCKDO5d27yuXPjzhFlglGCwAfuXxPn9haLXgbn98gJNt7sILFxc51Xu5v8
HVeOOIK44zg2/b0ynuUztnPkUC4IIw8f+kDW/mzKy6D8vokJKO6ngwTly62pP3yOqiB636AjjiC1
cTjw5LtVMSFrwoaYQziRNrrzaROA3mzWyyhNhk+g+vL5IKGawzMb3bwjM8DiyJGOg9h93JcT1yaA
twlOKBbkRZDeYNDL8DwOnAAzP8xEdJtXdfjB3VW5jt414wHvRSThDrFfXERcHiHhEMHYXcJjT0Sb
t9v1MkzT8RO0tu5BLqPFbQ7e7h2XEcHg60ASoPLel00ItiBHlFLCqX3P7ya+7g0GvYzP48AJMIvD
pNbb2+7D5raPrt+TIdAjiiHQIHq/RGDunzMEdoRsAXFIAGpPWfXbrHkZmKdjJ9hsNwe5aFY3u/Ad
YaH0iAhpc/yQck4UA4ToEXPA9Ql7Qqf/aMjLiNwPm4Cx8g4SjO3tj2pnknd0YXvVEwSAfWngLtJP
UlApjwQCuCAJurs+jTRvsOhlYH7fywSb7WEmOSsNHCCPzIMzeQdF2j5CsE4gibnXPacsDVgAFYw4
4neC+tSRvcWil7H5PXKCzeqQeZq3S/L6PdcOh/DOCAQQcsfSJvgAKQCFYK9cP9Dsh2fjLhe9Y1l/
tupljJ6PnuC0PUz/tspuot27Eml5BOqnpOJBgJ6wAFDYoKzAJYB0596mQefPBr2MzuOdTIBZHaa6
tsq791w4+MjmlDmc0sf08ik3k+RoH20Ysu+vT4LOn6x5BZJf9zDF45+DJALr9y7kCEj4KceS8ztE
0HO2LAXQNhtBpec+1ICq8zTU/NmelzF5GDdBZX1xmKjAlDTXyfAwN/85BSB8T8+wYM69mjahy8IB
/8U5J+heqJn4r/UbLHoFmceRU2y+HSQ2J3kTmXcOLvaRBHJss0cZbbJoEFRHETTViHsVhz48GHfx
/00mvYzOk6ETeE4O06FtdlF2+zA9//m6oQ5UzqDHxnnir55GGCaPMKifFMLQHXWbQPNHc16G5X7Y
BJLNYSY0m1016F12836oEKjagDsDTJ4vFM6OuA31AiLv0QCW9jS6vMWS1wB5uIcpJodJkDc7Y3bX
YWNu6/o9M018BDVmwm1576kmYYZDd6DtQGeamMT9N9vzGjzPbmeK0YG6sug6jIJd9vAMv4M3gzYb
TrmEotqdt5rAAyyAQ6UA0pj76xO+vHmDRa8A9Dhyis3qIFnAJto3cbyvCrBv0pAI+pzuRf4pdaZH
SEIdDWSAhyfiLvy/yZbXYHm8jSkuh5lfbiJj9v+KInqYpP982UB5BhpnBH+UxyZhR0D7k8Mw9BDc
J///smzeZNRrED0ZPAXpMNObPUh5U70nQpBWMg7aDL0voE3VZ6hDQ3LD0YOCNklv3mLR6/Dc3csU
m8Ps5tjkWf2uyhnlRxDvHSShevnrBZzsKYNGNqwe6iDMyJQ7/9mUVzB5GDiF5PIgY81F3kBzwJ/l
3f/dTg4ooFECmYvDIdzvX5P+mr3ojIkNEYlNcHmrPS+D83z0BKGLw2TT29t2955tNftdNg6jkHW+
TKMRYhBxoG+D3zd8AlV4muf82Z6XsXkYN0Fl+/kg182+hr7cpYUJo/ds56TkiAkHpJqHSubEoUGO
A2uKYUiB7hzehK692azXMHp2V1OolgcL1fFtZW6Hhwf5P2dtFKqe0JUhHfIyJ+DQIACUDnbi3fk/
OXFze5z+bNPrID2MnSJ0fLAIfcur5B3xwUcg1GC636b2EjGAtmjg1DastHsxZ8Kq9/j8yaLX0bkb
OcXm20Fi8ymM3rOzBorNsNMGCNvLwQd6OuEKdN7S+xIP+L+nwedP1ryMyd2oCR6fDtObfUo09Dq9
605P6OMUBJoE7ptn7Kk2AOUd6EGz7QcyBxnqM0zeYNEruDyOnGKzPsy1Ut0G+XtKagS8mIDtG4Td
h5FJeoPtI9i1hmzYRTDB5I+WvILI/bgpHucHiccp7IYyg25377p5AGK/kLBh7V5Js6frhfMjQYTY
V6nvUAMh9Ol6eatVLyP0fPQEp9PDFKPPQ9hI/2Fl3reQA12DDAssnfudT3IiSO+5NIIcZ78p99dr
EmveatXLOD0fPcHpfHWQ6+kuvf5/sJMA/JwNdTWM7tn0JOuB7ThCQn867KG+Q2rC1t5u18tYTcdP
0LpwDxKty9v+XbdRI+gTJIICCneUekoTQFcAug1u73cXyFO390dzXsbmftgEksuvBwnJ59sqBf3w
IR68Qx5KoUnNwfDfZMnAQRCMYSYZbB749ZqI0m+w5GU8HgdOEPl8eZiIvP/eQqDLCAsJNYO7mZ+G
Hdh7CNzBgf0Fd9cnYectux1fgebxXqbYHCYt+LIDdS0L6nel1NAOjRCBrZ+vKNO/KDVsmHqo9oCX
e+rF3mbTy/g8HTtB6MuBIhSZ6zwz0XvmPKCcgctyCLtnz5BtPi3pQD2UQ5RxYPvNo7LzDKC3mPQK
Pr+HTuE5TL72ZcjhvK7g4Ql+h3ADspqUDDba3NfbJqVQ2IQDCSmC4oJ9j97DZ991E7zBoFegebiT
KTDfDiLqXP/bA8XuHt87dJ69839/fhq0P0HDOvRIvSR6wjYp6I6G0wYeOtgmovTknLPXzXoZo8nw
Z3fy/+kQtdcPWHs8d87b1bvZrwPrnpyx9u+v/rpdOEJvMvQ+Lry4qu7mbnXz90cM59bAKnk8CG//
R55FlH/psHky6nZn6r8/WuDzqCCw09qhkkDJdL+TuoOTEeCShONz9nsVQSQC6BF0inz8kO03fP/9
kQIhF3T/PDgYtHAIeR8/mH25Fy7Bnl/YTuJI6MiGxhP4y4/nBJ7megAR63FG7n/+kDXpaR5ltfn7
I0L7LqHi7o17ax1bItgLiSGoQn8ksjGy4fr17hycz/79/4eEiUxrmtnrzLbysGxc2PFqeT3K/GVU
o76YJZTUuRpIW1Tz3oJO8RkranLb95oblY5RpopmMJt+8KnMVUni8Us/ako/I6lJ4nUG/QgEDq7S
vuFuFDDnS0tpvSntoD4dO2n58yiPnUDlocU3QQcX3Zb1slhYcZgsqzrO1jzux2XaO2e6qskPq6P+
sLZN2QtFGa5P2ljS7IokfsNPzFiOttto1jWpoilpbuJxqFSGTe/6LLeVjIv5OJjOGxMzeKSyiRty
0nzrYqcLe9W0qbVJSOSMqqxSXswTwPYi8HXKXIKzPJkV2o+uUDiUKgi7bHSrKG7ZCjRac8OrvLxg
tMErw+twgfv4RpdymEU8ilxjl1Gs2hbjRYyjyyEhySmLuR8v4S1kM/DYT726J9GyzkhdqQrqwLMa
Wbs+ob0Sdpx2q8pwyx0zSWalxLJ3WxG23hjy0pmN1DLnyNbOppVOP0N1w9GqkbLM1/Uo/c9jKvhF
wR3/sqoHLFaVXxPLi03h6LU21JQur/z4a9tV4cwimLsJ4xzmoGhV2fTZMZO5XtcFh7ls0i5SmBnf
VskwdOu6qQPhWkERznjExvMyC2hkL/wgrZYJYomCExs7hetuOcTdmHlcDG3oUr+M52Lw/SXNU/y1
GMmQqtFY46XUXFNVBx2PltSyhQbiLZrsKthvVbBnTUZxb826WktjFriJB9uswsDJUpXG2onQLjBj
FQByGinH0XKWGurisqDb0fG7WW/72YzJDK2idjwXoc9mMqTaTZK8i93IqQJF8zJ1QyZrVTW1EUqP
FomUcXA306PfulUvCpVZ/DLpHS918Cpoqo0ziFiN3ah4lG9pOZZu4yQL2qf+MU+yecYSc2VZ4VlP
EFcVfMw8GPtape3wDdndOOc88ud+O1zYOjarsgrD2cjK+KRMLXtVODSZ136Jj6WV1SoxyMyMFcYq
pX10TBudzzuRR2tLD+PKLmFpYqbxlRzw96wW1C1RwFUc1pZL67id5xmv62M4rDBemaj7UeWVPq4i
GqxLxhtvHFN7VhXDIreka2jRzOlYwPxYpRelVuYGpSUtVaA4dIMwvHXG8ivvUayknxeKlfaoJK0S
4dpUdJ5shuAkc/pMmWgoFmU8XtSRZRTKI6Ra7PgurWJ0CtbH69gZrEr5fV2sECHNbaGLwRMhgcmB
xbYsi9ZLeEFUFoz1Mi/LVdY5FyXR54mITkbkL2TV2G6Mx8uI1YvcNvKYB925kdEqG1PsCXuYBTHM
fsBCV7T0ypTlQgz9JsZWr6TT9POq0PWs9UejAp9+ZmSMVJelxkOpvtXUrhTOOubFOmwuIivbiBIh
V9bMqLJ2wAlGYkOLtFJx2vfKhv0bCoROemY3YTZL+ypzuWw7eLYKgzLAgy2wSY1rhbJZikpfj3yI
VIlteczAXR43FfFV75N4G8o6XjaChB6sCnQWhOVZG5uZJeCm4LjEbS9ovNN7b5Y0Pi+UiI21LgpM
zyNcsuO8qEMXAKvmRV/Ib7wMv9qWaZXG/c+wTtEy4KZxTVRqxZAYXMfy5XEzRGRmwK2f1aQrVDAy
uUpifu6z6qxra3sObkKs89jquGsSVn8Bv9J4uOV+qwpSx9sYN61b1km9sAGouZ2XzdYJnPCc9L3c
VL19PlZW7dE4/WYCjN1YNp+GPp1nZRmqPi64GjNzblgG3iUMld/Y8TwmCQHzcroLabRNSAjRofTd
PkFyEcX1pc4SNsfp6F90SbcprLJye1THV9yKr5xARkpb7c6M8isL8Ao3DoPnuCnmqda9CnE3N121
ylm8kDj2YRZLusUoKBedqK4zZ3BmTjWapV3jy8LnCTzASS68NNTt2ik7exsict7I4kSb8DNL8Kiw
Hmd2TgcFnnbGLPmdys64hDpusvelhSVOhSELE8X9eQ/Qpapog9IFNyq+J36AvmpHMK8iHJaaRX2F
ebvhQztry+QYDtyt505b4nXFYqHKtohK15d56CaDFgvdN+MqzOtlXcTHbeQni1rbkRtIq1BRa80h
mGl39CVXoqMyVTlt6DW1AC9V55bYDqNNz8KUWmrkVbnRTWS5Q9fmsyJ2wh9Fz6jb4eakj0qICZ2+
QrRdZn6+ke0IgTWWcoar+qIdzLaMeHrd9tlSiuFrzBM9a+F+WJ/kiQudaNG6HcgKVSma09AX2A0c
Z9z2DtWtcvyy8JoxRGsncoL5YJFBmSYg3/y8Kc6JjZJMWVWdFTORgGdqU5KdBlZrEpVXIXNriGtF
1GXLIXdiD1TqYp41RXOCg8x3I4yLpWzsSPnEugqtbh+eu8DLmVSWcLYdHFzw2cp09skOirb36KBp
EKlhjJvzLLbESppkPO5bckV7u/hhVa0VLP00a5K5wztiFNGoqxSl+dAuIc7iWVvL69RqT1HII7em
XX1unOy0yyzLLRPrLB3C5lPSR19MRap507P8uBzZF2Govuyj5BhbqJ4huD0PZ7r8Du6VLjs0+Lt4
RNWsc/xqRXoLz+K8DRdMs0gJUSRumlC4WdN+k0FgZpktrE3QdsnnQtadkq0RP1njBF7jFFg5IdG7
XPDhgncWU0kjvpHEKdxUpPwz52PkWT6zXczD+DILMlv1nW0WkutUEdLnXk/3iwgAixXpSTIvRQQO
WYJ5QWXSWRrfFFXyY7Atfi5l1n4hpp3Zsgm32k4cb2ghZPO4QKkrooqG7lhUVBV2pddmHPNl3DQU
OEIWbBDWyzrxE9dyeDFrGpmfixSXAbjbsDmzSiKWI2flF2uUy7we+svWBHSOZCQjV45JdJLV9U2Z
iGvwznpeSia9pvKbqyhGa5YRuShkNXhOZ0Uzv2AQICLJvBqT1g2hdyhzrTzG24yQyM2xU57EyIwK
zu0eTlLayWWXo97jYXmtgxS5Ta8jdFoULboAB2n6GWmIForVXagXFIj4nKY0geBlrOxbySVZB2xw
5hq44Ge7q8jg5kKLXll0IBdpSNCPTDvsB42yUJVjHUjlh6WykAbC0MCcYwnOcnQE0OO0PebNaKmo
sb2M4E8+JCoE1m1WNf5xKLWXAvNwQxG1QeimPkq7cF01HZ8naRtcSAuIKNoA0XLTrP1cyXHFcHeT
+4wtyoKPXloX/azxA7bysxyrsXekgiC5ANSOnZjWSkZt4ek8j1VPm+9tTWsXj0WjssInnqNzX1V+
CfEvyZchzQo1+EWtCoH0ktSYqrCK2+PM7mZ+RbZxGJOriLJqoQsm1lGY5uu4DlM34fJiGMO5bsvq
vApburDRj0aHQJhiP5/FqX+FgipVusSeb1HisbAoPONUSrSxf1yxIZvxUi/HDJ67tOqNEhIjN7ey
wo1o6wndl+BOIkfBcRmtMmWrxJiE3ztZnzAg+HNbwBSnsrjq8yyfQXG5UE6UrjsWDV6MROpBqhLD
42FRrQJeQEzU+SrP6bnsUrpgAbnWWXOVF4PzyWLjWZ1CnoJrZ5j3XUbdqqi9gg6hIoVTbayqb+fV
aOHPuquMqnWaXvW1SV2MYwh1g0VVjCpLkVy7cehYicJxnp8k6XiVlkU/zw1wuij3o5ukQh7q+Xg2
RvCU95qpwaapYr3wrzjSJ2XY0G1FZe02ZfYTyK9RSWhmKB5zN7QSDJC2n/rQhPNRN+lVRePI07QJ
5iXN5IxSIDu4FI4arFhvkgCcy9Al6VzaTrllwv9hmyrwZNKzRdgl/Vk5cGsuDUPuoDmwHlTIT3YR
b7N+aLbYzt00Lzt3NFWiQmoPWxzLYwu2lLsjy4nL27ZVsMWpOxGE3+SQb2hkfcNi3AUFW3BkmhNI
cweYjGTe6XHli6SdjZa10OFPS5SNQszYJ8jExbJMqtMyIuusD8E9hqVwmzay50UB6W2LK7IgdbvA
uYMUieM1nN4BATS2j+1EXDk8JIpE467nzbXfBD/yPIHnJydnTb3huX+Vt2OtIJ0KvlsWbt2G6lUd
jaMbEH4ySvFVFLlXSZkvEgiOCgei2Po+jpWV2eiE0uIs7oCdWSa23boZTaQSEdjbxM87oGfWacPK
Vqgk7UcICbEPtwuRoFS2VYTzQQizquAJ/j5U4S1JOnhG/G5QIcGmUh3VdatCJ/2m8zjNZ1GE0i2E
LDqqPicaCF5ecQ+HVXbW1bhetlZfunbMkkUcWUHlFriyQzdP6uIb7lDk9l3rQJJTlFddI/SqbcN2
Baw6WUkeZgsqMzovhjFYd3bD5lXWXA7VGKgyl5+kaOLTLLLQTycyzXoMI3ZcEFEtsR6S4yb3h7nT
0eqSZkPuiQrvIIePN0lGIcEP7E/jGLRua/LghPScuA2ct75B0EkwK8e+X5C8F17cQrbUcmrNa9gT
51VRAAQgyxZtRqgX9BYkVWUQK/gyhcADbcNSGbE/BbQRLitiMsOh9j8xVLMl18MPkTZSpZjveKBh
xoDUbrJGZ8sqHlZO1Y6q6totSnOgFSbkEIvld2gQjrwSDkj04jRslVU4GdCgavS6BP68kZ3bwNoJ
WA90D7L+OcVxBsoAdvO+j+dhbusV8MYVT7PY1Tpt5+CunBl48wGgd7KZTqJFHBafIJkS501s0QWk
wqC4kD7+1iZSApOmdrKBUA1RqINsYTsYuc5MJlSRxNTDPndUk6Su1UL6kSNcrvlgbMUCHS1NQpFb
VUWsktrY6zop62OTk5/l2GwGqSu1zy3wGG0RePdZPwbpaVwBjHnCVCwTPENad67VWUixPKq9pBTW
uqPxaYRTrJI83QSMf86FNAvg16XbF/D4m76fZ8heBB3oHbp2IJdxwmHeJBH8KdFgFcH3QIx5ccby
ejMUQ6yqwffGgMxAZYA8C5PMTa00U10dwu1pkGuIce2wB6/s2P4yzHU1G5PCAdIyHHewUt3G176y
mxp8pIMqDwjgj5bHPyLurAQtT/s671eRGbAHKeQaXPTnwm+zOW36GaRa8CSjgbt1azoFq8HejqjB
C9F3IKOMEHRpTVZVgc6H2FqJuJmNLUvcskSZhERnzL6U1ALZpOs6MccaXYLvPMdDMMAdtfUsYR1k
XqJzgwrSwdqy1TgWqgFFwEN+1B2HcHaqcmj2I6tzeRYHFgApnEXZlaHHejJewUH4p3yUtdcXCHvE
2PPaOFzRqoqZC0TZ8pjmg4IEJ75M/fBWoHJrRrxOBNsRhOcFfDEIShdNLX5W7VBAmhsNswyNsWtS
6ZVx5qK4iL2xbH8WdZW42kq+h6UVzkqKIcksLDfBeQ6iigCtZIxl4GUZaAEhGoG2xP73OI9PqxAc
tGuaivVuYVP+KW1afGwBpy9UH2isuhaS8rYcKngTRPKiTVIl7aKcZabPKi+suepKti5StK5sx2Vx
nwIRS3QzBxUnOIaQ5ahkRLyECD2UzYmVj9WCGqyl4oxWq0iX/qkAr1ar3KDKSYEal6FQPTDy+tKi
LDXzVBhrmFdW0lUuQSFIbQxyhAHcB26ieQybaEqsMpgjxy9Ac2iswT5puKA/TNLzpD7xkTSgWKin
31LyTOW9Bk4A7im8/0KYxx//5zJP4d+vry35/cv998n8/gkOedyXdsz0TXsl/vFdv7/6ZK9+P34P
ykRPP//1pTSviO3/9uLblHgkHSjmvi7ET8/53yvbd2N+y/DQK8ZsaMYERXgvuv+W4aFqiaDbgmEK
Si5I6lBauZfhCYP2WSYxHOJgQ91sr7U/yPCEQEEGzkiV0C3ApYBDOv83MrwjJio8NObAP2I7HEGP
NVgKRjxV4cuoxLTADV05WgDfcKx2W2VAM0Y/7I91UDrLETIOSAS6brhxcsNPnIRCtgMtP915njc2
rP/C2oFwam8SqEVsx8wnlyyOIbaxgmVeYCjfgkxhwOe00WVqHL1IgNes0oCh73nhi5mOeXwsMJvV
gyl/tCaOl70lqkhFcddXkHUX47VdJJYbAeHHrt8n+KIykJZKSJHXPid60eyT3r7ONrmDIc/SoGhb
EOOOETjCVRalKfBrixEPWwE/Tsum0MrX/ae8EHpRaCFPBhO0MSzAHp/1ViO3PErsDRoiezOQwWpV
m5NyDgcO6gXKcfB1n89tkZWcop41Gx+jy9EGVoCYDylGSUGktMuC/CQDsOcuHZgrUJtht0qr+lQO
iCoUczIDNQY4f6WjZuFou7jpOvgQUpFElVGlF1mTJ1cljVmpek3jRZH28VKauvY62qWezQfk1gg3
X3IR+Z/qJuzO6jwar+XQDV8h0SJnQSKGJRniastI3J9BKShybYyjeek7zdruWfkDKhW912YBnxet
boGwJnAbAWiINMn0ss06rMqENjeWJCqqnMElsljjLFhR34IULNKgxdt5BlmNv0mTIl1ZwlrphCde
UObjF9pW5aIsW+dnIONcmbiO1jWj3QJq+f4Kp2F6ikY+4rm04uQ4HIxvzQjoHGtIPOLPwRDtNUOW
zuKIFceQEHcXRduVl9Kn0Wa0mb3pjN23CvTK6ItfU3MSN7a+oDktFikccSvBF+f20oGaEfAGTcjZ
OPBoEwR0nA+caw0kSPDzLCpQq7K6FPBNVqQ9YV1kn8oKnpU8qJnvxiPV103fAylmTC+HviFrVhd6
kRYs+tYIHn0tixBts6BwzlKhx2UfDv3WBh6zxp2TL6smDz7VNDeX8Uik26dGr1KrWRWZ3/lKZo7Y
Qp0Af8tg++OmDGiyipAulnGsITFKE6PnHQ2dT7ro1jjsKDyOZbW07HrWhAF84VYD+rIaQIqcYQie
u5J0t07Zp6tggCpKOqTOKi99OueiEN7AM/yZ0OR66EgRQPWE4m9cZJd5S8bPxoD4PtqZfZaHjGWq
D33r2LGMHSpoOweZsQVS4oJAU+6MX8WnPEhAuYU9NfI68kW4yFoYFIyRvgL5JXVbYlUzGyLkOg4A
xA5kixWDGpknqE4vODH1D6hUtpWqE3QJTT2rAHegGXflIssEgwQLqKaKdJycEYT0uePrJRu6+pj5
Y7aiSZp7pmgS1YCz/AacI1pxJ/XnoB6XHjd1r/ysj88LY9PbsS9zlyRQOBjDIVFx4SRfuW31Vzwr
rLMCp7kLgHJbVWGCvZKh4hQSXsjYWLkuq1bErpRzp47ThW86ewO93HpR6rPW99uvlt/lXsIIOovt
gCwzyA2Nqzu73WZ2W10TUIH2xNfr7J4vctT1M1CbGmsG5T/xtebD/2Xuy5rjxrEufxEnCC4g8TIP
zE27JWspWy8Iya4CwA0LF5D49d+hpZ4uq3rs6IeJGEdFZUjKTJIgcHHvWS6tAdIUWuD9xaoPfVjF
pzDo5hQtI0iAdc2LnZsXynZl5DXYgRVMVBiGKuhpKveMzY8irBkyyoYB83DCIswNqq2YcfGlMNZc
rz2PD4REX+qkcWUlREgPqgUAiwgQ75jrKXIl9UdT+vi8jYf4oOPabiWrfm2pDJdcS3aXdyU9H4Z8
AVsmovFOjVGzL4p+l/dmeAGjuJzqOC9v44F24850aXwzlzrelbwLLeCxlh66VLMnhl3jJmRS/uHK
TF11YX5mAUUNdsSwW+thvgFipjCVfH011LTfjWvErropc7eAVex1HXv7FHHV3gxNZw6aDAL4Guqc
kEhzyAeb/tH4LjmjI67S8VIfkW4nf4ZCTNc+Z+YlS+22uUwh+yK7Vj2OCZlBP6iGHYEeixNAxOag
V4EUn3B5S4hCEGdZXgEgX+7jCUPfyzzs13U0h2FJykt00gbKu7RafkqL2mOiEb9jUZZb3NkpnFaR
TqdeLeN5w4J5bCd+UsTUh2bl4baZ0+xg5jkGCjXGSGanqM+qXCxHajVKuFkkF4yI5tnbBLR2Qstq
JthuFZb45cABJRekXHTVWMe+NpSqfdf7+EvLHT9DZJLnfEz2a0Lz24Ca7JuBj+rCjGV07MC9fCKq
b8/zDGw4zcRw166+fBS+5EcS2/heAoDA4QoOBH6N6DGVhbtxq33th7B+i8OE8D+5EaRVu2TitKSe
7ENaplUCFijv42QekYcqwFiT9nkXVaTfYO+uUfEd/EMOe39di4cpRyJS1ZNt1x0w0PHOCsBiWmJJ
V4spmgbYq/N9VfDS/sWcac7nViZVtvjoCuXbYS377nae++ZszKevuQOrj1gLLqec/PTajPRrruRL
zKe/ijZ8LfXyGVUDqpPgDY5nu3PXF+vBWfUAJNdcGFkUD7Npkqem9v23lNHlD8fxwbmnEaa6WlFd
XBiBq5gujAUuN55auiXo10i1ekGrkDRxflCJHrMDqk15tUBssZ/8MpW3drQr/TJQ/tekVsDFLahv
9jVaZWKO0RzmHdfxaVqR9Zw6afS1MjbSXw0CKHIvNgM644C3m1V0F2XUuP3g62SPJK+5JGLtQd2p
4isII8D0BRf1LV9ke1lI1JIPkwySn9rQtKHfLYMPGmTjmNffS7kM0WNu+ZIfiJx5X+lINfrcFird
91G8nhzT/XGmwx8DeM3KoRLaxyvu5CiyP4D8+zOqTLFbu3G6wTuXI6h0pJOtvACafjWxpBQAgzQq
H4FdJirm6Ay5yGMfZHuQNCkusINE9zJS4moBe74TPVlvZinsDfjq/CKALxil8i9Zw9YLx2hUDVk0
nQgwOsgCtnQrDckEIjV1l0qdNxwkPF33s+bjWdkCeEa1r04D/Gw7yEXuuiCHfW0jcR4yMZ5PnAON
7RJ1McbiigIo2MUFMVdg6Mf9Kgr7PKW03ZVLvp6UnVFhjQM7RCLmB6daffA8Mwt0JA02Mm6GXY7b
fDbFAB7HNulOKPTjv7KJI402jVGLqtBXh3ynZU/LP4Z46ovh25QVtskfuc2QcexAh6qu/X9TnqGp
0ttzQj/WZ38vz/73/39F3E/isX9pCH8IozIUNf/3Gu6DBu1vMqztc+91HKX/ixVpitauEMOhKdK/
6zj0F9vE22i3D3EUnkpWQjL1XsbBLZTCZgf13PvTFd+lVATt4tIEjlZGUDEwPKjsv6nhUoi//yak
2o5IwMvj4TNJgabMW0X4UwnXglzviW9ywCV8nEB+msxEmMFmVuEpzyfTvGSRywew2+uwZiCTllwu
IJJ4/Cp6l/URqKSlKS6YzNdp30DnYc8869rhus07E62VhtrEvObNWINoi5AB1+lOFEVG/iwWvU6f
W4lF+1KWueHf0i619EZQhfqn6ogacCoZ+IPukyTx6FEQtrlrTLVtB90VQfaDUxZdR9bLBBxq/RfU
ARqf+dst/Q96M3gbfxoj+O4T7MFoOL49Ng6tkX4eo4J0apJUln8iVetrezZ2WZudtdk8uOIsDGIE
nheUwbPs2pirhB9/ffhNvvfz8bduP2mSYevDncLJ/Hz8UKflAJRAfa8J5FegYHWap8ipWRJBjOQW
L9y4dxLRVIJti4IBOZul65BAFReoTy9GKvuNW9Y2deSG5aXF3359koAi/n6OBdripEDh4UKAw32b
lj+f4yJVBJg9jb5TEMpxshfImAp7bEuAhjF28ZHS5waxbITy+f8st9/fm+24GUOPXjzCN0Hg+3hc
AN260FFafhcr5hytkAi1wxeZcVSZla/VpD71HA87HispdZLQt7CIaAX95X84PMThHy67gEFpqwUz
wCNYQz9ftshnFcWLTL9HRVtYSDx8TPMXLKRoPNdBFe0NKAFNrtPGrtN9M8Qx0EK4EFoMyq8H4p9n
ggYqFII99FXdvG0fFJGykLyFpsx9z6jHkjuuhAYCSt/5acgOquQZfUYhmSS2GihafjzreJ0dO8xK
x8b/5q4AYvp5WPIElgYAU1srMXiFPsyGkaq4Xpuef+Ms9Lk7aWs6VB4R7wa2ntYSfEOy//X1kw+R
rNgcLngu4LZQUfahnvxwK1iokZ+P0atUruiiswWANhZEt2iJByxPvs5CtlMdwG9gsSxJMRC5iiGI
QhmOzbWPiOvvGTAF1+9trl3yuZtVP7z++jS3ePpv4WoGpAxtiLIYPaLwWF2slg+xZPK8dDFIndfF
jQ6TIJ6aGPcnXnyaR9Xi0jm6N0ljt0Uzer29KCOm39yffwwWmu6g13iKqgiK3X8id6VNBuBlVG+c
fIQYXiN6BV/Nazyu+WXKc8T9AfLA5qWr8x4R1UEeRvKzMqqjGQiTRLTdIv8q8aleBSiJsqUxuvtN
WCEfpzUcmDA2JdtjuHGHKf2wP6Em6A3rQ/qKWoVGgHLGwbTTLQQEyvQ7b1eLk4uKbsbf9Go7DeVd
E9bo3hvDz4FTt7XYdQEA22UnbT/yqgfOysEO53HUfqYdE8jloWdeEBKTqF5JfxEH1uJbG8W9tb9Z
pgQQ8E8TAA+uhJub0RimIDzTJf8QMTAzezv3s3kucoh7ctAEaOtiK86henU7wFkRQjtf36JnO2X4
G3QiCCeGcAjpoFwZU2qPk09/v4ayj1EcfcuQjECmTSDyxtr9MDtB3w6gTrR5Ng6ryB7SoSmz64TI
dL1Mh2nFcDA+t+Gpk8u6FtUkHfiZHQK+p5+FDTw6c11WhycXTQO9KRXdEgQw7l3LANzm2+3RQ8ow
hda5yOfPxtVNeAotbXxTxW27bVoKo48bpHsGhr1KQSWEpxLCRNy7NK9XvAwBMuxyb/IhHY6Qfm73
rlmEQoJhfxyelSICmY5arcZXaCQPOHMIH7fcYDR517ws0OdZcwR8ROb7LNVhvHKu4a4CNekSVHeC
d8uZQJEovvZlD1HlHM8Ek6woBfKM2fYaKcqvY8PHqInRL9D0ApaJrKDo9PNhaqR87QVhpn0OpIPK
oFqSuDBD5XWt2/N0sh6B4tdH/BiNQBJkUM9j34Y+Hkr6D0ccXDxI36X+axqmbTL6KdvCXzIUDTZv
OtucPvMa1ZGtIJobB3FdILBgnv76NLaHhf+0KFI8+j0psFdAhZTAevDhPEI6TxDn0u6py/puTKHk
A5nwp7bSIhrJZugJsJhCq1vIvgQijpG5FgdRjsmsK+irPTR3YyLsZctLer+kri0huPOEzp+BVUA+
aPOw6EtMImCRdZxxZaqMU7ItdhljHkJwgOzinNfNuK38GSr2T9uj6s1apY1Ll/n06yv+GNfgroB/
IdmuGleboib4ebdqKJe9t0PxOE99jCQ2dy5BEjuHbd5mSLKyMwmwD9N2aViKFzH+yGwjkPnbqphq
n/B7DrEdzjexKkC1rkySbiHShiEmR9vOZlCnkK8NVh330NGkFVnLDquzIBbL6NeXlHyIbCUyoBLb
JqIa7iCIoQ+h2qZ9F3TdJ4/lKFOsrdGI7QTGKJ22pftjHaNH0opzAz+0LXHEyi2kOGOx0USSII0n
KJPxK20bPPGpZXWRnSkPJZOt7Oo1veF2wbuUBP9LjkAx6HBsosKlR1O6Gez4iv0Cl/ubS/tQAeDS
4FxBuwAslTjPkO/9fLdGgONFO+n1MRXzFqlGZzG1QhuU/jbGZZP0QN+0DU9F0m/7Yxdpghuy0K4V
6yF00F2II0ujyT8iS3UYDl/UKWZfOgdEE+hGGKZY5luzRbcJYfNMJcYjrI3ISHBANfIYP6HGIhiK
TmQYinEsZDTu8naqsSQkpL/46W18tlC4PTDrV5n2hzVaIl1AdlUkeYmyE96bD2uU+JDRldroYe4K
jejwlt4mslzmZofKUor+d2Fh+8q/JUvbIeEnipMY2xLELh8Lr7jWyFrNUjwME8EMGVf0/1Yn7P0Y
n6w2mc4P3EcaNBht4cNwQMN4j5QFQQ+j5N3SjrcFHUpeH0HvlAgGWJDzZwf/J3aALsLCH5ceG9X7
bRMW1hgPvqzssVawirbbIZpluxFRrQhe2Fqz+XOsO40zyZsGexM05Fud+uvRhtHqHxe/bQIIEnj6
G7Kgj5UN0sEBINGyPki5Uqg6xqlJzY77mNc3NAmZWw9WOmrKiiUJq2XlAEHai7id0iWvDLKd6NKJ
LsqueQeyYGe9XsS3GJzbmedTRuFJ6HX7Pavb4D53mnbuxQfS+k/ZTOIl7Mu6Z5DQWuSPw3T0Pi/B
7lrJARbTLu7IFRBYwiCCcIzs6mWEELWCTsmGupL97CBsEkszYzHMwfm1rZYI2sr6CI3ilN3Tdlwz
sYsXAowVqlUvCUf+xoGnjRLUSrsrQutDQFmLqWjOF4DdU2UHU9PjzAoBGWYXLeHBU52oJwjSBN+n
GbD4HfhRpleofoCy7ZlKfANhdivO0Ol93IPO8yAkWB/HJ+KJTI4iGkoZHwwkPNnjms+iiR6Zjpfl
YYGrabyOhrGPPmPHKKbvuaPUPYZiFr2ujNZEDncMrrHmxBXQjWPQWdnpijU6TeSugOTelq+kq8v+
O+BZDS02pspq/2TT6H28a1q4zOqzkfc2L/eoA/KWnngXNfQG9reoaU4zNcnQyj9lCW8VRnkhUJRl
1yHVM6Y01NODkXcwNo80PvR9ZkwB7xRXst2cK40Vh3oWo5+voLEWSh151vkp/8z7JLXntM6kKI+Y
KxSUsZlDjG29HUrlWQXNPrXjXnIXoAfzYoikOnnVYbfZNcxDGb6Han/Kv+hogoPsHJPDR3znU6Qt
5GYyyLpYNQKeXuinNikKvEByu/0yUqrFC1qyZTgcIOTMvoYJtrD5oqbOiOSMLFFUAAyu82YqTktf
w8ICXdC87YtxHilcjkhzbCovC1/BA+8g62e5+LR6401xW/Oo9u2xaNIoMefNtLJy/kTrNFessoxt
mEThIMVqngrBeRQus6wdMFLRahGyrxG1rcwvo5S7or0iyoJJva1rX5f84GsEAnGAASjFuSNkbae0
zlEbJ4dYyFXZPYQGtSv3/RhHef8lEUmP48HexdjjJEprdw6lN0YWgmqFHWRHqNy+BOePlKWylm05
fSYHXP0OlHCf0mMt/TZiaTs2eIEab4zu+67YQn42w8FW7JgfNSZA6JFvnEbmOrzPvF2qHPOA4bN1
gX/YSwaOo7WSoMjsidpuDzGQvud/kHbZxrnPWA0sKZoih1sR9U0psz+tRUFjj04pZFo7X0IjBqtH
KfMJrj7YL+z0BLvjpHqMF3Rg+iRBjpHluqyL7ZQV7rQJ9xQzC0dI8Sf7CvZ/m2DURdudh+IPv2tZ
tw3NPBO8FVtsaT3OYUY3AFzj+/U4l6b2FYCbxO/yxWh6D90IZ+kO+nUAQJUpJMFYvM8e+KEYvrKo
o+3i+Lj+GIwJs8bt3nNclod8+ykd8gb8i3LR/ftQR29v/9cgv70PSEHSXBeJgS9xR/pIzq8NxAXK
nVSfrrhom4QFxxJJKlR8jwJcaFblbzdKh3nEVEPlPTlx3hO28rwijZxX+ol1k8YozUnX4i2JAcbm
doA5+MwgkVi3pFfAsodftoWI7St7G0FtsIIQ196uSSYKNdrO6J56crZO5Vadx2+39m16UN60GB+a
KXzikBftdvELXWHGPAritsPIDBZCB0WdjQv5GCKVTeMFrjTdhvdtIgUQTDhLXOT2LUS5AZ+DMTjF
7BpGuZ3624CCIwv4QbepzopDBHqrqc8D2KzFnEQMECk+eAVyb75itdiQjwEillc1F4l9JVT0mD5D
jowVF+9mJLufBmDZ2xcm8/aSzaLES9vH23LoQr6dfz9RuO4ep1a0Qh17UeJ7pU0JyHV4ZwsyXqZv
c0XVAxuL0/uQs3p2OJ1FpQ2+BDuAxsFroxrs8zMBOxc/InOry3kPRm3sIYUZBMfB81pqlExja4Bt
tgAMANngNsnpvNBiW84T9lf8rlkn2J2ODZJFiDVTNrSLPoOoI4a6qGUZBLEVH8CMnxNGJrxfjnbA
C5LGvL2B6Aj/XzsP3C6PPQFUZIHltzdzM3KAAt7VODqRQs9PtOcLqgC+hm3ug3qGG/O4pDZBhCmd
bCdopjpssd1hiXrOhvOcYatavsZ0qRFvBHwPDRzMb3ByPbZwMxwn2aLe/bZmA9QaZ6aWGI5T+mPN
WLg8MGAD9w0PT6kstR8foSGRnp6Nb5e+MDFgiFKzhAZX1Ag/5AcaYoIoN7psGz5YtrdZA7xqm+Jv
+Gk5NB4jAA3qdr2jUgleHCY43m8V0EcYRNoAXBmNvpqeQXyhVtpdp4Y4vIOuZKth53waMK/eQJZA
8tbx49Rbx+F+5TbgO8Ib9MZRlgM1tHCsAqLkpEHp23WonSAhaAFM5JddAzUDqMTMK4DwUEeNCJUp
5Sv2vAFa5M0YnNJt8CaVblBBMpUNsPi67QU+jmfy4Cq/eqRnkMV4PjinblhabyClnrDdXRcNT+l4
lwHGWiFC5jVo3SP18GANe0AXMOpXBUAg+pwJCFrhncFejZsfoizgqmjfbdtGBz8VRs0ljmDyvY1k
PWog0amKVTpf+ACZS3HXhMlH9w7JNFCFYOAleka8xfyKvAkYgTqLt2vgpode54jyckOpWoV8FZk1
67Q3z5St0pLXDCaM9oZSa1Z+zBI9jNFfXpF64QfsaGmbVwMs9TbalS0p3BMQSd+MD7GwtRA7nq+p
XD57OHFT+53NCsbArwMvAU2cHKR+HbTFSRiapwCDeqarCbsDJFsjIRo5ZVHkbCITZnlXs2Q345eg
h6vCg5la9u9X8nYvrYG3IN+hEfm6XdaPcNO28xb/2Cq2aILsf1u8aui2d/Q/0HteJ9vvchJHeAfE
zNsbeQp0ojugct+4DdVyg6UskC3ymzCuxMC744ttVbJu+8v7lEVOiUjE0G4bf3qD4LdwGgn4sldY
JSsC2W55O0lw5LrycQ/APlvhdEzOvYUuUiItCxscOIAnwgsEF4gW6BuA+Z3BmdbeALfczrxRYBqf
3w+UO4YtzWKqRPdvFVuv6lBAxNSbKbtr3gIWBMbbN9uSbGB01NoNhBwcdVm270Rn4XiSlk7R/aRy
g2sePVi8+UIlYkvjZLbgGMXcbqc1/VhwkW6wj1QQCm6L3CQbzbjv/bLNyYJD4KAgTB76rjvIusVq
PL4NCHDgLehBsr2lWNlAovpSJjBylL8Bvj4U9MByEB8wgxMENwhpP8LKcgSHALw6uZdaU5x1IcSC
1eA1wqyNsm0FtTAdYBRmZbdz/01193Nttx0ez2GDYAB9hfDEtY84q5sWHfmhAFT1FhprYMDb+INQ
afEsm1+V7R8AdKymGN1ZcCxAVvg/3cr6v3XK8CXECxyp5L/mSNwsWu+s4Vn2Cc6jbXYzOMvwMqka
d1hnsETlu/fg+Otz+RlCyGN0VMR/aPVPQYdjnic/nwuf0wTwbQ2LHlg1+qxy2PvtcRhgKjnAavH7
cf7nAdEbEMABhZcE4CL7gFk00sWk7WL+2S49NgrRYMc/L1bIOwBr/ljZv75AssF2/0YstivcOknn
eDZLmeBBrR+BzKWtM9GPLf38HjG8DBtov9J0zfPjkg3lfKwND+5u8pDW7rsJUsXnLIUJ9z4aQob9
6Ddn9PNMxxmhlNoeuAjBd44+SR9psZXFMLqvqf3cvi0qj7wOa3yZGo64rspZ4RbIbFqxMlmKzQGp
RSS3E6lNaqewmy0q+2MO9V0O3yxCy7pDqLd4O9YHJzeQIaGe3Pk3Psu8hdlfX8TH24gbl206czAm
MDuXH6En7Lt2RPOM+UYOzRaZwo9EyMCFPN3BLTRleED3r9bMfzpeDntGvP2jlH4AZwtodXGD4+nm
fdtb0LigrmKNyKoriMfFfwWt5ZADlVtjWCwM9BjL/hEOUs+BRM+qvnnblpAkb3cDjnOsi36w24bx
6wvceJy/TVNMCNBPGVYg9CgZEM0PeKZfw6JcyJuzoo9ck++KrivSZ+qwYP67UIevxgHwbI+Elhkq
fZhQfl7zHU+6dRJUnL2lInMOdATzKLEdXn59Ve9SjL9dGLBCHOrHg6tThBC0sv75aHEMXgaqxeHk
QhLL4ZDky6ZGmPC4q0n/NYQeHPpODwLYKvxvHA59Wo25gDHoErs1JDgCbkAD5OcqyYA9xLcdz4XQ
Zytyg1zfcPjZybLueALK6etgLSx3B1cnWW8PXTuFZNzFOqZDB4tfDqgNbj6iUwrV/g8+r6EoRtJP
vO+IXWAulTODZGaaqSLARGpINc5QaBSq27dRbXAr3hOUIsLHJGxyfpsKyNBLbBb0Rxh7KzUaGBJB
ecouQehGabilAX5OIiS0OilRJ/TJhDcgxaJTcZMO7ZbMRW8R0IAcxWqP4V+GYLgZ0FcjVP3gWK/2
1BRtPVX/gjwstk1ZvScyPzIoMGse4xtsuW3ihZ2BLKG2aGhyMKXGIbsGVcV8EYOtUGLXQruOegp4
flu3jynSXpbe0HVkmTmvaQxz6UU+zA44K2TYWx3G/DpAjy2bqQPsCgSmAMuwdYQpYXaLoIv3cVfB
No/985ZZZgp/EBamGvuQr+jooB/AN2yMFnLAOKE3ehxAIjwoA7RZQH6cQU5wlM4SUu86gqTzrxWl
51Be5HTxyTPJl3UsbwCbcXPXM1bDCFj3QxSjEkbgWMYdGmOBSz/0esW93fslCW6FVhHIBOzSISZ5
uVuzlfurBtYLmO1BR3uFapqVDryokuhCkMXt6F9p3DWr3PMMCXdfdUXfuS9oKFJGE9wydKPc3mOR
BR8u6FXZIW7Xx162FO609zwLwPeWJ67onYOXt6nR/sgG+6JtULI5BkWMqWYX044gkgmNzkxL0sAW
7ZtoZuiy5HR5b3oWtccOrSvySgrh7/NVQaK8Kg/pcTanZwqKyfMOnu4zIBn6c+HgrFlYLuF8QbcO
YMaze+CY1GeZgO2nwuqTrzV61HwRsUK3BUY4atE2HU8odgEpJX1+WZr4WaPvEppyGLp5KMy+gMwb
dzeO3BH68AwNItT0KdTtGB+wd4+Hco3TFjOWdt+kme7RGc1cuiwSl908jNByA4KG9kWczXpie8l8
eVcYacHrG/VdDZbvW2lEtWZ9v885sxdlSLrjynuwwL1BHw/koSs8rnVfHD2+8rxEPfbqFj2doHvg
3y1r4EZaSBuqldX5UdaxvjdwcqGnAiCaoYpSLR79EsqXNupzlPJT9+DLRB3iZIwvsphJBalslF5l
gOmObhzwlEa01roDeKigVxpT9p2A6kE9Qwz5PCe1VLAf99GBDB16cMwZAAeEgv0AS8lFOjhYE/LO
lzteMC7LL2pO2HoOBcL0bUiymhzQe2REmaM6uVZzmpd/lmNewOvEI3fRMcgR9hl6ztyhNUiDOgl9
CvJhhJcV1gz9EteDgbo2iy8HSrYZyvONQ0VHjosF6ex1XDTzOdDv6EKhu83Ws0i134n3aQ+fZ0kk
ymYTffXG+j9tFC27RJHwMgw1+i8wbiAfDGHAzJUtzFVQTLlpb4Jvlgs6CRjGYmLUzUoKBGKUVLvZ
p216gZ6qrblwi3XHxEzJZd52SwWk9yn3UJdDlnuTESyfeZjGPaBF6I3F0s3FPl81HLbF2N8Ymbmv
q0FrgjoGvS0G+IehgWh2hRK5qaIpzV7ATOsqTdr+pAEUVEncjXfoM9fcDXIdm10zjuLRoq/aF7cY
WIHtMsHRTTancY3zA+NaAnPDwltk2GVL6W9ZMsh214e5fqk7EyqQPN1TryFhN+i1ccdAIpzDlw4B
tIv5BdplZC9DSZerGng/OhQBcMVB+Yi+QpFFRTpBc1xGGh2CSMNeXISkZl8iP6urvB7sLfW0OSLQ
U7pjKhRnI9HyFjodaDu8dI+J7s1pnhZyqs1MX9C46dGjTn4MtgvlyZqtBZDtxJ8rBuQEd+o0HZAG
rvejYzm6YGQWjG0jxiqW83xOWWNO6ASCHgMwB7BH1o/sNV1M+lA7rl+hTg9/Tpjg+7nQyXUGYcEp
xk6BPhN2vEd+GVW57+eryA3Nc4At7IRONBzKLMDJNxJdHrCXLYhIca1K4EF5Ays7iJmdGfr61OST
e4S2K8X5w3JL4j491rBLfwUuZ29ZL90ZWVt233UuXIqhtoelQMhFGdypmz6Lxws3Zf62hzHpwZVl
9i1tZgSHxK7zTbZ2WDzAtD6RdJwuF1f4c+WXVAO3KfsTp122R3kMhSVgD3YeIsevOJfuLqCty2MJ
6OSrDeX4gA0fnXYiV1wHEo3QMFF1bBnPr8Bwk3Q3duhsUoa1TzHfXX+ET0bfNoDgb8Wijd1BGRIf
na/tVzNOGdz/eQhXjmXTJYRKDdCBTj9AII+eSFJ0aNdSNOUZAee3m03IPpWzSIHMu+h7xBNo0K7W
PAuKQXW/INfdFxMg7fKqydO5GNH7yTXtWLXM8CsfGXELlKW9QSeX/qkd3Qs+IwD0KvIE6/S0r6ei
vllYDfllboi6YNokz1PEJ79rJfxOkPqgRU0yz/Ykk01PzyQpLjOuXYm+Gl3PLjpZmj14XPRtmMF3
70sWOjR+CyODAy3l/Y2OwPdfrpEtMNY09qO7smhJ1h7J4ghMmpntPqVLFt0VPVMGTZqc1OgtYNzn
Wqi5O4DyXeVlB1sCWgE5tMQ6oYUfiU7FPAzhMxwgbpKnLfWI98wuukWLp9loL5qLBjW5a3ekQOay
y7uJz9dAS2p0w5qIePBF0PC3xi1Fax6k8XtPkCLCpJjT8Qm2kVA6xBEY7XOKxEn0kBWdzSMtLvJk
ifv6Ae0DeTLDfWfRTugiQbCLYdQHIwB/2LoZwuchn+5ZJJoaChzRMnRYjLho0UEoY8u9SqGaqRL0
AbzTK4nCyaPQrOE/sEl85Vm9oJmJA45/XbQIp3sI5MJeA9m6qJNR7SgpmosxWpeh/tTCoMNCiuHv
46WDIyTpmk2lZZK8+zSOWV3CzEBrdOcDwD5orIcS9OZuIiscNBmBWeOqkWBnq64HzLsL44IOBmm3
gvgppro561WW64MAUXjdKMCk+3pRy1kqMlLuaRnLApBY7ch5I2DQqcyUw8qfeLDfFH07bqKcLehC
UfNsqIqsSQHFAbN7IiZy39E4st6n6PuXnLTmaPQpZplMyQ4pnIw0emltUjRfFZJ+RpsZXSAxm8pV
tTtE0hFv0HEEV8U3BCFb0oNE8z7YpyxZ2KHpClLIg0kWnaMdRzTT6RFkbsfPaltmL2Ken0OQ4lFI
8yyYyesKZUJ376HtOPCS/w97Z7YcN5Jl2y9CmgOO8bEBxMjgTEmUXmAiKWIGHPPw9XdByqyS1Lcr
ux7brMzS0ixTIiMCAbgfP2fvtduDYPMQLBJ2y/jLWa+KxShuMJsO+zFpvUA1CgSCg0xT+WVplY9t
hbuxbe0FU2Jqsr6OffnaxxEgwRq3aRPP0TUTRugxOgacJlzZbMw7r0vko4OAqA3TkV4P9wM3DLyB
dHrTa5Xfq6bq3F3nOPGlA/XzODQwQnbDHI/Ria4xiEWtnL1TWWeY/6qm2Oc4fB+rXOg7r0/qqzyy
tGsjn80rQzG0rOOO4TVUrjo0jIgwnMEZDutsGIUvHDbhUHhj0+2UbteY7NwJ6WK7+VSxPs4Aw+Is
MO1uVL6nlzjDagSRw6mz+XC7hSb34xq16VvE3Ls5ZMzXwpaHcvLXJW9v2OXZ/FM7L8I0o77gLUQP
7DrpfnA8OxgqlXzEO65/ofM27xHteNAUvXLvKCe70zLRBmNpwxCsyg9FhhIs5uC2d4wo+1xPBrhY
S9b1Zymi9jwYMsJ32c6ZG6Q0R3EPG3xoTDt7M53HgMOuvIX0OpxHSBmveSKdH+C7XJfTZWRyG0KR
qU+SlvFHmu9471jTZgV8RzTXdhRJ6lYWx+0mBF+Xb4fhpSq3XXs2upd6dIEbgUJjEEozubZPlVWl
ddDhhuuZNa01zUJnyvRAFqwjvq2lmXVdqM54SZIEFJ5R8B78rHASN8j5vQHtL+6JZFHWqbQHwwn7
BCFnS62Vx+dS1f0nxakNBp+SUnz5gYDzNHcaj1qfwxBTmXZMG8v4sOkG9vo65oOfLhq4FmvOXoYR
5A8rkgapaYhQQ9WRJS+M7toreDl6AUaCkuYy48Z/yY1+hitLm3EE6FfMr32/8KzwUHJOGxRdzLeR
qdUI83Ycd1U2yjNN6hjJVAqX5bjJRr+ZSEijfekk/RWIqZazLOVIHxZRo1k7rSnR/Ip1tD72XVF8
dtQ4B3knu7AQWiNuhsnRH5muuR6qIGq4P5FmE0XVmdWvgrXaJJDgmtmj9ETFodU3Mpl0DbrKpsRb
SmGpXavwvW+KFG6iwEzKJDPzcR+PNqOUMg+ynCKt3W3HWDx5S5Ma1NSyitbnqhuq/NbAytuFnCqi
nCXNs2tQpa0+xMVy0ATkHPPWHmQEFUkH6vS1QDa6cQI1d86iPQOzfIaYkNR27QWctmcTksqalMAw
HTZcawkT5ldu4Q+ouc0lrMYlKvOrxY0MKSCPcABTd8VId0j6MzJvb9i3g2rS5zjOsZCFE48KYxTc
OLJq/RH3s93vY2q16jQkg1a+d003j8B70D+V1c5qmLU9RsJg9nJQCKX6KmwXGLjZXTaonO/B1JBL
DRlKZmYAIzJ3Pv63Etj0BmztsmoJPZXM1jN2PSN5/NGs1dQ2cIDitrVGDT2a1RWs+G10j15gm1bw
HK7OW2xGoAgO6KpXnrdGh5r6eVBToiV+5dLo0jjZRhnwU9myHPcfh4SGgnvpKSjx2GeeWMxgiLuh
yQ8r0y2+LbY8WC54y4dqLMG99cNSXcmBj7f6aY3KogsQvcgyepS9pVIbj2aTpPIshqFZanRIaU+N
w9khbvZKgVAzkOnh8UaFdG0g5qJ0Vx4r5oI/tetd85D2Trksii7sSCc1DZBUDcVk7uJqNtNipyYU
Nx69g6p2Lyuln7uLtMIGV9qPkQeWTjcbz9w5yyrNA3O/8qNyh+KDhrqmB6WF+cw3B56dHWqT8k1U
OVUW6vekxadsd14Sji06ldlfjYbh42oPy3eV/dlL4/HOQh17pA+cXmoRgWk1IFZk+rKUOyVLxFqj
xyBYacVj5s2Tc2oo4RxfVmox/bma8urQ9gIV4+wqHLhIqPM3tYooZ2k1ywjqrmsOYS/X5aFLNbzt
8aRtmM2eE2KUKcs6tLbZl2FUuvOLtkbzonw9nhr9wc1TyItTWlWvrWCADRwCdJeoVg3TsADNm+wo
J9ruOCRWPr7F2rx1XKiojSqAghfv8WmNETbmQXcR5xiNVwWRMOt6ZwJmPupd7XwuxsLUu8CJjLgO
aCimFidUmFI3eNkFyFhhDf0z0gdkE36rUNkFaDrA7FWDbqArorl1E3PyhujdUIdfzwzcZn+SubNz
crs4a3EH0wLhNeYKtHWqRLphLEMXupXlMZLSgHHjW+CLceYY7BnaOljCRYPHm4bZy4pggXsj8u4H
TdR8zlXtIQ/Mdwtfdmh6kevtMrQV3zTESzQPMxVfoF0b3RcOl1Ny72Rlu1Vd0kiPVDD2uQU1k76w
RMrlIEcze6gnGV0jk4zf4lbnyrvTOiNXiwY6I+uazr5KxfQBY+twN7VFwkfAxsZ02Cnrw8Q9jVkh
t7yHDZnshAA8ppNO0yINJ7QxnyZp4iO08s48VmaWIU9srccmiut9b1Ti2W473fccdIhJW6wo9Lt1
8bEcLTd4Ko00NIZuxNRVQA/YcI3eeIrtFnVaV63IQeNoAj4+ecUmjeA0HCgs2saeCRFzViExFobx
KEeWXg2/A0Zk5SAvlPHm+o4ruPByALcaY+13Q2HFysG0W6inaXZ6VMc9rm8fNYDzxQT4FMNRS8zb
Rtsq3o48q8qnpl5S384jDzlK3qRJyIaeobyiXXK3lnQA/NVWyt7lIwK7UIoy3a0NGGY/tpDTIRsp
VThK9T51AJiNCAr81FvLZ4fVYryCVNOCamhGFw5r2w+8nGU1HAhSukClUV/LIjKu3ASOCjKhCD55
q0feFRBv42UpIN/Mmuru0OplARow4yuumKFizuB4CxzxDh6jM5kwIIdpybDmt24fQQpJ3YL1t5XF
VaYbcD57e7IAKSRqvqFzlUuaAXW5+AXoqs+ph+LBLxFi3NQoTMTOmayFQ4Fn4GpoImGBVAXD/ZRb
czsF7JtUddTnYSLbBsIok6nbSU60oaVRRzduUcrnBpVF7I9D8Vl2Zf3c9qC4CPOh94iiEqFUPHLL
F+3nWJtETG01a4FG5XHdDth7OvouX6p40E5txkMNOy93QN709bm3QKZzIs8v9AWcoxYJ9yMd49Th
NojtF2VAgZhN0T2M7WKc8q7u4T2PkC6o1kSJdKaixeN0nXvsZFLZ4eppsHPL1JsPlWWMxQNu2TRs
aW6FLbc6RHNpDTvKF/0KEGCCNnDSn5NomZ+9qNd91UE8jRnM7ODARO/IikVoWmb/waXcP+hmpL/U
KNCfBT9i+drMhUPy/4znxr2eGfIf1Njz1LnDVwTK/Z0axAIOuq+FznOw3nmxllPR6GZ5YD9oK44Z
nQxdB3EKP32ZGqP9lNHsCN2Zg0pDPAMcxUSvP2puYT5miTTLwKSrf1Kq0hmFobTMpXxdBrr/7S6H
n9q0L2xQYFhDZuC4mJ450dalemjNrjat2z5LGlb5DgIK2qS2wf+MSGBesrJh1sDAsb41F6Q0y2Ey
8GqAeavF3CcnMSRltp4Qci/9hyidJ+vVqsw6P2a1W/ZmEJkQz7TQHS1zalm8ctQszLTQRwDxTW0R
IrzTV8pGUDdp0OZ2K+bTALQbAZ5tzNbeNKvJ/WJX8HV7v1F5MResY1YirJA6D51CqC12HCNoMdFY
IUemjEdVteCF5qFBxg7gg3gAVX8TjbY4XchAE6HerlPTkm9c2zTOUQupONpE5NyDDWOQOItX0dyP
0u05wqRyttsWhuAUjVnIINbl3IdlKJ1Bkmd1N8CrmYjl0HdCyaFrXoZ8HfXF57eodAmm2qQk81eV
sDIcwZ9b2cZ8WbZPYtqxADmTxPPoNJ8GLV4Nywe5k/NnaOEBV11pfceB+SqDoVTYwSw81xn3fzOe
+9UgwvAPA7WHV5YhJzI9hA+/DucqwZkjA+T+KjJcJH9OvQ07txg/tbKMUXtOUDLKQJRmazi+0xYY
kSDuCXbhXlaz8yH7Puj61+/r12kvb4sAGxu7KnwHhofMin59W6m1YE2KU+ctr9U2aCl/CD9gXhbc
iFrNuOxvBpW/zuS3V8TGzdXYvMOMfDdUwM+aDJqGbi/wS3wrf7zi+ENVI62qZTTfOYk5IIIbBWyM
IEkzhpU/voo/42jufkxEf0Sq/AzF+wXC8L+A7f1fpTn8Etr0M81BFwKbxT+kABsQ8JdsnP8qvr58
/WfW9Xci3/cf+YvIZxIM6mIAspEh6DzD3MJ/BuO47h8msg/JLN+gccY8/x8oB2n9QZi1BXFPIMFh
WMf9wCh5C8aR4g8DYz/5Y8gMLHzb+r9Dc/h9rM9v2fQnOiY6DDP/7U7OdGWYnTS1o6dpIJ3SbFmP
g2d2Tz9dkz9vnp/zd359YODw8TLwvDmVcvPiev/tgVl1Rk0087UjghX9CecEJcwg3NtywoX7N4/K
tib8NNDfXgs3KiZ/LLiIB6zNJfOTfInvApUuQNfjokPZFXY7XrOyMPxZxXyn7BK60r/+cFL/7x/P
2TgLlsDnBQZZbMvYTy85553VIFQkSWhpI9rsTd1fGEjFtPtpsVsUG5P3UaCmMfZioIzkiIjz/mDT
Q6oOjRUPgTWO5rQBk9mQs7Q9evWsweLyWvFSIbygdd15B2pd7zCtbXoo7cUIUO1WZ4qc8r7IMcsW
xAN80Hu7OmNRBe0TMaaIlj69MWMM2aGMq+SwNJQgadxhBAKlfW+gA/3GgHf9mORm+9FR8bUYlnQ3
OUUVAC0Ux9WQ+bVpotUIkkwO90Y3lO+rXOvbVU7ZB0MQ9VOJqNhbTQIONS1hPdfVdBR1hLN2bYDB
jgIFDFY8SD90s4pedleO3tc3HGGQxlIOfBVFrB1JMqI92Wqkn8DFBqg0exEcQ82oXzsXdIe9ljOj
rjUZfNFM1NDQvPaiM9rPaa55Ux7OSet0HIKWCbXwZ49A0qW7JJXK9k7lcFabIu5zWLjACyjoy+pl
aB31OcNl8Wnj9T547HhJMInOe8tcbEM+8mKHsaWx1DnKh5TIlNGlUkTQlbzkIIWtgElbcSsKWlkB
6oD64mBNulroWHx0lxVTaJS2NDy3wWO2Mio0abndIvR9SGbCAqI5Wx4SVLS7ThftZyxyxNXMot+7
o61Z0Kjt8q0ty+SQVMnr0mYqjJEoXsVwoznSrlZS7jouTlJFxXVTlLAPpaHdS6z1F7EihwUmrOd0
a0ehhXmaEWKk1eg+7dQ6QYcz2TmrbieXNL+ILB7e4s7uX3J9yYrdGq92tdP61DtzCTpcPfZr0xfB
pE/tTVUI2jFO8SbkPFF5m1eRBvouz+MPXkc92URwCjXlUsHQI6aQnirE9ybYtyi1fUf1V5nWmnSR
+hhZmHCzryjQIv6y80VGgwxpUS1M2uzmIZoK42In3Z01T5NOxINjcmvz9MzUyfAxTKQV+vhtLuGp
W63WX2OqXF96EDEB36z1opjL3nKwQHa29v1DgwUoQOfwgMQ43Q3W+qwN0PaNNTF2xrJ2N5qzrrvJ
g/lYVd4QxLo37pfSvK+m8pMjo9o4pvSmxy2xaUyW1wqCm+FH40CZZQ+IVgp/cTeI80pjIczjMkey
bgxLDue9sdeLOxXLfCo8AXckSBjbCD/SKKw+5t2ELQGB09BNMReibsJhAUv6RF6QG/eFjzDaHacn
Z+mTnadDxGIgTS8m0CLkZb7VCNv3ehew9zSiBXqeNRObFppFg86tO3UiTAttcfddRu6NiSmkR7Of
T2v8MObWZuhSpCLc2A0DLb9G+jLdxXR+Xekru+mSKy/SRobFyPWtz4ZiHoiurYqgHOOW9IyPGaJw
a0/n03LeHEjy8I17HEfnfAFC0T7mJdolDiJEiHzWLJU/emOZHlpRsQzXpWMdR9EXH52IPCRU0gYo
92mw5RkRFtkA0zpOg2+RGnSweklX14iaiz7P1tEgK8qhWbBw6ixXT38ykhqUedds/9uJ7OhxWYbp
1TYqOqKVXqk9MyB5qgsUNP4AUh0RVWGeVCeqM4cDb9eXA5CysonoNNHErq8a02Ra5YyOvtftrgZ0
mNK3VKQEVJ3YQioWEhm0KPK+MDksg6bXqse1w2rpW5U2cBgfp/J+lqb6ZlJJXngjKVFdCNLpb3vl
GuI5IceCwLD6xNTfuyXQy/5alBz9cW6NGJ47p7zXJsimQY6fhSQOTEMJF6Mv35nGFh+l6Oe7Is9s
jJdrWT/GZYK+oqOM0Fk8cnvguS3C71vdf6rAv41IdFxk0v9zGXhNZvbXChHnTzwv/fvP/FkHIu39
gxprkxWjpwDaTFnyZx0IWeUPAXpZ4LvcivwtuvCfAYnbyUegNNvU57C3/lEHmuYfsGAQo1O3WdSC
5r9XB8pfj1o0ZeFB6ZJ/JFgiek6/nTAUamojipbk1lFYyYICJSADZJx+gdXY+XJ06lxWkOjjJANm
KdV1bBRaUADtfsN8sdYI4ktDBQxmm/mUoAZhpINe/XVtDW9XVqlr+maplgs+/bb4lK5mc6mhcrxl
Mp49LDv5zMYOA4fnWWORP6SaXX9wcKwTMsjgfjyTEtNO1y2Q5x3zKmLWGI0SBLDY+TVOIDPQByQu
NPovlDAqpb3qxvDZqxW1yNJ+GQej3RlEGpzMcRYLblFX/0Z9DR19Yaa89+h4GnjDK5j7pp2k18VI
93EoBlo87dCexrrMYJun1Xw/NtrByAYjrA3v01TNiCS0oof4HNfbuyI26dNsdYpxvyTSaZkvCR2F
9ripcXTG/TnYtHCoi4yuoyNbqwdSaaAbAc3fBStr+krghk3IiA/vUicuILW2+qG7ozOQ2VcTmKBX
rshyhTQ9Q3tCX3A9YYrqNPPKaXFQb21sX5mTjWWudTnd74zZmK7rzCxSszg6xQKKodqTvFWOwHWR
zPXySH2T1A37da7GwblaKUWJwQn0DvDLvJuYW2YJA7a4nY3xpJcMSscrXKZwknsiTIAG5afYxYar
QoYh5udRGvpDh8zsrmiY8b15laOydy/Tu/eFsc/Evlt1Vqk/OoTx7O0+dRD90VJ1ntXE8NRvEG9e
EFPkZ5scKy4UpJWEjXTITrhDK4k8I7/H0QPuNyWFLkry6bZbYHqINM24LUkVCReVwxs2dP3sQpbd
xbFY9yvz0UMON1VP1fzQ2wPNZUYjRphiwKuCounjs+v2DgM66ls7MOiEH+ETE0cAL4D9dBbtfvXW
7mttqOLVoEkk9x6CQkJAGkBdvRsxRIv7rCW8r/P0cyd7bLcyLs5ZmWb60ayGLwz+xn4zwlp3GlfQ
IpFMxV/iFqlcnJnlngRQ7TBKkwRJXu66sKU66Ks+31d1rx+AO7jZralHjl82Lvtjboj8agtvI4PB
6Ihh2aZuI0O9GxgQGfE1fWGi+MrWM8NEQhQyse1+yVfeI/4zfPl7nI83FFpDHg6mfWFyCA9tzqMv
SZt4+7pcmdFl0tzlTQ7vU3fUh6xbb6zKse63O/uWDpUIHSFJm2z06zVDiMFW1AcuQT57F8YI2WBS
ifdaX8RtbeXxM/2n9Ypm3nSpx7w4dgVpB0tqx4csGzdvfBdxiFLdG1787qDs1nuMTWpiG2jExc2d
j0i1byuZsT+T0nWhq2VdyITTAFh30yerqSeYLUAYyGyTxufSWuCLD8taw3crhHywDXPY6VUn3zXH
Ze/uuRr7fM0gc/bFK7J0j7DTqHNxNS8NZtrRNh+VnOaEOLCxfjXdJX6CTBAj1Mhb64UYI/DBXgdX
ZFXAyN3CCCQTLr8ZxuIE3q0+5zNNYxf27I5O3byXeEyP2OiZUKtqdP0BI+UeUbnOjT5ALNe9ZHjq
txKv4Po8dXNzz21N8pexXAAfaAxBIu+oOQkoB1c2zplJFW51PKHu22xXyZ1XuOlxjOrqzUmFxxQb
D7KvSiFsFBMmrWihnyI7e+jL1j0tcuMMcHc/6lqtSl+fFoO4OIk9v18/EMiqh8tsofnAiJ7e0A5n
ZR+E/FIXoFlLprvhPOkmPGJAdp8tZiih1NX6UM9EkJlOO30iTanyLZnV10ahmKCMzvyqzRXhfobs
3ylFCcqwmnVXF8jwZ871zxTy5e2qp97tOLvr3VJZ9V4v4v7OaFvFgWMSj47ernnQwYEBLII+f9dh
U/nqqqENzXmoHzImyD1wl4TcW1xKPkLV+B05gDhWY+V8lka/auHKrYWVcSqCpF9G23djpGRVzcrv
TmRLORzFro1mjQOeSLk3Y934EKMZv3InKznXuNTvGvi1Yd+IkSvrJcs3OgD9I1AIZm6NESVhJ6j+
ifwguCqaG9vX9dE4IflehoCJ9LeyJHpSn3F8S4s5DFmQWaDBi76sVT3dF4624wDhXTejYaUcbdMk
Oklby68ToTchjs7sS9GNxlPWFeraUe7yiNW3ozi1E+8BuRf5RW4/n+o5Sk0UFuYUjEkqbltgw59K
r24+xejY7sjxiT4qTqtXw9yQDjm56we9NZddIurssJDrgTe4b3xhV10SmnzaOph7Q/SnqliR5cSI
9QCowIRPza4KtZScH9sy610DKukOZBH5NI4b1edq0ghGK/NpuQLLheYhbXVj59am5Dr207M5O5xn
xsQ+0GgnOpfAy/Wsp7r9avD7Uf5EVXoX94hg7Ex4n5bV6o7CXNnoXZBIhd/FXbrnWGZfnFSpp8gZ
mR5pQDjQOkboo0J3mi+oc9t9p8zhT/jMf4rjvymOXdhN/6o2Dr8VX6ev7befi+MfP/NnbezQ7QTJ
SWeQTiTNTptS+8/amD9ycG+hmIQ3JuwNA/ZXaIn3B6I/jP+41Sw2l42B+leLlMYqABwLI5Zl4Gyl
g/tXZssvje7/P7ATfODvHUWKY7q3mD9p5Xrid3NXno1JpuONPy5gD577rK8UsyfJ1jtz8Apmpy37
vWqWu6I21k3BOgZ0dz0adELtSSGp6AnIVX+O0oEJd0VwK8Q6MX2bexLIXX45zHqIKtv6Vrna5lgv
vpgaVBA5pOR4xkRELVJgG5o9hH5cxJT0Tct6zODbXmao/TdFZlFmuINYj05Dki1SiLI927pgR6+R
peH1pTbZZE/0MdsrBPAZSB6sENpsZYeJN2f4EjLQieDL6FTTSXyovNg841z7kjmN9pwWpfYUN5WN
MmGuDhC24x2wLnoEtMpuGaATDjt396MbvxHFx4dE2+DriXFvGku+97w8CRdL4hDE63gQcf6uEDVC
mvCQuVRixXtBRbBHTqL2zcqrJ6Nxb8Mr9FOnv4aTJf3BMO5T3X2i4XLNcLryk7l6nJpVv8wTzboi
r0bfoD3Dv8pLvZQX01XPUcn0ddX7mXZE/MWzUS/CuPe3YI58yb801hbCUtePc6atn3OoEKGSSRLm
bCN7JqFjkKbkDTje0yyjHTFRBIVG9vYWMFNZ/GqUv/LgrI64lblGzBopuY9x5xUfwRSbH/VZokiv
CpBIcSSRWtA2YFzIdiAQRK3qDk/RyuBNO5PY13ytTb19osFAPF2K7CqQqthh/kB3NVlHjljs9Vbf
3DI0bJ/N3H2yu7TGYkA7WO+InsY04OxWx9OPXmO7FMjuh4J6BNu3nD6geYrPJggqJ3DirfPrRcOr
JgAjBPgc5H1Pl/KmTJuEA4qREDhfJ2zIRVI9Sk1HGd5WLYFitXzoit7bw8eioSzJnY14cvwsHdMw
IW8YseTceIe2kSDzY6Wj6k8Xhr6YmqiMR9Sdhj4PVzHQCvhQrWZ9cEAjXJmlLcgL7sewo18dUCcj
17C4lmz6bou3hrAycTUtdPBOdSbYIqysX95xyKzawW3R8L4vnjNdFwZBYYzhzXxXQJJvfUoGgiEy
/fE/XZCqT/vlbxZ6h3nUv1roAWxW31779HXof17rf/zYX2u9zoKOl9Rmbsq8w92W7b/WevmHw3pO
H4RoMP3HNvBXH8T4Y/OcGuCKGSJ9j6H6a7E3xR8syuwQ4NCZY2Fc/ncWe/P7JPXn8RHOcekxDmOS
4+CFNn5z8lrGAoq1TsdjDVqTIEjkdCTVeYHV98/0Gl5cwZqhoH/uKlSRAf23zp9nEhtdPVeB6N0n
d3TzMx0BkgeH4jK6mwJdswnc4UyInpRYiWzERbFJuxAMrntTliIkB0L6OAO9vfI0IqXswQscz7gn
bU+EiDeQ5ppuvtMbZHcxDcnNBDQGGZ1N9ppGhFnePY+F9zRYaY0coTaowLIXW1MiLEAeogol6aEe
nfakxvZZdxMVrNYocUxY2g66x0dq6gcAgy8jRwl+Vj0XdfpOOACdevyxgWMb93rCVMGo+Dwg9rB8
tM2zrWdwu7Y5yaRtR17Ua6QNsY6OmnNqOVyw3ve7iK5CMHrRLu5LKHlZ/m7k5NDbNpeydtsuFA2/
FPqkJAYq/sBH4DII91SmXRdGLX9rFLyHUZmk2CD09ofEICTZZMzFIaQI7cbmT3PzfnKHfrf9ZGbS
9009BKSrsUUELVwChX1wZ/X6eh/Xxb1Ht2BXdLxkgXzmyjLZY6pJGruh4Q1JZeehWOMPNFlQdTtb
8E1dvS9VUx8b2eIViBbCUfKFzo1XxK9RQc4jFqcnenn97vua3wk0apsIZW/2RBTXYiSQK/O6J4T+
OQM9cp5QQa571I3rkdh1AlU7XnSynJOra0/fb5K0WUhQMpsuVA73gb7I+3J00aMID1+gPgZGzr9Q
F9+PKW8qznLzJLXW2+sZqsAaU8/Z8XryuNV2F/X8XZSPN2mn54DtOmPnbMWHHdmblJMbayhKErAt
64b7+X32kGgxynX9YkpfGCLz3a/8VxZZM4kwWhVOvYvWcaz5mZKr1OnEPRmOWq+xMnKE7trn7993
ySHDHwtuKyAg654GItGDHhVI3SCeG2y3OAs9fuch564mpcJ3E+5O1+FWqbdnIW765UMBP9qnifEi
dd4ITx4xMSpPb7B9nBzTeVpWvvmp4TmB7RqdJ1rm14nD0+HRzHAwmgQ25AoeOG4ml6fx+8WoFA/F
pPFXVV6+QKihA4gT5lwY4IbMiJu2yLvovBCT9YD4TQUQNmmKMssOZK8UjBvD2LV5LcKyNbmkW5to
ipPuyu20+UB4nH6RTQRLtl+NXY6FjfOoxLuVVSg+a+4yhgIkyFb5Ndu82FR9OPFGGnZUK8VO8Jww
XEzvx4SM9u3xktm6HgV4IxRmBQDAmoICR3Tti5Kv20y8/BwnojrMpLPskPPzGOZuHXz/brWSj69F
1cUGi8USwi1QITwPMPUpRJB8fzBe1n2tWu9AIFK+A47m7XFvFyEKW7qZ2w2w3eE84vepuVLZLCxj
3sjzbdIRO37/mvsBx2PfchvNqPZ3Y6ZHX1VqaUcr4aOuGq+F1lU7AmBj9UI8CguCr0DPaQPw/jyG
Gjuh8TSX4AsDo9Kjs2iHivMc2mtrtg7ulL1oVBWUtBS/UW5sez1PxLAK7RhbPKf1aumXxaFz5djc
ZBXc8YuGxjtYK5YvNKxfsey5TFCJ+prNg5cU2I1pR5BSOY0Bagg7cHohcdVYnd8YXXuabMpbh0ZN
OKelYLZtSYg3MYtirLO4TXx1mpN7h2gw7hPpuYdVr5aD6llMlDmONND52GDZUmjJtHh4ROpj6bKC
lQ5awO9rk+HNJMZuDy1mlTHQYqptvU/uCLIQYWuZ98ayCQYizfUtksfYdiZupmZWYHBwr+U1sr+k
ERwHbHO+GZz8nfgBLs3CE/D9WtuelYd5ya/El+ftzcrOd+bcdyGRqSyBpsXkHIj2nUFQUYg8vTi4
UfPeOPzvcsh2PPSc81PWE1Mr0r3etq+uwDkBAx/+QeN8LGvO+7mW3GnTcOPUfeZLhvTnJZ0Zy2lF
V+gMSRds2PnEYK+aNeZT0HBJeNg4ZsDcTXvnuXoHXWttsxeyvOeQyCqPIbswnqwYA0/nUuhfLyjv
zylMU9fHd4PJI4p12nmbus5PCNq9g+FvI8IgVoeQwRbXQRYsOQbwGTVFt1vNROngSBrtrKLhKzL7
+g25yKuZinrwYznn724jtZVekLauXcCDMR2Rz9Z7PBqzxwgAtXOgMmx/JW1cLYzZikJDd6Nrb6pX
bV/Iaupucii3zqlCSVMeoQL22vOCLTtIUH8UlyjxZO+3baHbQbOg9r2xRttYoOMxV32oYICdE8f+
GwnOJrH5ra4x6Y+iW3M2uM3vJJ3CA4oFOG04OulCvtKavKc5m4us3KehrSW3FU+dmXKn/1QC/nmc
/ln687sch3qKAScUZEZYwpHit3rKWzgBer0ajvr0fbHjGZRp/kYrKCdrK3//16/2uxLn+6s58JEM
E+Qw8qlflTjrBIg0XavhWCzcIFsl4OWRtoPZKn58rv90e/7mEMAojYv+P09C/wu4fv3rJPTHj/xj
EOrR7YFcg5hRAiX/ZRCKWA6l3A8aEo2Wfw5CpYMgjp+ib7QdH743gv7q9hB7RBVC4SIhRcEt+nfq
f8P4lX5lcc9YvK/tjCF03t7vPKayQZs95/YEmlRBHWEdmPqyoCix7Fpc1Wp0Yf1njdOvwyGHvVmK
T7Az0NjmlSq7J4PM65WTJzo4Y1e0ICymjBqJ5AD3MbXxHtgESWTEQA+BmmbMhJzO0a+iOFmOmfb/
2DuvbUmRs9s+ET0g8LfpM7f35oaxy+EhIIAAnv6fZKl1dpek6qN73WhI6q7KTOxn1ppLawNLiCtE
ORyZApVqQPeP1r6TV1UxkY4+DCk3UBjI6tJFGXtCXzaYR7Zw09XkRNFjZjcSWIj3aqh62GsK/gWZ
DNbYzeRlViIhLrMRgYDr5uIx8bhV1mmCgmMVlhqhN0T0cKuxrGn0DjP6NY+cufsZQ9aHKQXSiKpT
wxUZKBjVRNIxAWuHPp15b8cmAbLjUOzHgcnDxg1rojfLuPGvQxp7ErNJb9vDcUCE78mp25NoN/S8
GOA2J6WTH2TU6l02tz5R2UbFX4zFIxpR1kbDjXCj6q3Tk3WviSUa9rxdQA0rhWgmxsTL0jKe5hXp
jO0mc5vhlWXo9BzNte+tSaeU43GkUFoMRC4/FPNXL15JvmmAHFvFXgmvxY6cD1svlo1FFdteakjN
C0wENgyg8USu0ly7Rw9JxnOYsdAVnWYml2ZO0+0S1QJ3GbjUN2DrJ/OObflWoAYp93ZXRGuvdkc8
6lnnwwnM2E26A0iJFZ1uW2/MHhU4DtnyADAv2eCv7UlC11pvdZfVbJTFEO8m0Zkc6FhKl31soX/4
UWp+UOWgJ3G5G3eLzmwL/W/6KAkBI9u2Ld19X4/ywWJscwFCunglYdNbReZAUKQ04g7ueRKbG9ES
OF5O7aYXCeFyCZR2KMIF73TTGq2BnWnR7KYBo23it+HN6DbgGqK2X/eo2k9JGI3+qrbLHDq3TYHg
Jj26sMyoj8vi8diVsELIOIveuRsgUUBmDr9ELJ1RNipmZfu4a8RjRB7xUbelTwQ8no5VWEXqAdfK
V1O7xmaYgnlDAg6eFO6A9Fj7uMiAWIzUnrEXWJelVzinPHGDt0VfuR9UwlrNVTOrdnegO1NIheyN
ippH+CztdROY8xe29dEGHu30zIC1PEQzGqW1YZghnb2Bf2OQhrqZ2OZfNy4o51VXEzC9EkMarV38
yRsrieonj76ErjeseM2n8UuHBo+GvouK+9yRYq1m0BZDV+67GoBU60cOSiYnN++IV+/XE8AoVquV
IxjbupEVXZx9f73byZu2jBixeWbxvbLy6Yj0kxnzghMbKGGYrHZfM5NdBuhcvXbZahwWWjS2YPEx
6ukFXqm7rvI4HDfhINibbzCQcB6JwKAM7b1brcAB8LHgSvupXZ2f9f97K/7NW5GItwCN9n9+LV59
tFPxUX37PBj7xx/6czK2bEF8ijOPFx267k9KcT/8A32Qa8N+NH1GZn/ZgmBeC3C/OKD/z6uOPwdj
vDKRRNIOc4c5pMT8d1uQX8s45hbUbyavWZNHiPerAYH1WtaWSc5+IbbcGdmjU13GYzw9lRbm9hgX
2vrT4fk3daPzS73KB/q8600XvZRN9f+LZBwXLyrC2ZsO45i1d0RbD2sPxtP+95/yy9t+UV0FBCUs
bhuKVCF+qRc7V5lDgyXnwH4TYL1g057XLXN/35E0ohrxpWr1xmky416BnH36/cdTnvzLz4QuvuTQ
Md3k2/ya1Nf3U5AOk98dapC4EAjAP+7w4JuHwXEDYlyT9jRmY8sGKPIBcMnIjohwlylzEWXa7kMd
8B5gtRtMV0ovAkC6IUhZkJB4b+T8u2BM4EXbhTEj2wW3wSY+UhMY5WCafjBZye/tLMgBQwTzAYgj
1nO0t6fScxv2VQ1c46FEiS5jiycwexjc7J7wmUI0o/XIA1detyiaHgXGstvO7pm8eEp+INhG4UwJ
Mv1IFL9oqIrhuejpihWEETptXvttlAbIj7DXEnxq1u+wmOWbBe7LXOsxDS9Vs7TEnhfdh4NfgnlX
0qyPHCqe1fFCDQUzRf22F0Ap6OD9ZZw1p+JxqmlrCIpMbtAUVJc1vFk8S6jV0Bel7V2Nix1boK+7
Ne/kADtrMl/N9shOzSz1xuZdespx996psotOc0/MNKqW4nie4UDzGZ4zsxyem2z2Hjg7YjsrKr1K
uMUaGUfzdaqZIsQ+o7ZUV9NT0kX1G3s5zkwjK/PgaUYlvm6jk91VIeGvRnpgDDb90L2cnsyWPzKZ
rXrxatg60Rg7xyburEeQ4Orl576vrkmnLjGxYZBt8GzAmsND4TEAIXG+ICFaRki1q0FsawKc7yVS
ABjIsbfORN1+dWg+CSjBQMG0UEBHwOZMvrTTN1/x9U9PARD7vZf2xRFOmLyefKk3Y58VKBlw9lfU
Q6pANsscsMN0SI3EoIvY6vw+Zoiz84KkuXZwtgAoj4fvYOiXULou35XFIneGtvxOOPPwHCHkv8L4
zF9lJ4xKymUgM/KLQ9hB11G+3OxG496ch9wO77EtgjgGzSFqnSHPuRQHCsHvVp6C5UmFcxNj/0Jb
w1TQwUmOhBDj4aaQPcc1j+WHXzBIGHWUZZsOY0W1qZMIDogZNV/JCJyvKp1MT0KjTMYxn1P7NvnO
yKuOYsazHlMn1ZskZnZpGRxbFXMes3451MslWlD2fseGke/m8zi4mTkTjldPe8fi+qfOlW+MIqJT
gQRaG0wvkrQtb+Lgh9mHaOlTA8II8upSHBPlvpsCMhhKzP45FlybK2Hk6V6YdbAhd+KdVJHhe+f4
8lpmLhclajxqA06Uh/l7FzWOvCEJ3bkJO+3e9FNkPVapkm89zcu70aGYPw/5WhHV7za6qIsMWPzD
GCBcx+IQYP+rdP1BRISiLwB7vQrbMN+cf1yQcBOoWhn3WOqrjlFYNl/pYFIvUhn5/YQ0jZFszPGx
OqZ2cG3LtafN9NDVwieIBBDm3sXK8lUSJ8BpKvOezA42Hq9WmoeXiNJAl3rCbq47T8SBeAny0Mq9
twE7Sfc1hbX1llpVmcPzsOeKtCP0O9WWeYPur4DoRO5Jk3ru3Nv5NK0aZ5yerGAiE87rk2plYRve
NOCzdlyHQGk7+kJUTKzOdzC5r/s6JDuZK4zpVn7bwce+A9B0b7g9JEdZ7oLEd+/m1uXZ6Y82GdHx
Q+RG1yWjoI3pcxPFuAiOpciflOtYW+Q0/bZ3pi9pUGLdHfpveSLKo1HFGF+dBHWsFyNK7+VlXQ56
W7iYchVBNt9wmTfbOFUYtptoV+jWOgHAD5n7tz4pDm68iWWMoWd2pisjlANGhzk6ERJwMnLZIPNv
sN/KMGqOjjCLjTBG7MMmADQwVsSelUXxI5Zzx+QM8d6+V860Dp3qfqr8dEuZHF5kSSyvwCrpnZdw
wzZZaV2kUzRue/LxjjNZCGth0XCaZFYxvcRpwZQz2NYa26G0A27Lysr2iekzKjdKdraEqBz62HqA
fcEwmRHypVUBeN8Kjv1XBK3aYzoagskoZ84hoNJuOAiZ+izL8V/XUXvZKwH7Tpj9MdahBckmRM3j
QiLeTJH6ateEAcVuzDuPF3gAJYnXXCLYTmUVFhJ7WU9bXa7ArPQJ0qYcUXMYjO/BsvkHrDBeVDRd
kCXz/A3ne+0DAvOmPXwAEnp9opLonAOSeQbHpkK0mzuqs2Dn9K7tHyXPV3Mz8RBJVk0uWUvRItdX
DkulCz1H6NlYMx7FKBn0Jwl3laKfyptVtWCRp85yTygbx6dZ2xmLIZxTgaoOutjYg1GfrNabP3Bg
uUcxlfMjTucaObMKD+PsAl7qo+kWbOK8GaK+OeWldNaeKEou9xx5A8LZLbkLzp2vHMIMo8litNnq
ckG27hoDupkRwqDUkO3xwNvZq+/F6Qqns9450TSseggquyYpgOfHuMssg3c54IZjiuOYFd0wbGIj
Dp+LILb2aIqtrWfXyTEY4PeHhJNf1SAJAcNq476E43FNFsZ0IsJ1wFfshomzbby2/A7s5DqJZv8S
mZrw1o6GirECM+tuSidB000Ld5QJGEYmFGhWijmy32ABggnxXXhZK6ELdZFMcR6wBs3M77Isy2Lj
+JU3bszMHI4zRh/W/0a7Z+TtvqErTtPNjBXq0gHc+LW04cdeWcoZ5hgJthW7b+FgEnWVEOCxAiao
GFyPVb4jzH74UmcWZDDSOqgLZHOH6mZZOw5VvQ0wtFwYY1EwYZj8zOfyK5MjsaztZdjgYQfWr/AD
A4pPD2MVRGqdpbV7M4G3Pcz4074IGRhqDY4sX86NCZeEEinLbN5DhTUfMldVl6GIsBFWsvsWgO6T
61iLOt+ZuaLDlTyFf1QFUxc5GdG9zP3lHsgpE3wESNHmvBXxkxSTSiLdGyTQxj1CT8nPTe0EST+2
pk1M3gVA26lE4Idw/Mso+1luE7hm1xZushVZJM3pZ/EFmch6hOiivpFGkLHyg8tPnVxGRI6R8Sm2
lKFw6kGCsT+hYIRHMbAdyyD5HW3fqy4ZLc0HEAl6w8qNh3GbsSMopYCvmriKlzthEczB47B/TknF
uSHGhmWV68nreD5/i7B5tQ0IVoiEm+WhPJfTjy6jJknZ9hXHsGmsWx6D1TfWuPWwMWJWKooy8eTF
PIhW52XdpOS0T8B9PqOI5NxZjRFU+MjbaR9jr7xgzc/v7we9gRk27WuKrTepYtAQ01L+ohF487ux
OArFT1iodI8kjk4/ArwH+3GOajhUSHKtVKtpNblo3lfEfxbHXITN3e+biF8CYnHXIqdYBBX0S2RD
niUVn+2nGCzyetHUHGJDNKcIGfBSDvvVusma9g7gK+W93QQbtJ/yXU1L3JSuONh95/5dQ8O09a9r
hp/SDjQUPp5alB9LH/nJCtvXNvCGrOkODkztZO0Bq7nxIfKx+mctO4HKIXeQI9vFuHH9uCZ8Urn2
Ye7q9zgiN82AlIJofpguoPo2r31P6MCQivFJU3Hv/ubA/auwj+wPguyx5QCMh/v/1y9LPHbuw8lW
ByOFpjaoynuYJDcaOTPJjdFz1fEq4gJDs4truWM3YvKeOuXVWH9kKN8gC1IE/f5LnVvOz4uakLbN
R36yfCnCVn9tfGO4UoKBkjqURNvba9DlEauvvrmctTHsW1x6Gx7N83aybV48ESSN1wwS1544b25T
Z8jvM+00J7vwsHJHbv1NpoV/FzDdhM3XoDcz2oUF1zFc+/03d//Nhegzimd4QVNts2f6pWd3ewPN
2qSJsWx4p02IcLMtTo5pV08jT6e00psQ7t2PQUzDAaZjvDMs8RFkEhsNGuEUWObWcHUM1K2sr4ZW
YCQBHHKVznZ+YZql/S6cPBmvUB5Ww0WbJAEqdhbZJjufXTpyQ8Nxyw5xmLo3ppWAXINFdD8WZXhJ
ATnv8OpMF05CNd82PXDL5QmDF8C4H+LWezAgSP4ogxiBGSIXB36S4hnrOR51ryZPt+95gDH5W/yv
AcIBB/QZ60oYSBXT2ZIn8blWH6u5uauKZnmmhEvZnlPQhyXLZMdMPbhEudyKMZLXuW0Fl1nfUIPC
6V1jKh2e49mIGYG6onhv7T73TpD7/OGyiXTMQUpT5Myj6sYtC9HExKJtIzw52HbWA7h0mTorZ8MP
qsQzYm9m2Wchnu/NRXzMF5FeNC/KvCV/KNqYCl7BGlOuFQzwKwNxEZqO+sZKepS8janpWzNh5QCX
ll8cV2G9HXkIJ6tipJQnfQdDMRiWNe20eaD75hGL1OkFMzG2GWAva+UaNWyMEEHI2SJJMpz8MmV9
TjBcl+77gerKxIfK/LWjoQCG0z93afHut/SP82jJNyyzNiycKYWouxy7MNdBeppnDj4vHeMejr59
tHhx3OX2kO6jHMXHGpFkcezcoP4Aal9/OBMwQeSNAgwptsid3QXtLZ1ocIkZHt6dpun3ikq9EIak
XkZChY7myNOoW3q7KgmX/UQ3wByaixHsaqH7nTXH5bFVGV1L5aNKgQRyV9pt/3yWZohK1B8u3MW9
6dBhSYvuedNWM2+ArrbUi8gYKDVNIa87P2XeHTk8TYh0ZBcL4yPgfzudv67dmXtEmX2Fm9PiH3bm
3Hytq5GjUs6L1J1600WHcagS3omNJK+YkohXzhgur9Cz8Mid0GwUpWhe9eQHl5ZmzEIAZHgZW7I9
pZOPGiTmwLW8QPeVidevDqrhGQMM7b2e0n2wTIAAu8jrMmc+RE4CEwIST38E3KXzNg1m+ZZ75e0w
+hKMD6JMbEfxjbVoxEqdeGvL4S+tcDTcnb/16IQMsYK05sKoi+Uc2Lo4WsutOi7PdzPPNRhvXlNu
M/a7sS3ZWmREAWz7IWUysihU0tGkgU9Gp7kzq5YzU4Og+XZ+F8sqrqJl1oM5zg64VCl6mevYCIsY
rPLrCn+6mGOWZYBvgsvzZShGRjBc3o15GHtjunJiJh62mpq788Snsrl8SFEoYN8yOWlKuuCCJMRD
4VBQkZASXPaR52LoZjyAbIPD4DR0tgwcOfTLIG9Og2mXSwZCOkl+tOCar4ido9YYCSPGATQyCwti
plcmhvV7ANoj+Lckx85DRgE0BX+8bfqB4VwF830Va7M4jjO/aEk+Y4gzcwvWoWYEF3lsquLcJD2p
N+otuYyMMxjc6S0xyzxfxtK9EbnnPlDwmODvvEG9YFRjIjg7efMKC5BBGTry5msMEHurTGRX6DuY
2xAEd4T1v/SNDo81OvrodJ7UGAHv84BSowVPznoTWgLDnobVx9a2+Pjz/Ob8khxzZrdVnThHwzS+
myYZqMjqDE5fUVIsNcrMdz8vzZTRJbKZ4ljVVnRPGk91iZyRNQYC0cugU81rbTFDs1TMTK1famVd
2snN4NBprWOz4+FuCPWtLsL6fYwpdlqzCS+1z3MWXxiHMHGb9iu0b05InvfWlsUhoxyP8rzLuKeX
67lpl8ewimp1gXSFiWSY+tS8uL3YdXYgzFObgi9Zpt7UJctbgAbt3Qq4JJy5V9/6Jqo/CKiNb/xe
MjYiGnQNKoEGgCfRigCGfBMt069zeRuETEjjvMrvSz0wRQIstfGQuj6e3w2ogIDLYky6QcW2zJ0Y
og6GSxRTbEAXhCwSICakDEFJIh7P2rSwRGri1VTCDu3wOvEy61F6tlqlPScSo0VxnAqzupxtlFWu
oIgtl3OQUB6+KaVRVbZzTXGuMecIgP3Pk6ZMljnzObMuxKOBnXcf8Rx7rVUg3xKyhk/ML7z1eSRI
cqVzDISMThBHNNRmyk/F0wRJn6HyXcwqdtfUI8UJvKJVyY29x9vPFLQmRHk9mUP9XgiDATUR7c92
GtEqdBTOtsdSWjBc3vKy5+I5P2ZHn6PB5Gi6aGsnfqGrnzASinLpJ9TIFKq1x9uWoc2T9KnaCZdk
ZDGogYNp8nhLBu6jPLR5a3mDpMdDKiYNwp9GUoLfBdkjKaBwtzlpGM8f/vKotE0OSpvb+c0c4KkD
uOsy9TIgaRDFStvFyIR7smU6XXX+dIUc33rEodd/98G17Du++qqiwLNxgNATyaKWX1TZUnI0ai6O
BCjTxODzvxF+9T4MLkdt9g37CBaeW2XIOQZdgaujGnTzSlWSOWghJ2CNhVmH1C3If5EK4ulc6YZy
Amk8FeQ0kL7bc8KnIJ+hZDBSP//P8405lRmvGMPq268u1sJ7yUvlWM3deDsKY9pBqU33ta65oVOq
yhjCGWkgpAPfONKfoYe5KepJb6YjIzRqN6r8R+/MNVhsRQN7HhT7Sr47gs5UL6AEwOW0ZGDy+j2D
BH6xPpIYow994LzNbZxs5mUT0zFQgdGBw3GVg8w/Qdqt/7eq/Akf+JtVpeuGv0UZrD8KhN1tlX58
3lX+/FN/angs5w+LpRwOKyFcl+bpnyJ+Szh/oNNhW+gANOJZwsLrk4gfJgJrRLRZhHZ/ghnY4g+2
lziXAvOnwue/EvH/2oeYNHOWoLUjNA5+llgES5+b0I64a9n0/XiNoDvcDhrmJDKFbEFp+Hq4A68z
nbJxqPKtaebdW1c7w1PuqJGkxLBqXn7fFlnsgeWnhm75Ng6LPRhuDltiUF9//TbARmSOoXfAAVBZ
13E+U6P0fg06exzQcq4G7fRvPpoDoAVl0DW07S1aHKKIsaGzvay+hV1n3vB3JCBkmQk9odkPrP3k
udF3iyTk8W/6YvHL7vX8jT1/YVVAbTFRQv3yjSlLObdTd03WdxxvPBLLnwaKQnvHM63mgTeNVrZJ
fRrO2feAkE65ae/LoZ0s4Ot19y1h5GWtU0O6PPpTHFdduTQRfov5exvXWXKb92Q4gBJWGMfN8Fkl
zQXp5u64TZXhXaVtMpR/s+r919PgYzHEM4FVwWIzufzoT5MJfzJABctCXVddFD7XMXMU3AaCS0Pi
5LjVIy5zGVnF6+9P/3KtfT77vuWDdoMPBsRw+Y/la336WNdkh8fcqLqugtm6Jru5vyYqa53Cm3j+
/Sf9MnohE455C4YVGIGeFaIT+OsnSQRAc4OG55pgJOej0XVb7CPWvGKVy2RrNuwQ17Y5IQgn8kaX
f3fRLBfFX38oF4pwBXNlD4zIrx/v+3aaxEs2it/k7keZ9e5HXizfgfGc2oLarbGdc+r3umg0sTd5
7X9nmk8WPBpRdMt2ayJGz8jRyHxw+3YrBTQottTfpTHIjWnMJQneTJbbg2szV/r5OgBg+B9snv96
ogKEowIGSijQYTiLVODTiTK93q1cNzKuAImUH2nbKcbCRt5Vzsqepio+sV7Pv8RBSKrR3BCzWztQ
6VmH+D86yFE1y6yYur/Ohu9pa/vfBlcm/un3p5gd/69H2QbjxZQUcLkF6s5fRlqfvqXXBqnZAuy4
Qnwmo5C+kOpxP57lRB0sKqbNjXk3lJPbrwD7++vWqvZKtHJfLKqkvGjKe1m45YjcW8cvOivZqSsQ
ptJt5BOJNAGVaRXRdyySJ7jkyJ+iTFXXetFENYs6Ko4thFKwtVnEiyEpDySXFPcii29jkmjGFcwU
lngIrrqz9MpbVFhWOgmeDU4/zytTB9llsSi2kOI5p2RRcc1nQZc2E3ixXHTp0ThLvvSi/rIWHdic
jV+lIvWnJ7gWRnPZ+SCSmv7oREI84lvUcCN8A2nZnOTRF4wECM7SqjHe+0WFJqUCxkt00dFqwuJb
OkiIEyjJ8of0LGIbFj0bVkOUWRyHPW1reNNoMnEc3TY7y1rEcAX+M6JxdBw062HRy5XKRjknw5sk
otHZgCPpDrxqhF4TL45wtPOL17E0kwvRhvLBhf2OcTYzBOKucv4IPOglyhxpe3FpMAoDX/tBiIX+
QdggUj+iAZH9VWcJ4LioAe1FFzidJYLtohYEpVceKv5V4lgXMSEyQoSF2Vlk6EcaXsNZeugsKkT7
LEjECL+NnUWkqBe9YnqWLmZcSR1jkUXSONr+eOmB6i6iu143XVmuyD0hVuZbAh5HzG9KG+OC6Q5x
R+T1V3ZTWWe3pAb0vTSvu7xDJA8Gvpn3BBV2EYlvKV1aJor6wVzq2Iyp5aIeDNkVMH9ZXCcJKUKb
KqJ7Zb+S62br5To2123BGvkmAW5Ghlc++RoH8ViE3aWnMFZA8ogYpmh8H66x84wki24gpthevG4C
yD8ry85VuauKtA1X4G2Bm29HrBUQu0KLQhkITeWsa7busNjCXkc7XfgFRL2IqmDnVnE5r4PZ5YlZ
iZz8rDJpDVSe+Gzh8LCxL7d1nAY/jH7AmbIxa9ERcxf0wbWLuC46Vbbf+W62rkbF7osxDk83YmHi
xCdIWg1zg0ZTVeluKrxyOpiKnRLjO1Dba390p2Lfpk1qYAJ0xIshy9nCbOvlaCnz0jRuCCIxsEB1
VfWSYbwqj3YbdniGiCi+xwVlE2MFtN66SHRCZ06MDUrdPS46WT3wMrZPMIRFvusl32Bbd7jftoE1
zuz+s0nqqzIgqW5rcKu0ZCBa/anFeFlsMDDH/WKC4XSmvqI+qebMnr/Dbww9kko6UlxstkfN0UKc
eGAkhsudmEA25GmdRpu5j3L40zSX4W0W6cxZ28Qks/cl/dW4gCDp7CwZsarGuOPLrTUlc31MUkvH
2zx0EtSL/HsMVOH5cfnExMeOOmVv3I2p8Y5qhhhvskHyQLCuAoHINnNwDHa2hRb9tSfDCZ85BOkr
t694JcVQghd1A3EV9i5KCTt+I3OkSk4Nrqdxp7Q7Q2Hp4u7RyYT74Y4Rk5oA+51NFPyIUEF5M7Jn
ogAyZCZ2k6s1EOZtaqXNW6HpmzG6Z8ODcj39RbaJfUBvFEfbIHeZArID5O9xixoSDAMs65qUF3a1
qnOtR6sjy2OlPUMF686a/HE7iDJLD2CXBKFVeLfFTWr44XNlNsvFmWWN2vuFgpI4TvgM12az6LgT
XfHFatLNrAveYOEzGGuu7pKnZLsJrHBEoavCSNxmLfl19yLAqXIcnQwtRTd2S/GZgG5yc8MbWe6X
fHRdM3VdjaLsZiLY/OXHL1+duf3yvWRpXTtuxa/oG7Lil+1jPq/DfODWkUWcp3cVIxDiiXqqgph/
xjNVdFVy01jOBFXclqBGjolux/6qxCTGqMLsG+Rwi6xxOw2NWB4a3ExrfhEPEOJIljoZKdgzTvnw
RCZxij2e4AauC3KePnS1LPrGNpvu7W401QX7TZEh3ycp9wEpi96ryrSumzBu3hysK3jy2QuIUx2w
E7iIgAkOyF58kEozUch7Rsw6X0Kypq95kbu3Y68IUGggBOQvGpk7y5qIkJNpDpdnSNogl6IPCFhp
kPuodtIrwxfmCqCdtIyxVDk85qZWJ/cp+aIXOIsyd+OKVpDsXriOj7pJhM9tZgzxthAVtwlcMDs8
OozEYMbwQJ6wG3NJbcmU4xrJXKJMdoSbDFteMrq5sNqelXoUIqfgTWszZ/FbWDFtOISPxkSZfprD
rrW+ESA5Mam1LH8gnw4L6HYsrSV2UJO/e5ScFr02QKPv5noYuqtx8ouHbFDNKvDVwSmZoh5mvcSJ
kvyk5r0s8OxfsYB3Lo3OxBCWNFU5XMSTlglzeVUmj1Qi6ptJUixTBD9Vwwo4kMbRoIeg4S0wNQ9F
3Fjpq1XPdjCsZiqw6QmRiRHylxG1hxAdIv3JiKT+goId5kDhY5s9AtSw7kakzfO+7UGlb9N5MSak
osvs2zEvZve69OQSiYUV1rtyrISsz4nqRgE3k5w1HVRsV9rZL3l2sLCHymMjGhoKYIv7OWi4+nNn
jH1kJ5Op1pFUXvOi3YmxYIJim9shDZ+51kt1W4UIt3e9kCF8rTLx9Grs30TQ49iFkzr4Ty6ZWRqn
b9w5hBoWwXDPrjwk+yfmit7K1OZs0jjgNEjtLocr28rEviX/rfCOEbAgftc4GvFV3hoMq0u1bJep
xvruqijA/q4QbcU7lQRQN/RomsepcbjvJ6xhKf6HxP+5svyf6PtvJinkrLEx/s+abyrVuv34Vn+e
o/z8M3/OUUy4Bo4dAPNeyIti6Zn+AUOwTGxSaJJBU8OZF65PI/DnHMX6gyGjvQw56AH+6oXy/qAv
QE7s+a5r+/wl/40Zyvm1pWMBDrY7pJfk4yD0LM3Ip2bDLBNpRgbvZ2wNTYarPAyDqX/FJORU7Qkd
rE8Gac6eIsn2vsJA6F7aPAFJVC5xkfngGOsJtN1piZbJ7avKoEeGYENMTWxCUwxgqqp9n2fdGO3z
IHXT9NKN9cBae+b/jfpDxG0XOk8kCkF6we3Tl/2YXFoD0sWZ7MzAN2AmGDyjBnzj5YmEb14OOTsl
DMKgXAfzTVRttKgAO/Q1Dxm4GOL+AifWbMSTsU/CmzTFs006DvnCeHKNck2FQARt0bezMYHcAsi4
JpKYqvJ/88f/r/mjsKxFaPGfbxsyBJI0/qg+3zb/+EP/uG8C8Qdi/ZDhuQCASjKm+Od9E5qMH6lg
uFwhmoJMpY3/874J/gDgZAqUHpBW7XOaxD88hI71Bwbof4JHyC/5b+6bXyd+MKcW/jxdOoHCgMl+
9RA2o4GAs1AktrDIolAZ4pLoytZddtT48z2U9MlU1pdZbhn6KR0rii85JZKlXCjdDz8dKrrlySQH
fSSU15vx6YAad7KLWDT0IUibqNHIaMQX8OlI3/4c1/zGrQv4lS8ccGgph1wXYcxf7/hA9bqI2rm9
YKk/3ltJhV9NsxSbBt9ksTBxl/z+A+2Ac/V5bsRHAtayfAe+LUNFjtlfP9JIC1iJ5LJfeF54WXe+
ka3hH1vePnOQCCJqb4zmYLUmejXdhCBKe2fwnUPo9QT6uTFhM8fIxw+xmgd/aUu8qJ/3ovPGW97o
lOr1Mt1Lln1dISyqVyeq6otMWdQSMXE1w8rKo9ZbNS0Bxmt3JGpvF2vchxeGN4z3xYxwClO8+wH1
q1ZkGwd8VEgUIjwuH8wWr/GIev9nye5xRpp12am+ZzrBNnnyUvHYYhto1iRQux+ElqR7gu542c+d
tK7boM4XjkA6UculIRWdtXxz5iAFguUkFo8W62ne9+eWS7WI0IylNI89zdcYRRoAZ3KFfBODpuL2
atEkN2NS8o3CybWPBBol41OLxYWWqAGG+kgmuKUuRO344nrONex0z588+SpYBianrlVcf7GitzDI
OBnu57Zi4WcXYnyRtInGO+BEjlyKR5Yg9K6mk2gldo/1QP7vvI48FD1EOg38U9nnfDuRLfksTMyY
/5Lvx+gX8QW5v2wgFq0hGtyU6MPK/cjokJ576DvPQ7/Mv9lpt+WmSb27xFtGl6ZqOEjp5HAWPKfr
YJTicpAHch1oxzmOPPpd4m2ZWhlMGDeji9rpAeonp3VgbmldxJTnyYkMZfHoLwcnbFKaak2G0EVI
Bo+FgLoz/PU8DPoqifV8Z0AzJiD8/+XONk0K8UG1EzdhgTydgtHztU9YlygAhkBmL9zGWrSp/y6H
dnZ7xPVZ516ds2iNwaeBGmRxa9t5/CGI0DrURuGQH0q63kcV58OLtE26RFramnYexdygB5q8JNMc
8bKI8ukkRo+puVvTExpeo7o7kc6Gh/dx6dEGcqqgTqSl196Y3ejaO+XGRlWsy76xScuanCCZ7U3G
FSm+Mu7i3IF2dvQPaBO9fOO/ltkPOerxHvAFla5XMKIgzdX9UOxf+3VSg17HZ8TpKXIDs7QRac4t
oh4q6tmv5RtHhpvLz4jk3ueyZtCiTEOqVxW54z3LDW4EY/Z5OqZCCm+fs8e8cFHTS0KeVHuIBwbC
uywS461ju82BzDqqYrv6P/bOa7luJEvXr3Ji7tEBkwkTceZcbGxPb0RRukFQLRLeJTye/nyganrE
TQ0Z1dcTHd2h6qpiEkCalf/6DT7UwFsopDc2yUrzymC1eRukYrwXHAOpxzupyrMiSk11D56laQ9a
58z1eWsqTV1PIzzlbTZZbL9zPkzel1iQ7X2LOyvkNSjDZNj3+MXPvWCDmIn3Iq8PHQtuLfrA1cXz
Ql5EBVt0T/kOYiDYVaJjVSM1818ncjpqfLgSnrUCmFsWBapkfgqJ8OyhJFGZ93GnocJx8WKyH8fM
7cyrJIBcABnEAFpzrMG4BBtNUGVnOWNy7UnGvROEioucoSCErWSHaIDMzzb9qtghDDpKwSzVVZkX
he2S5wvatXFI10CtnRr8JJh7ybGpHb55mynjMqFVNn51u6BOn6VDUCVucRNmdZsctyLzKuf8mWu6
ynC6DkGBsx4s1tLmRhGZFip37Lopw7Q41JH1zFza49C9LCzde5R9F/jlbNw5iIcH38jL7suC0Wxg
UUZrJsaShh1GB4s0czRXAam1edwPwHbGJNfAZHKvkV2FP7BIai3+GhJw1GxFJW3MFMtqwucnq8oD
oln9oZEA23hofddAp1ZtATkgnYp2FUfD6O6N1Ax/ZE3gPI+hFSC7UMVVS/h2B7A7bdJMjTd26YTf
pdUXG7yPBHHXjXXrYiX03SCldWsWehj4zpwTFtk6ikg0Ih2carGrMec0u4irMPtiJo2z8vSm3c5a
i99iP45+QcrjpufGf9Vnc34uEYJsOphEN2zr1ffE66K7XmTXgwMGvFN1I7b1hP2qnpBj3wOa4SRo
Z1+GXDThVoH2nXscYOssredjpnnpFk1hvOprYjwgGnGzi3urvOfQqR4LmVfROpmbYku7oPwaoZzk
1eaww1yb+ta3HZqjlQ2Zf8k6B9xzmpdYOWqN97bYm3MSgoea5qUEKCOpXpfFBLWbcmDdKLM/qwnU
27kZQS1+klnlwYlGcxtK4yYJymqnj/QpFc/4CGGm4vJr9qQRo0Xq8RRyusu6FcEd6a32TkMkvZUE
kvtaos3uduKKeqlFbX3Ghg0uWhTTYdAM7zC3KdB3o8i4gt7o192UwIdq7Ps+7uefup4lZ5jEYSmN
aflfmQf/Y2PopG9IfULriv/QUoNry2XmbX1CGJ3lJhl0lrGt1D4lbsXXB4tD6NWiE6FBeQbQovYf
10UnLdjXUSWtdaS2hkkzaqmafrt6iWCOnGiQ3rGGIvINBRobQ9WawIIfj3PS9XodB+q4TblsIh/W
T6qvnriVrvGArEW6gLqOrtizF5YhmCcbxt8fjHYuxHAKZCTLJ68Sn56GYBEbvA7r+E25sMGQ62e+
Fnfe5uOhlkL1t24kz4VUGaIitTi2rY48KWTrEBRZw5H6aNmTcVksLCNJuqffuG151jjwcv/2eAb3
EINpAvVBnhrPGG7Jss1yeZzHKHj4dQQVkc6JIYuGaqSJJ17vx2Mur+vkGWFa60sEHabY74r1KQ9F
66kWm1Ybh3p8M3SKHzZUTuACpDZAhci/5WMRwp91LeH4+PgXeD9JcT1ZLFOwhIcIcurtg31BrY8Z
LOWuI+AA8xLrMBpkp/wbozhYu9BWXtTgJ7OGaNIBn7TGPuL8rPZTDPnMcafhk5f5p2fhQknMBr1V
Ft7JKDZNpRrrWvuIaMdd2zGMPQiF/8Y0kYvTMUlNMPyhu7xd1mlNwEuF/Odoklm/g+bApOgnhOWb
KWiNy7YCxP3kSvd+/2JPZw/jseh/MezbIYu4D6Yhs8VRKwP70YBKeJz1nlKky0pvU8DgNFd2MzNF
Pv5s73eWhT9iAajo8B7erQgPMrI+V9JETc3qDkr2ydbGQ21O4Mx+PNQfHpHJAbSGz5TDld98+4h0
shVD5SZ8v4Vhlhvl2dy0yG4FE4Zmw2Lcxqz5eNA/PR9ZABgWgdNhvnAyaA8L2YrA6I6ZXat9kQvr
kOlutOOi8+lKfw26fLvUkYU4ErtSsgDd9ystcpWrs58cZ9VAEUyMXA4ruDvZbdXPZOYi0C6Qn1Em
jwN13UCt1Vz2NYq8rUAUwOWilE8Qo5ufBsQ8qs65yKJrkiKq7JPX8n7jRSZgOSZUFxP+1ynNpojl
EAOaMcOX5pofB5BKk5E0dzxw6LSscMD87Kw03q9dD9YLdSWxiAignJPNPiSSwAw4444a9tlqM5LQ
VtEZHFHLKYMjM6qCZb4nMR2fLqu/Qaxceqpk7t7WjYnXXR12QO5USTAP0QtEf/tw8JDPgQaxGPh2
p3wqnRituXdZ9fnsUnTrMvluhJp1bDCLi2Fq6p/BOO/mpk3XldWw0M3AV04HrONmKfqn+diLQDzh
RAohdqoLpulYcRv/mwuBwcCNgG6JeeE4ONnT3Nkk04xAmuMYjuN1UqDmRlvCLUfqFbekjwd796mX
wVz8gXXcTtjOTlZdnmpGRb9jOtoBvv6Ury0zi4XILfHjgcyFLvVmydlsl0vxIHk4GHzLb/JbBZZZ
UTzalTNQQSjaqzp3uM7X3KZNvwRaOTdnVdKDhIgQWjqtdhg1WeVYalVnyzFY1uMtfCFwAo0QJctv
DKQSs6PUHntLoCxQL2urZwv6MdQpl+PBDKfrtkA6+1kg5vvJQA/BkwCmnoQAd1oKxQXqfidvmqM5
44wx4Dx6hjaDMGF9+ttVF+0K5oAgxApIj6by23eGqM9se4IYjwrGAyTwhOevy9rbaOZYnoli/BQ/
XE6v376S4FhbuhO4v2H+hnHOyVciJ8Qyagwyj3Y9imfbNvujEvD7XgER22lAdeo5k1/KcTQ/2enM
0ykCXZU0Zdu2GJkGCWfA28cVWdDGYoiTo4GHAZlueuLaBNZMsNMsExeTwP2BPC0V675sjObSC0tW
oKXCeG+2EyxQ06Q/rXc5KOL82lOvlbNcLDpcvWg8M48U3s0J+mUjvnbaCc9dUqliufe0MCWgMnWt
8kYSxvOglumVaRwGu4nGbnWEi0kX3bQb2vg0iTsMBlJwvxTgKFjFdU8j00VEnF5IXaM3qBtpfkNW
dHKp7FbbjSK2r8vJ0OZd6RQpku8WZwH636Z+DiytF37jyM6jaa6q8zYl1sF3smpGUjfVMxfoOcaB
NzZ8ZBySXI7OIOeS7PA6li3Yt95jMmHNSVGyZowE8KirjMz4OSiXZmeiJawXb6wWMBR5d3QN3ZQ/
O1oNJcQugSh3nvKCaG/3Kbeiop75u3Pt/FV89inGeFsvW+qaGprXt6jIJFY3RYOkPzVC3OlXk8Ld
eAmsGm8rMhyiayunl3eehnXf3jRWwwcxSaNSm9LIq/S2xKIZ9lrXGvAWdBzxUt10z0PbLtNbpzKa
n2Oj8xQI+eX8bJFYJS5UbSxQ1JDxmREs8S/y6DBJEN7Od0tembdJzUSc94tUHUQDR4FtnJJrtsUe
j+HBQUCu2jkCCHfzycaUzFrISp0dEek+D1ZxqMek0+7GMmboOp05tTxITUA4UWZBEymGXra3RqzB
sU2ZLtE1kRLormCVICDXNGj+fa8gwqwRYmj+XBX0km2TLVzOITOoKHouEqYzxM656DHHPURIlQLO
VaOPLyF2gmm5VUfbf8y4w67MmGiJq7DTR3VvFBKWDR09JlgBl9i81GLF2fBaB4DZM/uQYQE1RHYJ
bmZA5J7OAoAQtwZtK8cXr52Da0SW4/UvCE5mHb+MFWE6JBZGThxEsJSarhmq/a9lZZvsLa8cs8HB
0eipkDHQ22uDHvZeFJOKgLuGb2KCAknSlsyi2rW5mUWwISEyNgtmbiVN92OKsfDZjjE4/K/WDNEg
T4G0lkICY2TwuNIRWO0lCxKrgOfhJnH9QRAJAv96/Dl2B8gYgV0559jfdfMq1Qll36LEhoqSY40z
7/JKo9OQTYIXK7DTgrVFqEZ80xQ1v4iB+bPaVhhR3xazUY/fO1hHGtYOjoSv45YeRBk5ZlgwJQlE
tg4zpenZ1ehkbBK3NsXNZFSgwBGEjYHsDGNwcs5j2gBRuYqAK5grgm5OygpuLecrhXnahiupWkTq
qwx6JD4ZQTDnYPNaJpMj2XSg9VMGKImaqZhdIIlEBEcipUagNhDy1gUgm7HXHn6d+P/LLviEXWBQ
4lDd/M990i3sgvjn0+9t0r/+nf9qk+r/4EfoEjMsmIJQCP6bXuA6/+DubyMFgfFM3UzD87/apBb0
AgIq8f3gF9AxFeBI/atNirZj6QlSgMG6tCnv/1ab9PTopkKVkMUNmAr8EUrD29MzhJoyu1XZ7U0T
HJsGgsc6FCbyVNFZHuJ6qQrUeB1qTy/i4vjbu7r+VSL83uk8qYo4sSmOF/E/+AnAzWkkeV3TDern
sd0NndlvnCm3N0ZsZmtU6/n+3xgKX1mdSwqw1KmiX1kJ/cxcthhCcekHxB1WVoPkFQ59/W88Fa9y
Ud8bfPTT/u1sjGk1ISDevYq0R4hE66Vv4bej0x0+fqqFD/9b5fX6ApfbDJU/k+IdYIJ2pUszyQv0
4gARy2TC8evsl7G316hwMb0tyftZ8nTpk4jy710D/hocz/llFtPtP7nxtYBsgVW17U4rBaFqyRht
CkPUn+AK7+eIxAXYhAUjcJ56d69sCEFu+jrodgr7RcXcLBo4LWPt9Jukyj+9SJ3AGDwUXUjWlkmY
FdNEnNSysu5NKzJaDI0mUjWjVD1jt/DiYpJBkk1+ZgdwZj7+hstPfPsN8RLmqg4qZHClsk/qdWIz
k4EasttxJ0WnzcHAx0Lo//EoJ5DA63OZMOYRiuvwfqzlNf92kxJdYBRkR3Y7C6vDlaVp5wgmrybs
GGmncWp8PNqf3uLvo51MDW5yYR1SL+zcnjDqgOjqsM/RNyQpIjDMiFcqTX98POTpReD1CSFLcQMA
vWZCnmxlU5Ta7jCw7IzIFleiFNlDqHekTZWzu4fbQI1V3zp42fp1hseCjc7/WElr34Wq3PXYLW26
EUtWNTjVP8fR0g4TgP3KDNr6blbToiPH/InGzycb0ylwsvzeFqaj+MdIUOR3M85tQtssW5ZRPHQ4
RYklb5o0G9lvNA1HFIJC6Dq4aIEt3t4GQaz4rs8I0jvDrS6xwEZ/XoXeFUzX8JMFLv8wNQG3aRWw
wiX/PVkMiZehQ5BZi7Yl2pCkKNegpSPsfpsGfB02X8j2TOjE2DR8ymwujmORqHMI/X26zkdCtHq9
gLGJiVM9FTj0wC5fY7KAHyEX7bOwM9Wlac/aAQ5Euabsb9eDI0nqIuLioYNa/tD2buB7sNR9JTRn
CxxBt81S7gZn5WObqgbz36zz20DiuZDJs0ikX6B44v0vJm4YFq0tLDxi0jPaq9JDfVzHmFtPgsgH
rsHBuR5N+lc6zf2OmlEjSWt6SSfrtqWbu/KcMN23dtRe8ZOLT5CN9wsEkJvCgFUvPBvk/u1yxOZR
dnJYPnoTXWpknyJG0w9GPN53c4DqtkM9/PH6+OOIYNCAQ1jbsN+8HdFTY093Lm13KggOOG5tcJj+
p1eIc2VRvMIvfvx4vPf7NtY57DbwIzH1eQd/NaHXF3ybdpdMWbUyezEcwnKA+Geqaf3xUO+nKfiQ
aZu4LYDQksv89tHCDiO5AckjLhm9PCu12jhgSed88gL/OApWQJQpgKa8w7ej5LAw83bgBWq20oGY
HE/bo4Jwrz9+GOME82I/4GlAKSF/oSbkOHo7ToqiwkAsgRBoNMo1Aptka485CtCmKGEONw4KISY+
zr2opdyvENZ3pUjjz7alBTd5eywhKYYRK8F0aCC88lJ/OzDquhRz3DvNToyZs4H1lW2RjLRbMbSx
61v4Hx6MYvQ2Si+fs3JwbtM2GbAB1PuLfJ6tI9Kkz7oZ5h9/JzrBREBaHjXrybESCk3TgshqdkXY
FQddyY2nd8gDira+DJoKLgxWD98yNBOkSGvTVVfFk2/Hurn23KJEOZM9Z1glX8KJWs/z8L1DCObX
cVvdTUXHFbIF1uFmPByLKbvUdPLEP/62f34A7Aaw5iIxk8DMt982MJSXT+7AS42m21A51bYbRPgl
YhfzIa4k66AxdD/HrIsTS+VHFDhPbuzcN8r2Dl0VBP6Ihd+SCevdlHB77l0xP89Y8x8tl7AdhA0T
gViJxlnRZlj81NUnT2As1ci7afHbE5zMzgH7PYEXGwCbloTHYPaKIw5mxTrR9HUbKzb5DnZxkugH
qySiiYzXz6BU64+zgH4nLR+XZu/pcncn9hKklc0ugaaA/Ujmyh+UVdcOwbe0XnVsR/rxq2Ma0T8R
+bZdH/pJaZIoadGf6cNma+pNuVYgqKsBcVO+csyu8iMG3JHEmfgiCY3nqTAMtkrnziHGScIHWdua
B/0ObpLRS/1cI7dgP5flE5lgdza0CB/7uSVPwms+c+F+X7q50HnIwaBCsGncn7xyaboOcBobQp1k
X4tg5/SYGWmzHq2IWbI+qRP/sG3jhQ1zl7qeH3za6G3oJBO0Y5D4HRYvHgppTm1sOgXitE9Gct/P
JEZa+pNC2HijnyzmOgg74D3JTFLhfWpY4VdQSPCjfOI2ISd8lFe6rblH3MWi1cfr8A9nIQbvJogW
TXsIysuv9tve1oYxudAJHZ/Omb4hz74enfpWF8FL5rQ/uPLanxxQr7XnyaqBCI0mwACsBqQ++YRY
eTZjHDNluYYXtxiFXZpTYK2ngphaq5+fkSXdgyGO63CqKG4EYVp9EwIJU618/Oh/nEy0wThZYOK/
a4PF4Iwy6lm/g1u2a71ySJNFVwqBDG9TGSUvHw/3h0PTps3AZ6aH877vYXtJGqIX4CMD9+7Cygj8
uXOjT+6If3y/tPVozS6vV7gnFQBM4rA0kPjvuCMrHxPUaN0XiUesnqsdBiTCOLuJbq1NNXGuAQaS
oAEZYlTtbJ7tz/bI95dytP/cCrmU051415Qepk7OUUMPwuqJvAJnRQek5gscYEI/zA3Nr5q82EVO
C5Ev7fRPlpXxpxVMNcTLpm7HH+RkrrV4bJpWoavdBHXuR+UoTa6wdW2vmtiQOSTp0rb9suMH4B1H
tt+qt+tM0jepUnNF9E6U+pDMh4s+skj2Mtu2M3wZyubnxzPjD78maYK2zR6DOQOZ02/XYKS58STx
B97ZY6C2+NX0G9HQpaKWjz95JX8YCuUZXXvsGfA2OcV+4sRoKro69Q5AO38R1uTczEWUK5IO9X/j
sRbzSLqVC6T2blcDwIdT7op6J02M7ukI2hgvOsFZolpQxH8Bjde/do/fwbM/bGKMBCxCiYhVwilS
Yc5BmJQdI+GbGa4DqPF3ZP3gFqU3tInGXKwECodPto8/vkru1wKzU0NAB3r71cJQLzA7kPUODSih
l3IcVnGSm/h7mc0nQ9EYfX9CUGmQdbHwLQjROJnJbirKLgR53yGt16EGTLTVMCIWw7xG4AqD2laN
ubapyTO/tvoBv+RWdeNmBqfPb3JXsrhiC4zxQNpC9mBWPZi7KlK3w/QJ16gViqroqcTa4CKFLIRB
dZTRpG+wliM9m0eyfGfJACDERYK5D5BspjOpRd4uRpeKt7RQUYLbW0QLoDPpTmVilOYWYshobyzY
leYjBPo4f7YTwBLI+NxgojNas7iJqjhV0ZcmK41p8bLz5A6hdS42ml4ZUBSQFu6aLu2bS5kTRnch
Wozkb+wGgfSWv9YGVKyqSYkLFV5arAtUvuGF6xTSWdPFKpNtJ+vsrofWGRxVoZWIN2BNrqZQmQrl
RPyQN3AX0ETilXFwQojMvtuVNPAn7PzDTV7hN3Ce9FwnCaL1qoGMpmbAhh616TRCtUe7f5ZrkADA
HXANXle5XIqrmEivJweJKKqtoB392SXu7g47K80hMapJpusB8/y7Ihaq3Uxa7Tm3eond56Yj4Kg7
UMSO29odvZhwxBB3CIRr8+w32DzuCjJxy00WLPCfrmG3u6ob6X5JojrzcRctae+LqCcIu6okyY7d
DTjvtsMA5GtQmdljho7gti3g4Aakb+1xzcwWu7CrLpu2Rd1sR2wrbwMHEFVEyN3Rr+/wOR3WqZfm
27Drj9jhDmSPNk9JagtY3ybevclobWHY/BRw2Dc9Ml5+B+XsbOyINx7t253w5hIrcDGvcBULzxpR
jT+cloaXgD27Kpz+aa5tiZv+Ek81TphJZg/YOm1sZATX0svVxtCL+Bo1Hf1ZOphnbp5FF5hQQJdx
8AZp4uBhnC25k5pxE8cwbhCmBAfsh1N/TNKOooK08YxTYt00znyTZiMhGgJe9jxJ/ie9SkGXxkGo
Y0pzfj3rab0ZWzwIE9Q1ODWl+dlgRWt8S91roj5uEYaPG2Nwo+08q9mfCBFfB+Zk7mZK19sgzKrv
JHzq50XkEJrb1vZ61Fv1QpBE4WstFjIugPWOuHd5UJlHzhiObAdLj81DMzkEpo/90cRLKZaVQbDW
9JgjQX8s4mAPL+su7qZHKLHFZtA9gLoueMxtLVSswNw99J1TbHsNS2XcKO4RRC5+eDiX2mHpEuOK
PyDG4fOKgIF5HXFvuI2V1l/XoXJvmw67x8FqzlsCXrBWRaZDm/8Zymi1d6023sdNjstH7vYvomk7
7DiGGYQr7ck/mHBpwfHf4mpu6grWfhl77X1aoulYmUyer7mpW+PaoTWOX17LJpGE3fCt4t1fQhuP
gUfg0bupcdC7cMLzoS3x3Z/dM/6A2SsLYhPgxz4159Atw6H5NkXKaWoM9gIx4CmNrcw3JAxb6EU4
buA9PVQ7RzPLf47IAqq9lWZmt85d5eCbWuIMdq5pNsGgqeMqnN6nXmpH4Fm9AaStsThQvKlVmxbZ
enbz/j4C1b82s4SEsLxI48OQENQm8Ra5NAY8+InoHpBT4CRInkaj/yDMg3oSfLciBkbPzrCOV//E
sjm0SUEN8Twii8A6H8cGC14oAi8e4D6CIcR4XL6XkG3IMeMX+kz5i6oWU8wpb4zvmD2oNVc0eeUV
JjxsD29GzBamXUvFcu9OIvnWN/wcBEE4JbRmfZyR8PivfWOcknB7BYHVMGXB4hF7HmZCZHn1Y4SH
zD/rSqRbdCL1I7yKeJ8gVMXmEPuFbYzC/CuaU3xcnXKgKx9I4l66uWFxvHojpjrmgfAPpI80xjpg
ukAUCxDyhlupp7Y4CxMpl1c06VdtHPYPi38wNh8yJqPDC5cgzlIXuOPntAYPVRFlyxzUhmPoJdEd
st9sVTqqw6iG16k9YA7BIyJ58CIEiDO/KikDD705dsNFGGAFGLtQLEsdo9+SqOtzEcGFxDwg3r26
9vatiW0mlUh9tKsoukJzj1cmjckNwJm8ChVLdVMg09rOHd6QQzmKfOc4TnhFnE3v+JWM5BWLCF/w
gK8LCL8kHng4YJIT/UPh3XwjZmXcNzHvO07SaTdjkLBzI16qpsR0pjE1byqpqh9yuWH6hT1X/Tqt
cTbkzcZ7OWIAamvIBA2Fx2FFpvn53DdYuU6VeuwRN6BlcnDfXcgj9LgjXivGBhhcgkZg6dM2P72h
kVdirrVh1ZdeeDUiZq6odwnX+4lPiiCouTIHC2d2OujBdG5wLFfrwUtCXyMDpcaAdvFadrsuwDS/
RGtVIYS5imUZfKnsKLxEtlF+t0MCwls0UEsszBwYq96liJSQjbBXd/HnVzp2/5jSnKmchyeBc/zi
ajiTFiFhA5jh48ioa+FV59U2PqiupAIvdJeOhVVnB5UuLietB4izJvAwOGJ8zD/wmqoThkPWoiih
XbuaWefAWFgmTxOgtev02O+GQvpBMGHmCyGdWd5FVUfPxZR3cY4RpShbTHGHkl8ykzoMhlZVT1YS
4brtzTXRTCTwXE12jhVlg7b8Mavn8dq1GzyVF1fcePncpgrcc0mi9G292MMaKfaUnuNA86HIiK5E
w1tzk2i61kNtetHnEv/ZEVeSFaB9cIuNCllKeoTlsTXwE8sZ7o6hj19eXa/nAbsYyLVA4hstj6YX
pwLm84MOv+8VeEuDANfWBpQzGoQodvI51/C3w0lTRFy50DqiTjzkfY/pcNQxk2atVmy9tmCmsWdF
V1malAYJC3N5rVkJIG4/ZXxrmJJRfyA/A+9Tr2lfShisGOzpeeLX+VC/aARPPLx6EvdDYzzbfYLH
F0uvvmG3mF9KM6mUb5sFmiSVyO4ZmwlcOQPUf3utqngtNid5s9MJ6VIr+LrG/Wxm2q3XoqeNHbt/
huNe32A/DfBfm3hS91P1bUyC+sZo3fCKnBUosR6x2nHjYt/URItNhcv6LkiR/FrHcaHfKFiR7PFl
mstDCfP4hYraueBOHGyrLlBsYkSGgZu2VkdD2HK/z6gwLoO8Cnd9lvV7Yed8Go7Nc0uJlJhE9LDX
tmiqbYWR9BdV9TjHEFjchiX/V1NV1TroK+uH9EKJJgz6UyXw9zGtsfBlb9k7Aw/nFR1NsU5bxTrE
KGu6NXIYSBQhA+q7JHgws1D4mVbeof2/6InUpBep45DeKlhD2HRdkgdx1LuoPyZ5BRWnSe0rfcDn
BnEa+4Y1E/Ogx9rFaGvVVUHCw50dmOXBG+MuZNPN0SQWNBtruIMHGbfHfpqydczavNDDQZ0XoVMQ
1o6uilKfEhC6/AoI9ckjHvKQOgUcs7K3fvaEW9axbrCl4fg4W+QDFbZBunorzlA7iq/U24TJ6GP5
wxuWPlNJIinI8gEDYoduGYEfeySU01cXCt0tDPJh64zV3i6zeo2DcxzCBSz37jA/gf/l39LcmRff
MF6SqYmQjZ4bju9Mk4gQ6abNIdV0a9UHGnaUuSB8HD+fs4gkozUV6nAt4DftrCRp7rpag641eOFt
1zBIJwPnusP2BU6wRR4GaZhPWDnZD5h5Zfs4dh5G3CSwhF/8X0n1BomLp3JVxkN0EbsAN6VhHgJr
Nn5EejBse1fTdy2q7LUbd9Z6IKIOtDcijjMFKgyRkZ1RXIiviZC7Qo7lluXEBlzClFyFdu3tPBIz
X3pi3r6OlTAuvdybYS3k4r6KxgQRpSe2kr3rLA+a7MGQjnMz9Xwl2eMRunWoC1eqVThZjmP1PNNq
Iv0obOPLOmEaxAXR8EtyTMW2hqqfqKuk8YneU5iP4Zw2t6bfOTYFvQiTJ+Jk0yN6832b1lmykkI7
L6dkvMEu/muL0Rja13qLIUyyJBAj9A0Q0OVCBl+w2qHMEP02ZQskt9Rt41tXVzMh75Z71iCT8QM9
IsFlkUNaSl7llSxLPxo8g6ZFNh+mqewvbKlx7OQwx1hwdnGswjHBYAw+NeFPuMCtlCq4lmZawjKi
h9ZfeEGbPOamsHdQgQuOnBHGao36Ahe4WBuvvcCqzyfAbG51To+us1NJilt4rN8Sd3FUiTPug771
e7dJL/DpQI1V4FXXiDKjOTq0K+LTWyw+kglVSrJHcu49evRMuec8KbT8WLFJ+I6E5i4+kRGZY31r
PGJ+pQ6l6fwwZvs5IODiOxVr9j1DqMim1WhfnAyfOKvvwk3rdPnNZFOxZOQg0PSGa4g5OsZ9lEPj
Hr+tPj5qBEtB23X0xtk7pOVxxhDpdqWRrITFwOSUV8A3BNmb6HNJScoyNqHSgNefY6d8Y9ZufmOj
+MpW8cQGmkRD+zNrTP0HoULRzzpAreKbGj+whgVwlCop7yZhusOjouLhu8VccjAOyjglNIjUWeVy
okCJ/cZpCXY2w73sAP35W2WAmp36mJtpmkfiGKZj8zNP8WCFHLnwzqcuf0lFAarQzG3wXW8S40f6
6lhUCowEmnoMvpsp6cK+CGKNwKQ5aH5qsiJT0Jx7z9nMqSzusnpkY2iicSi3Ttj25VZ4A4gGdixM
j8jsKHDQv5V3kd3h8wYlM/guCQpFFFuN8DCdxEvlWhQ606iwpjZd9w2/Jc5V0KXWBSwth0vMyKBJ
LIrmLJ5ly71RL3pEzUM1xOGW4pWfPGsulgNiAH5cR8KbtJ02LSVAS4cU0fdI1EcS6aJY2yqnaM0C
UrvxquSo87OxC773qo/IBejQfqywm8tfzK5jVOTwMMUHYXnff71M2Wtht7JoT8Y+CY8Ll9eYx3LF
faLcEdQa+laNW6YPFsSrx02xuJPwxwrysBLgHpgFMRfMdCTZ2gAFukJcNhpbHPzl2QTL8g5XjRS7
ekG/1R+CmudLHQkeoio9Tc4aWAz9Lp8gflx4fdu/9DbY6Koz8RS9wGIhuk+n3twVHR6AOcLVm9Tx
6sBf5ND32Fk1034Ehg+uRMdD780eYTJQu+C3jouAj2dPY6HR/ytJreSbsHbB/qNpDS7DW+y1ln9+
LlALxdxe4tUvC5Cmb55j7CWzndcpbOc6L48TzOBI5/EznfWzGvicBFKA/x0HfHzx7ihbKjpJ8Edy
0G0FiIJLRJawucRwTVlTXLg5hDm/cCTQl3xxt1tcRWcch6+i3tLxQqaEzJCmt6sMbuAXIyFtE02s
fqQnjeYw76ybPHTHc7hM8cM8R8OXwcT+/hXv/F8O6mcc1F+K4H9Bw+un9un//HL5uXzKn//zP3bP
JXIF0ONf/+fh53/+h/Hr3/lvDiryGeikLELkSJhd/cuqx5X/sOGDsbTh+Cx8Rf7WX1Y9C0XsL86p
pf8DwgOiPjSZiECxj/l///eNdrs5+evfcWs0wG9xXa482P8sXj9AyKDX9gIy/9Z+88wS+8XSzfaW
G34bCBNatQ37EE3Cx0Kz71Sv7ck6rh/d3HikpDG2Ha72DdBQu2BEVPXmwRry6dAsCFJhEAvvLaiS
mnQC4xekqe099TIFsCDLBYcqF0RKW7ApWsr6rfaKVy3IlZWBq1VuHG8DrSBgMXRukwXpGuZ4nbpt
Tv4VegUwg+XKWNebRjPN9bSgZYBaft3nV1NjEh6/IGoJ0BpM/vlGYquxLp3BgeU/dPdQ8jGvWlC5
aMHnBEDdsCB2TRt+tUVOpPmC5kENjy7aBeFLFqxPX1A/AyebjVyQQEr5jQAaJGZg1S1Y4bSghjnw
YYn7JYwoEtLUgi3GC8qYLnijtSCPVVZTIixopFpwSbJwG38QoCQIn362C3opFhwzXhBNiponkwpy
gemOnBT4JMYAlcmChJINFG74qqthQUlz4NIW2BSU5SpYcNROq8d9ZYHJjU5p3HoL3touyCu8nG3u
DTez0ea3KayX8zhzVbdK6GinXOyyC1VZ4bAx3Z5dhkyGx44bI0FCiNKtRmt9yyoog6uwV3e1pQV3
pjDkmUgnzjQtl1iTtHbNrlPFl6rMhsfAY7uEqOo9jLmVEi5adgA3JahX1HuYQg4pdxz4AjfOMLDP
ofwCAzMxUGwtMjScOOGESpw+eygwwzmTGUi/bmbGpSheT3wjAyAP9UqdAxYtWVoWEU6xZ3YG903w
g8asiqNqgiBZzaVeHHFqpkqt3cKpVzG2uninlnhz6yB7ZxMNj605OMl3x6S+WI9BWGzoGQUPr0a9
LkKTDdEX/5+9M1uOWzmX7gv9cKAw47aBnpvNmRR5g5BICUBhLMzA058FbXmHvP37+PjeF3Y4wiLZ
bDZqyC9zZfUIh0RcTWeNbq0QKI678r2uI3YEX7hsWWm2iF0htWnbITTezQCurj34UKI+sTUBwmz5
+41AUqALM123sX+GjSJNoXQzf5mRub41PbkdDSiwDOK2411tKv5NMkx3vIFagDBNFIoWb/GEVoTJ
r+Nb4pmY+1AvCcyRmMhfbNows4PdDvzyMILmBzdfk/BFBcIK/zgnzMp2ssCc+TvUXs43FBiI1Rb8
XAlctJjDqSvICfH87VOHwRoWSG68NNaSOXGTLn+pRZleoSiyIUKk24verL9TKTvdRX0F3mN9ZRJ3
Lv2jveDbg85w7+MlQSKwG9sJzCjx7q2139jSuuJHvh7USrvsn1pp0V/kgL0I0vUX/3lRZYbbPbtT
wT/MI2kc7YFFJMSmO291v8UuOFry/ecnTdoUimwW7G79hryQfU4nuApQEarbsaYuYMPhDI0TgeWF
45rxOpbrHKMrLPeeDlvrWGURkC/OdGHTcCsx4h6wFhkyVr3eKk9asXoiDPom6aItus/OTdJrqVfO
Lc1h81nBvXqIyLw9jEortgmfyGyz+Hb07hvoZKNdJMhL0cQ3Gjx+ojuvgZc40R6rBdfj4nDqVTG3
sSrv/O3Pv1YxFtVjGs9EbdosKrtA4MKk4Il3bnYt+yJUa0Ubx8uTAXGdb9+PDLbdfOJTv/BfzIDe
PCS/wFAVBelyubZlQg56vuu19mlQnNUHu3ovgcWuJY+B790YXc+9Pr5LBp06ly45FLL5ASri7Jvc
SDpOxKXhPkytye0h2XfO8hI3LXwlskoXB4Ef8djeZq22Meq5CjyjrB469rF+Y6y+apEK54HTz3Mr
pLg6QHXCTHgx/T61GQgX92NazNd08gF1ypDCoZNZutGd6LTpVkwG/NAqZlozUma1J20mN54/WFsK
JRBVmCsfhiGvg87LVBJq8FzLeAoGZXxXJWl7RZ/PWS59uy2NQhyx2X40ojuUnn3PNpkH2dCbnEvj
6E2LjS+t5tFOjNV8KQFn50Pe4YYpMQIXlMRycV4rdxpK3mpSb4+9aVnBkMjlsxhsjmvM31bfwa7u
psdS9vXJdzOEgC4JbHvhD5w6YjepPtrIcc7IdIhnZ+bQzqH1mE1zcdSJeB6IxmWh7vV0gZUZwAq/
5zq61Dutqt6U3jMxLCvih5nunho++EwvHD20h+hNF4WCcqHIOc0/zLl+qFPP/Z4aaGCAdvV3F9Eu
JIf51GFo/DrPmrnlWQdXRClmQMMaAwiE7pVSaanNsCysB+aQH2K5mBxeQfwFC+qSHz2qov1M5i7a
6mATrgxTR0IctAJ1lP0Y+gwSu+m3y0CjfSWca86af8/HqtnqTiTuzGW2ttCoy4qzriYhyWR1aLWE
ulph1N9bsnLbhRJwwIAZQOT6K3wGI1Re64dSDF/0iConvWK397lLYATtP4hmvKnEpABJRc+jqPHW
m9T/2uibQWUxWW4s+znC/Rw4PIbcrMr4C5DvNihb+E/YFS6jx4WYQ4L3abnA3lzuWM/UFa5nCBAm
TBSd+TR20YgiaUTehJNFPku359LcWsV3oEryO3pZfvKbwgVV30aMZzUkCccad1nL18YF+Oal06+g
8qp7mInYjBLFycpcnSF1413roabpWZ/z99EQ5tXpyIrYnLA2jZMuYc5TxErepajHSWmD5WLe5m+c
ScaXgVGJOLVGJCh2bhfnSrVqv/NiVeg8EvELID3t1hGNBxEUwZQ/YqUHURNr2yGT/QWvFeVJoozi
TaXsmjKQZWQbnPrqWgFXPlnM+bcROGuI7Sp6IT7YPaAvpXK7tKosEcpL7drFnn3kpJDthV6pbTrB
2qfGpLK2STP9KAvDuBVF3D2PTToe6INQr46iyYgeujLkWsjd1h3bULPqFLr0cswKTmGoyNpJr1jA
amGoQ4VPLaibTjLrmSPmXsLjZeXYIKz8G3W33qZtovE2czT9ponKZgeRqdkrA3tXP2ZRwJnhZmIq
j4F1Hxu0dOXe8iabpqpDWQ4MsEfVBIvIBMCsNt8Vlg4vtcms/VJR3Ejj375hpLUx+miFlrfD3ZJx
xqNPvGXnGrzbeWTar2Q7Mq/MtDez86+irNvv4wqHVc7c7fzaiXeUosMwMxXIPDoBQvCqPOKY6tcZ
xgM7aHVbuhMjA7+fN60+2i9mPe2ncYrD1gTj55judUoNsWHAJPc4JPfAGtogF2R0hyr+rqZ5b3Zs
eQM9Ytshlf120qfplA6iDXrZRsdRRZc0Vg9WZNsh1TUSOKIznSOJe5XRhpZka4/18uBnrK7i7Paa
k645nyQX9T4rRhnfm45UIY9wO8aM9EZrgFKoaTFbQqyoS8/gIMw/Q7/zdJw4/y60q/Uo8zIuMht+
lRzCyasNZL4+myQcz6Hvq7BwUtxPLf2f80eSeUwiNo4ZVcaB3fCVu/S9pvvDrij9VfLpx8eItpGt
mJf2Gku72snBtm4QFr6oxUy3S+08pH6lBXLpuoeEqWWY+7a8VW5tf2sn6s+kUS7fRCu6m7GA/piK
4XsT09o82sZw4w2DGbpAVk7WxO2Hq3t7h9Bj0J9HnXrMUWVrREius+a+E3WLKETs5dexi2emIY1l
st8TCtVSyAxS14NMtWUwDOkEL9tL2CrBjSBdp3vd85/8lZRmZ9YZBt24QRb4dI1x2FiqaK7E5oO8
sj4SErBo8ql/mul+LrdSrIf+GAnlm45Y+OlmtryMINA4x7fWwQRBfGyk/6gTqqG/nrOMxqy8y44L
JdYthwRrvlhM3+9Bfi+veaPnN21SfHABjal0MFSPiEGL3Zl0fhWmZfKhioJdX1PFpzvQG0XtRNfR
AZAOu0bozRvHF2drMHl4oFRoCTgDPZiptG9NucTtRhi5edItX4XuvPCk9eX44vRjf1Y1TXNLPngE
TuYuv81KtXaewi35hiFEh78v02kHip2tQPcbJk5cDSvOAbnvfXqxzsIxxLZ4YNbgvXZ4ud8Wsyi/
LQlDWOR509JY8t21KkEfy6dyHefb62A/Wkf8gJonKh+WY7qO/+vVCFCtloB0NQdASBWh89MxYJdJ
ylBJjhUyZ8VHKOZQIn+6C8rVaIBot5oOul8eBE7PqyVh+sOgYK5mBVSi4UeyGhjc1crQrKaGCXdD
ttoc2tXwgKp+yZq+4J6FGcIBO3gXrwYJc7VKZKtpYlntE/ZqpGhWS4VczRW8sGcuflHo+km10yQW
jPynG+O/qk/Zpd38b1SftQEJx9+/Vn1eZ+6KZfy76vPra36pPkK3oJebhosBlwTlT/vc38Hmgnzx
ms4xV2rM78Fjy4ZrzrTLw/1uoQytUtEvEcjS4Zr7jGN1cG46Qeb/SAX6izEYZJqNJRORVhhYF/2/
5hGjHmOcHanx2hefoG4hAHz77d349/bIf/oBf3EqNpOZF/XED/CoAUo85GX/Kx3GqU+X8L+zsq5G
xN/s3UTkqIElMIqdHOj1P9F3Zlby3AbAcCNtkBckRItflHWffkplv7dyir2PpIISqu/12mg1JhUA
MdLyRPxbxcVnpSoPs0XcWwmYFZpiYn0/e2X/nVgYjaaXvuGUap11p16OeevLqGHMrs9nx4Io9jRT
HiSN1D61nRR3UlVYw2aGVlzeQMQCS2D21G0MFk9qHsbBZK+180Il2aOCdzAwvLbKwSWCV3mkNFNn
xsxZ9sYJiEn6TONPf84jxelvYV6O83BIc7M4u50tQ3tylqvHUGB81yod6qwGZpvWJaPhLEXy/JbY
Xr2cJaZR7XFEEbDKrTnEka9xZfoDOu/+JND/d9X4P60aZKT5oP/rVeO5+5r8w5Lxxxf8uWSshQdY
pEk+g/njAvmnUEwC7G+EaCgjZF0hfGOxOP2d6U6BAsvLSnj8c7EwXQAGOh9eW7j2ulb8Z5SCf1ot
WCFw1+KqJrABqOAvDzNPR5pUszff+OWiLRlFP/VML6oz+i/FCn3DvAj3Y4jj+tzaKERipln2Jz3k
J3GLTa86G3UF/WTl4HHABwyFceauqEXLML3Kp5R2BERefW15LgrHisYHzWVCowKSwWA0n5No8ov6
0BccHZ0/ChL0PNJu16Lf4lQ1sml9muhE5f0wa3dO+8NIFHMajrGLHoUn04VGzJ3cU8NjPfAmP2pl
5Rrb2koMaxvLsVnOvJc8Mh6KEFdif2BGVvNMxdTaY06ylrl7aArK2eDDp1g3OBQp1yD/O8Jbf+Ke
kzwtXWXiOSM3mC+99g0iVso6YYFSrimRvZ8q+9pNjTrSGBvvWI/6rz5VURvAIsh2OJIx+wK8D3wM
vrkL/2dxDVQ1btfYQTakdHFhjaM+qLPhLviEIK140zUBkq0dUbDGOcxYAOZHON79QiUXxJt4F1m1
jfXESEHS7odIrzpQ8uB8RYrDIBtUNj04uZ42N/XUMhgAQmwbzH//ICX8d3r0b84RGMt9fPX/ekW4
zfKvSVX8w/jo1xf9WhV82mRJgLosCEAt6Dz5bVXQTZ5zx+EZN/6YLf25KvxcAXhcCRw7PP1/P0WY
5t9YWpgjOfyQ9eu8/2SWZNtrYvK3rfcnN4UIGWlQAn3mz/nV77OkhrqxcnKEOlnIdSHmvl2XDFTp
FZ13jyU9qY44lDSUAtyfaIQNVKDnhJ3rM8cQhWti0pp6KQM63NJor/Wa2Tz1pITOdFCl8q7Dqsi4
OnXfbG4+p0TE+bkbJXnSFdil9DQtTsYUZTsn84ewG2R5kbXSqrcyqaubAX47kKFZ7AHZU/6+JEbN
7jk2/tuQzqZ3AG3PVbxTs/NlGJG779CPXcjcaXKRMAGsrekMJZ60mBnV16HTki+Uh7fFoWoqyoVq
AgLOpbP1pKO5MC/QyHomwYzTijH1zPGaJ8SZ3Z1HS1l9rdqWXzcB6O4GNHYDDjp0ZACaCdVX6VqB
GA5SF1OlwRTFDrPeLaKrR8qEgG3Eft8xw5iLfkT+sX19DPsBdH4gIGHpH0yw2nGh/Q7wJFfwsrUB
k5eygjtS/NHh4vwsdCk9Q6OH4I+ml8RblCVCTCrWEmTOEJd1gAXCSNxs48m+WuTnEs1za0NOKWKI
5ENcpRZhTa78eyMjNXR1MUceuV01dyjgEbq3ZnK8sZrV61seE00bCCTXxmOGUpfCe9Fx2YtyvBfI
QzvHr+evLkiK7Zj3eTBnMz73qlU4m4rsQtrA3FcobLSuQQPJykFhJCsrZ4Ms2x+9YQrcPsl2RUGw
2MQdekv8j3t2QojPsYBNWJ1tbiTi9KFd/Oi+WYWEqNQIrGbg6vFQDDUmH+c5qwpEjVi1d2MyuPd5
nQ1v1DGi0fmC7AZmqPt189vNQ5W+5BSq3+UGXrIsqckuj32PVcVlhsdx2r36fha9JPVkHqbE0W61
KZo6lCnN3w1uY14iJ8r3UL7R9ITbZPNLrTzK/qLceVaOKB9bfFBiU0QJCrYtlTkhjDc42Kp5WY5l
Yzh4u7u2gE5QdsdxWpr9mGcxIlFlnv3FZbopant8snzRzmDJmkiGfdbkP8RoOUxQqSqf8C+VJdS1
ihkmh4Y7IHvusRntJ6ncsJU96gX6pHsRcx2j71DVDlK16YfbPo6Ns5im6sBtot90EgUZz0/b3Ce5
U7407QSwPXLrb6ORvEIjHCiy9LwTf+kCqd60grmtvZtlzqf7yGmTU2mBSIuFuXzpzaUodj5724es
Gv2sLaXLDEuZ7mnMJ39nyfr7gLPjIGxdbRMOGvwFXfmIYtt/0R0yuTOK5Ks5kh4PbOVlr0ormSVk
PGGO1jV7UmkG09Ox26W1c6Yv3gkKL833sjHnW3rK7NM4tQxP8Y9ydeBrtVshMW0t9iKTDRPr9A6W
z3SatHpqaH7IcP+J1fFjexPmpk5rQ4zZMyWBxJjHaEzW96XbuG6eBLGm491ux1OF8Y9ySNt4sWAa
3nZa85wuzaOsNfdzsivELwQupi/2yHUxMOpFPrmNtM6FPoPJ6Kx64yDghUwcj77VujfzyDGC8WD7
uFC+ENqNXn04ve6hZeCuNRFivnHoYgQlcOVT8jjW51jG1jMlAnZA4NCw6I9VMzF8P77BgtK/dTTM
llUer/KyHiwYviC5Tc2pB+7/tYUE+n3tkQyAAV3QQcctvY5TmDA/+UIPLM5qjTwz1Q7jfPnJjLYy
h8tO1xkaTxy3qisEN21HtFnD/6d71X2GJ23luQt/m/eTuA4tvpxNHqWwABOkxulAZ+f0gAeNSVgW
j+bj0AGThN6IEtunPcaunwj1iJ7GB0vDF10NVKj0a+cFsavGoZpFMLvr17FsjMZNVN1L4EGOln4D
BVs8wXZsry5lhzNmKHMMSbjiNmvT5EgmihqFehbkNYRRXZniZnxE7Sro9OlDsec9iNGZj5RL0HqZ
tARLZdQe7az2952yJqr/jJTJWu19EMCyf1Sa9ZnWyrgId2i7YFZo+7kvt6qRzEcLLbsZp8S78c0s
uwAXcORGLh+JbiAe6znRlml6rvTmcVKLTllGk4ApWhGWgBDRLoW919PFv1eiqbaaYyRmYNEneIi1
5JpnQ4zJgPLRpmzEa6psay+BROx43j/wFngPyqBBlhBX9RS7ghUkaeoTvqxi2zSRnd/YGP4Duy2H
m4oOiIM2MozeOIWzgrwE4M2K9piSONAdLsbmk3pKHE8GJEuOPZb3EjuRdeIVzqEx1mVQ2bVdbyiP
LO7oirR3uTFXUCwYu+qUAIdzq6cXrYndjVOW1b7rp56g1tS9GU1D1a9XIQG62XvXim9S1RlaobFc
hrHApEbkK8F6q4pN2VbE5IrEoNlwan8Ic8i2zMT6R0lkdDtYI2J57GU7y4N/bzaYGlZ5/EocFwya
bypeRdrcDrE0xVYuPikdyyi8QGsSksz9uUmxAdvl+K3RrfxdTWNPU5KXfRYYd5jyMABj2XtPvPx7
k6Xt0dTY7nXcFqGy+V8RotBmBqxxQCjUj7rMMVimwtgZXUoBNMTBD196Nmtnou07u9QYMkX5PTAJ
82S0MmW4KNWx50CCUz33DyZFQJiZOXlp+Nj2GQOPcwrGk+doqhXzLU0LdWZPWG8rejHdtvzoYFMH
vHaqV2IR9HPiHFAkFFP6m8VCmyytAr219o0dXs4Ppdf3fe+VmzItVzIDLNRG1yD7aF9Eas3Uazvp
aoHAqJqTm8v06urWzT2e0b3fqtX40G8olRlDQgcPntZlJ1kt8a6kL2mjfMafTloydUqSE9PV9a6S
35iFhje/ncZ97vT+wZplHKLs3mtZeTc3abLrCq5MmF8IIuTzPfMDEWYp/iNo51XYwfAMIWR4yPa9
2JeDibFVc81bhHYMrL7mPnUWuZCFmo6Ay/Z3RV3T1p5lsUkLNFgjrW02sixhPzD7e+Zx/gfjaQV6
lY9f1WoHZxrKe4dxPpsxIZTBJp+t+3V/nIrGP8gy1jZxuninopvv89R+pxLp+b/qyv9FXSFCLv7X
u9Txk6vU7/LKr6/4u7yyyq4WA1ag4Ca3JovLzJ+KrPs35ENhr/LGTyHl7+IKioyuY64xHLzlnNd/
E2QFgiwRbORa2/ZtVzf/k6sUlSr/eJVCEEav4WUhCwOi+ydwdCbQ+CClOle8otoxjspJnUtyByTa
PIJQKAAUWmQmBiDdd/LHhU+q/w1y3/cEDsmj5WamHYjKfKJCYnrNXC09QyjgAEp7KwtCTRtSgfO+
9atQYw7fPWDZR9eg5GtUz3qpIm1Dd9CqLGZ+2u5xVUh5dUFRYmNRubcjFlQei2gmlC17Ct5mEYdl
wQIGSsnekZ42jC2FPvfsgR03AH2MLrTa1Ze2pxh8dgZ1Mvxm/FxE/m5xO/y0/FanKLpyUWTT+r0p
Mj1g3uwQBGq/mo0U/L74cSU3jiY5L3MyHfS6snb8obRrKbWIaJE77BLU4SYKmj+EVLfuRTHs7DZn
9GKko7zVksR4hZ68AjXrEMJXHbDD6w8zOKeHrlfgpDv9NbdT/3myp/l2KidzXxv+6zR5znbQ5yAy
h+LekjTwWX1jXJuiaI49BrFAl5R1FtCoj7aTpDe+ln/1O4XtBQrB1iZpdlZF5u/zShu+tZkbHWcI
urusFDn9xSntd9IT35G1Pfqu2qY6+Eb6vQfKtiUpMH2xhTeWLCU00Cja3ANV5N67YfTgcFzOpZNX
vRZpwWGXH12qGuZAMg7QVDR7yzC+2sKkcgMb6jn155TEUZCET0VsIP4Xj+4yAXkhG1Ef10/kswJz
vCNjgkMeV2B2cI1epZvEZU/Mq8ENS42Z6F4nVzQT3WfT2zhQpB+sTGR3XBGXW069epAs0CcT06CZ
PdUnm59iVhy8XWtvyZxIeqGZ6ePotPmFbqb5kjDQvgGUBl8ricY7DrTNrmzb6aPzLK4dkFm7oM+0
+odPAL3fxKMl9oUrxwtj8/Qw0Slz4UCIzXJyxvgzIdIV5DVZH/CRJb18fe2eBQ6wiiP6WtxYzvrG
afwl31DnB71bOYO/iWl7fDGnmUs27neD1GimmN/pbhoacTLsKKG2g0wrQAFXheGfh6LAYtXVFsE4
puzNem+5UOI+Ykl0ajaxuX2OmVUWm4HN+EeFn3LreezULibPS2Nrn85iA2lKEikpiosJCDXaaGym
BSiKSV5050rdf8UkmK3Fdec6wohaeEQhck5t3wZH5DsDP9VHpqLltEzFkATOkDj7ccWMYG0av/iV
Zd5BQXah13jRru/IYgZlNs7natSsLvDw/p5gtI91yCEs2c6gE+4QPqvtAqA8cBxoUt1kkggnEvGQ
EyGj5mrsX0igVmTcS5gWMso0jEtxetZqokx24XtF4Pn8Sk7FRHxj5H4LRWskKNoM81Ysg2TkHc3b
dPSW52Gi4YsyW7FL0MLDxJ/5k9CHdZN4KAmOo0IRec0TxQHOg2/2h6Y0l9uRKW5QTe7J7nmscfsa
0zGNCgwXo1PdgcDQiMWLduLe682PWZvXN0U7GE/Uucl3wmMq1BwMVf3YjEdvTpPoyKnVfZykMpBb
aWKbav0GLwC2pmq8jy3VXGZZU8MJpfTacuPm8Fpy7i5SKOS68sMYsfq4KPEpRtu51pYqjyA5jGPR
9s4mFS06S1kbNMNF8b6B3RhSAvLEMGaGAmGY3SPGl/l7odd1sCB0HziAWPcuFwPUYIGzD1dIEjCi
y/ZuP9VhuioJurF05zTpp+cy12lKq8s4cLzBuYE/rWG2ZSHyoaeFETHCN7PSk8MMOSLQphxMnAU6
Hw+b7byxCS4Hy/e174JeOa5sXBhgbfY/JJ0OVNin1UOLHkGgsNgw2Na/xksRb5XI89CgAh2maKs1
QQ27481Y4u7SFPlDy1X0RBNMGZhNU58JFnZ3S4kzY5y85U4XqX/bJk2mNl0fLfRFOM2+sHD34Brw
wjbzhrB3E+t7vLrtaAL66HE3BhlrZr6JsjFZYeXaJdHwplVIHK81iIrAEvXyAHPUxzJaOW9c7ng2
TKcGQOARjU2zCe56r7FgxeQK7dR6zyhJ2XiuSq8iKsv9olfiK9cHC+/r8oylIwqMcTYO9uDUBZCL
iOAuowrywot3LPz8YdHFkdODvvEbU6ynXWofYWnaPvfy4X6ss/hVm2zoRn3RbmanTO5k3s7lRlPx
+KLHjjpxwXBPsZdw/OXj6B9YN4ntdfqlRRV4WJb+rqfOg/4M0vtkrDOuXn3/JGejWDEBjPecdF/6
ggDvQnOg72kPGY5e/EsNJ17TjOIAcId3oLWDe4nX5VuC+UWgexE9u3W2r0gTH1e7KjY9gp5jTeiU
ByrZ9QVJ4bjrqe3EtAP3ICouMTdptqJo/Jqker3X6Iw/L0Prfgg3z781ba1dbfSf1izsR0Ajz/ps
Af70I4UZxURV6mhO8Hq33yrbHZ5hp/cn8pVf5SK7YyKhMqksXcmv+Jb7BTkYLThuTyneGsz2sfXQ
xmV1t6yxflAI9gDU7p5Qq/FGBHm8ELFjPoPddngVaaod8mWwL0VNDwVz2F1lShXoBglNx3qZtNHa
6JA7trQVRRs3HvIn34vrfd956pbQoAimtgbhoKLvHsbtAFdtssdziA8GN9ihBa16SSxrPNd2Fn8Z
/JZYUztUYb2QILUce/kB7OUpoXAyMDLpPmYRL6ETWRfw+rgZSfNmYFXd1ol4j1qsHEVlgQCoq0sO
6Yn07HShGdB6zlWGaZ2k/JZavWFtxvJ36ZRF700/T3Ag0+Yd5wgDKZ8hGqWiw9EdZb/LnfZ9FKwr
vl4IbqMDegtOnrxPvmq9jZN8BmPrenI5+T5cmAwNferObgU0FERRMVytHPZY4ukkI3U3f5aaUz5y
qMrOpfLY6m2BSSUdM0/eosWKPWDW+kpymPmfWe+9SW9uSPUDwZlsbZ9Iq9jpiRFf6Dtl2TFkf4hx
8uCeBF5xp+x6OiZWjhXW65twltImETG+t4K1Ft6CXe+xXC23Nc78ILMbcapo393Z3jh97b0IfbxV
XLqirHXsTZbHqtw4eNJDu1qmjxJR9t2BeqhzzP1axNRq8kJ+cK1TO4l3rArmUmuOyAxeUMhMO8RL
kzmBq7KCIhErKxmBGXjkM8sBy8B8PiD/+0ka2iC1t4xsaQ6BLdR3LPWZvOXcG3Spnu9Gom47ParZ
QcdInBbWAbynnDYTz9MPkanpPzxAZZtuzodN32E1p4udYo81c8bRo9lC/bu34YWYm1afseNF7RrH
MMiL8ad+hwYYH5hyRFu37Ck0wRqeEXPo2wAfeRsq5HMLHGrkflGJ3tBQ37srW0a/d2s2pA3ucAku
pBMfU+3mt6CNWBDo6sWRnxm7qETiFY/eFPUSOPDgJdVH2hcDiZSizP3iyZ0S2ltOke2l2bmbPL96
GueBd4145aRp88YvOSlvZAM1xSTOgcIVlITgQjAlmRvOSVyGWhfJDvTjPH2njCT5HH1eIWcE+wtf
U71r0Dh2szHUR8ydU7MRA/K73nrpqR88daNq/nXVOtWbyZNnZnOz4yfCjPIxlfXY9vapa9cVw9qp
/GwiXdxU6eQdKSpceIJx11zd3nlaAGVsFEmETyunPYlqmaU+M0pByETlYbBLJYp0igbHf13c62OS
hBAJZoyxydgfrLzz1tVgDjn1GWFlcYQxxrbYxHGaHZwmt7aka42zXrbke3XEx5SU9xaT/hTazlyY
NBPy83Tqf4E2D9Zri2djQmusMQ23QqOmRc+zQOedexhhYQXUMM9v1GrfxhKw9EbP/emRYEMcDjJO
o6BjvnuDRm8EsmvbsDHzifwLU7+eRGft3XrswgST8JsT/YW3sGnpvDpNhZRPsZd3bx1HT+5M7XCd
yyV+LOyl3Xnrmx0xp95rfsftyzYK2MgR8zJirdOwdfpaP86yVY9RVOgdwxr+aU/Y4Zi1TfnQxT4o
ICXUS5M04ouAqfClrOKXqHD1i2WQX8VWr2sH06jBYpQ+Lr1+0M8uU/1H+CJtGUZRXbo3xGmt+zJR
X92lwXBfL1MMHjHRF1wHOtt+usQWZANSrWiMc/4qdaIFnhyjPZ3uiJVzL4w9V6HuGVPd+DlA5wlq
cuYESuMahTsud7LB0BdOdHjgsO5sfNYKQkOnwFKGULbHbwunPk78mt1ummqa75TrZUlY+nn60MQQ
DXS1IK3DoTC2raeJLeN4/8jEIT0myyIvEB7TY2H67pXENRfYyeHDpGvfkDCXZ/pTInvjCIdfDqN+
tdXtjHkSSwWVJ8OI9C7d5VabK5zfIGfJ+A/5Q7mek6gbdoBAYH8XSgf+alCcReMfCjJu10MpIwwB
XMuIY5TrQVbYzcU2OVzDp1hzxwsZslmNLinoVBbqS9WNXnEr0OFN8EAOlzEl2AWAt7SJF/SJgwWZ
ML6zfGr458c74ePYd5hl8w0HbX7tKFKbnpZRI4yz0TouvN1dr7f04jGhcg2XimjGm+OZt6TxgBXF
KiEG1IoK7/z/w7XRJuvM+LrE0z7SXPWU58X08tso/f9jQhOoM7+Pp3+60HQbEjanMtQd+y/GlRqB
lnZeMV6h7duh5hsJhlRqQqfiqAGWi+J3ozD3gzROZmbvNKvZ2YnYem50U/fLtq26Lb/q3l8kqJz/
sDzxj9e2WgMtZy2m/CvdvRCDKnWKPa91zSi15qwYHXDI/e/vwJrl/G0+/8uGR2UiliFSW399A2zZ
TVx6h/GaGrDs+Y+j5bvSrXb/lST/b5Ik/r/f/iL/FA4+0gZfQnn7R1Xy5xf9UiWpoSFqhOWTdldB
MndVGH+pkr74m00k1luB2wz98XH9ae+wDP4vcni0ADoud+pVTfxlFDWdv61Ie0CbvgP4Fffp/7B3
ZtttHFkW/aL0ysg5XjERIEiQAClK1EsuirRynsfIr+8dkF1tubrtdj/XKi9bLotCAsiMiHvvOfv8
k74k2RA/30LEYhCAg1sYn7Jmmkrdt/yDXTjxiDnKBTPbucHxuJrqyl25GI+OdePT6lGzcBjTIDiv
swaMkQaI0hsbA5cZekcBuW9FATk7qHLvdll8J9zmY7VMq57cpDMuqsK5EamvjHMm0/ZzA2TCXYO2
idK1YjSOltvqRk7KBblYeUi1shoKc8EwC0P1Tqaez+aGeOuwiKV3tOpBbqkm7HY7Ak+L1/ZUQaLr
whpVfWA032Sq/Perea4PJPiSxbTLVVznfbdWgYvyQtBosu6k1cebThbePeNCf1WMw6UDO7bzO0jJ
Kw5yps3GLpKnOk3VeY7N/kTcd3HRTtBy68+VAS0mmCN3VbpmRLWX1pfcrfFNRlNDR6RS+4jchlur
bpMjyy5qOauFGVUl1c4t8UtaXQw6oyeeTmxmlLo7p/etz7lkUpzYbf4kLCCXMna+RtCKHtxKyQ0Y
PPtxsNL2MFaKyHJhPcbe0m0AvPlbQ2FImGsjf7R9Iz/Z5XRxTc60bp6D8qpnP34H3lPfOGTWrOlg
ZUdRFNB6vLm5jC2L+mqIk+ieY6dzmuLS5tqGZbgzp21jVdUprNviezp6SB3Ifth1LpB6GmHdxfLk
uxviJBAhDBvPiBuGdfwNgsln8rfEqqVDua5z95ZEPIwj4OWe0PLZF3uW8xEpH6PFzoRdlsXfUrJh
3tzKm0hOm4+0ptTGBa2yIvfMYSevjfNYzcVT3mYFHa+8O1l2FhOXDnYmlNm5zdP+ZMzZsCZZvvuE
Ap946M6aTwrA4KaeXWsrXK7UgBO0Mccwel4CHzBGTprYgNauotIu0xQvW12Lox035q0yh4+c36+V
w/nZH0mU3eA1lxcfhOI5QCtDCyxMab8D0jw5Bi3NtGZHyaAV3SzGUF5MizuasLT+zsoc56hya1W3
trPj6N7dV7O9vNIHBMlr9H1866Sx2IDMyxuK/dHZNFk23XBwR3/UDEdiQ7tbM/bux7FrIKR4pU6e
DNJ1kM6cu8p8zDgjAuOaTah6Q4jB21v6F4MdAe/YBSCwuQv9ozPCBcHehUNtSB9ju2V2lr8I1cqN
zJ0LZ4+cyOT6vat9/1Ck1YvSYHdMKl8Lv813sDB6tS4S6+g6dJ+wYx5z9WFEzN8rgfxmGczPziAx
aSoZ7utpNO6nQJKOPNTRJjWdVxbD7sGqi3ln0BVfI3FxDwrT64uDfhqspt/RuGwhmmCc8lLj1ufI
tgIB8wrBqtmim2pvcgziHHxvlz6564s+XjU9ghf8y2VICQFoYYVRpyAjJS2201Qnuwy9wdrhKHQJ
Qjs/14EbHcC8w3mkKjsQsDGfizlfbso+A7bKhn2zZLN377Qj9B97OrTKCTNEQN10npz+hYGzsUcT
4p5oWsclDxhSpsnEF2o4udwwqbfSRxVOdnHH3PZUtME3NLbu1vMW+ZxyKtyRs0QwXZCEjwjVkgc8
SG+lU9OtIT17tSTizauJNlzFrdl/7VreMsTCetOSlneM8pIS3HK5pc0oX4+Fk3O+i/NHJEwQ72bW
O1LV4CD5pfq6DBICdcj6jA+rv0vUrL5KNcOrKhKzeWpazKymh/w1KIuHCtM2hFbJufQxckP8tDU1
EdMSh8Ne7o4mfJ20OiChghiXlD2pNHUpL33qf68r+reRBf9lYjhOUyEQWOMMj7Kq9sqiCtcO89eZ
wnlwafbXiWfsxAIxMrD6YqdiED0s7rQz5+ElzlUnnL0ay/62KM14YG8xmvfMAPJFmF8KdniOKcof
sjaooB1Uc7DPBhogd7PTemdysKsnuw15RLKJW49O1eh+6UTS3sZLoRCtwIf41nP3J2sxNBF9WCP0
0ct4tX8h2TagSMD3dFtZJBg1KjR2vWTsuw+b/qDgHT/E6NmeYA7a/gqWhn8TZyE3rlym+BU0dbcd
LafYiySK37QSXK7AgxJ7EKneuYvsVtBdcmraYctEetJYU+lO9jiOK8ATeLZY2r+XmcPRHKn2dN+P
XfeoZqsxAe0piucF4yHKLYCI84rUgOGzCYzqrWnN5JU9GSwBI/l77ITFQzi68ruJKhggax7aFwPe
zmcjy5dTYfoHiOGMqQrb+3BL6SYYI+1mAGI2Yj2DrXtwq/FQsNquO84PaqPyVo8XURUz+0vj4GUY
lXtHayr/MFIzxRA3WLgavDqZzmHjeC/sI3JL8CiuSEacBs0fvw4JeBJxdGiTeX7PqGocFqMI3yny
P50RgCmsULHxmKReR6aNXbSv4Fuzk51rtdoY9o6/tmSxwCNpsg+nb7IL1q6nvEO5RN1YhgcGVgU2
6JiHtUYI/bA0Nswg1DKBWlnQfBGrkeR8X+fx9OpOavo1DOLma+DAGCuNlALXiGRE1lGjDNwZ6fgI
8Zkujo3I790xVfegYIWR2QANcD/4oDP3vjHVX2U0l8FaIeY81KJHapQmaUPrxC/Sz02QOM4qqOz+
gigU1Ikx2w0e4Do/8MxBFxoss1Zr5VDhc+Vya/ut+RrKPnS2ZWJm80aMhnsz5E5yCWVt3jDI8tcl
IwtUdIGDUdSOafi6YmTClFn+nZr65lbEvbfxasfcqHHo8Bhzw+n42jUBJ862MbEZg+fst2h4pbMS
XX0WQ9dvOibhd7kxopTwMdJtZj+tD53vtOWqyMv2NWvTnmZhNHRoS9CTf8kUUI5tD6WqAYXZLL/C
0LbvQ5Ppk21535wolp/8uCzeqqirdnaMunPDEh8WKzVmWDiBXrMiMpg1D4lv+vdycfyvI8mqOIlr
uAdW5C5wam1lf/Mn5sR9KOwXiQkWF0xhzzTGWkafZWVVewhJ/DJbhizYQ3dTF4T+zbierVi8jXKE
X1e69Veq8/7sSpzNqN8s83VYOEBuI3MauJfMbliBExEfsmGutA0LLzJu8QWGXzADlp9Q2njdzi7j
+Th0g6KuNAxgfi06twL+8CGNskdzGZIvTemfIjWCxylGKHDGFhM6wyXVy7PTS/M04MVEgFowhnTB
uTxAQTNWgYj8mwZ3Z01I6eh8I0/LIj2iqqOX0lE+Y7liorksDFuotegSE8RfFJ263lq2E0Lig5Xm
ICcct98stZ3vBtMc7pDj0dhpi1/j1Bqguw+eDy6d1vNqBBuxyby+/RShSvjmOVW4GysTjDLf5qLt
2M5wH1szGcIcs+AHhC4tnaSNUgcitJN+1CgayxXFJwZLI85ZWuzpvmJs9DkPZ/RHCKcRrrkG9UE4
3LXMdHScsxccs7aQ68jkjFhM0W2wADpHMdQM+yCRDWR4K8q+dOitWmJcJ6YAyJ7hEdS15W2Zii5H
nY9+OyH/uOMd5neWkyTv4ZL0EHX6HntGM+4iqcOD88jeWNnyuVaMtNfCEu1bxIDm0W4ahmN4Iv5j
gvjBvPobE4RwAphVf2GCOJQfyVv5kwfit5/5vUh2fvGlC2eJyBQEPD5tjt9q5CD4BaM0JzAyna7F
Lv/pd+2O+MV3pY9Z0ndpslxjSX6vkf1fQEISbcCZ+Edp/U9qZNop/1Yj433gTyNEwfIC689JqgPV
WrLEs6EBndggmjx/c1Ow0AhVTQsqPEAMAOCdAqY/GCMZ3JEl7ry4Le4XJJLzWpAOuYV5OH74CFge
FogxX6WZwv+MZAZKk58qNnMVcg+XS/m1cEMbmJywHtpk8oBfUaHdo6wJUPKnBcOfTuYeHJ/gCZ15
fmlnFNzm+FZULc8MheVLD5LjtcoSHXo95uVCQVLPb6hmipnEQ0MtnK4jZO2zpPO4snuy+La112Tf
Yp7iCNFCgQBaQSPGMK4S/F8oP7EpyOFeo7Zs1pZwYSrTWgFBd1grKSltmZIOEKT2TSM1vZn40vjO
Tv0x2LJhJRClytyzEVtk1bsG3L5Wvbmchk6Z68HOu2Mku+mdSWD56qD05lwbkGHIWKo5qzqN3qzY
ojLGtrEqIGCwQdVrQiFMvNjBdEL5Xj3SC61AaAVzA+qvmHzyYZPsFNjFfCaQcNnVqkf8WR18fwJf
21AmjuUAMNhRN5OV+I+Ad6S1Su3ife5yhDRzETx6rmBq0af9k62AWCRd121Jx7L34YIIFigzEz23
J+o7VctwBECLE23psMuMZJWjs4xwxzAqaPy7wCysct0aKn+xi3p4GpyMk9QgALyTQyG+JIRQfemR
oB/qyYWAi5Txbloww/UlhX0FWGU9zeFyR2758DnPVN2sdYDB3RS2zZFB1PhdIn4hLkP1RrbpciaQ
o1Pm2xrRR7opJ8koTTC8uaecbcVKwrB8a66gAXiv7k2ErBR1JNzyr2kK6lMDGxuU3Y0dPZaBLMWe
rmRyievM/mzhQT1LLZ9f2abfPglwD7uhiZ2jsFKKhHio4j2lMHQABYHD6sdmPykxXqK4IFQETu2r
UUbtrW0W8lcEG36780zG9CthT0GynZpGXmj8LBOT86gyvqSR7T3GTkLFRF4lZiPZLdm7gy1C0rQA
KROZS7GRLoPephDlM99j9olaLX7057S774SKb324PnIrqgkFU1g6qEVUVGy4Xcl4sxtTE9orICUN
/11UkXPfjM5QbWmG16eUdmqCr7fgKf8ylyJ1gMVGUqLZz2YGCZCAxsTkH1Upop6gcDmq1EMyIWcz
vyvpgpEejie5x/k4abfPCP73olDlqtuYSKh9M3mPIkg5sjr+srZtijNQr/Jpznl6tt085K9hyGhX
5CGnJ39AWbfOaqtCrdK5T+CJh5rMBNGve0c1IGQS8+RQXmNdgqjkAOxdYU2ChZSRPCJD9NKBjd6l
5Xm5hB1aqFWCGPDTfC1XaVSY6aOfINeVG6emmH9ylg6+WU4To3RPlmiM/TS0Lw5HaDS7gQ4t0RWy
TamMx8i7r3T1XOg6OtcVdT0U6kyXwjoMut6udOUdqC4/T62N/Oi3uhxCoC3zLV7mArcPJZOu40UT
n4qU50NX+Cal/pjeMmbiT7KN5mbQ3QBJW8DT/QGXRkGa0sQCLL8Sgej4Y3Q3QfcVYhSjRNTQaxC6
64Bvv3tIaERI3ZEAFsiwXXcp0kWEzLJZrRUtjFL3MkLd1cjUR9uNx37hMwx785heGyBCZubO7OJP
87U7Qpsk8BX9Ehon8HUIv0qsi6l7KjDMXyj7HrwpxfBG24XxEMNFdfR1P6Ywq6cxsYtVMfv9etKN
Gzjm48a6dnOQBgV7PwYUgtoEq8OPvg8doAYF0m1rd8deN4cUwZw3lm4Y4QxChONYPuWizOJbxPZO
wturl1dGcN29nCdn5wE9sbiNjp5uS5lRiznl2qoiaeLGQJV+42hNec+I6qSu3a2uEuMq0C2vRil5
YVDFuAwhS37OdHPMk+2HX8XmbZZE4rgUstkaHcMnrDEzoX1jCTttFXD7PfvgNDZAc/HC63bcohtz
kRepE6kgCKdG0X5asmhYG7iMYR0lZ7c1Gh4J2nwtXS86KbT+ECQVT2MehmdXNwZRbUKbqUy1sfma
JLXHJtONxHwO32LdWrR0k9HS7cZENx493YKEC1use9u77XR7ch64dYhY/Ozq1iURRJxN05loXI8r
tTL/faK0QN8u8egPs9rZapG7YfLz714Xlqdl2na6WTr1Dn3TVrdQWWOMu7RP6Ks2cdFcgB3mm0a3
XW3dgHV1K1bOXfzuXPuzEvvg2s+GCzdhfpKVmT/C2WaMqFu7iW7yCmHqBEZno9udh0K3gvPAlhtj
0O3hSXx1x5bzsTCyp0I3kV3dTu4ZZO+6a4+Z5VD3mxH5rFFVlzt17Ue7miSvW9QGrd1bt5sU7LRk
Png9WyRWLO9g5CRVbf4zTfq/TJNsl3HOX52TP79xjiQkoCr/OE/67cf+pXJn/oNVyfPcAK4HkcP/
OivD+vjFtz3iADUQ4F/HZC1xhwKic9OIv3ZtLuG3YzI4EtdxhS1tZkAOsnnxT47JP88iHfJsvYBM
EygCgqEUB/yfB0mwtBoQhIN3LkbIQ+symQd68l3PXGJquq9/+GD+h9Hvz5Pf64vhStanfx2WRkbb
zy8WubMDObp3zrFBmkPpVNaz6kf5kiU9U3TGsvVrZPog+Me03f8/XhopPyAHJrt8qD+/dGJkYu7J
QzxfceWlxAC6hezqz1uEKOLZDmZY6p3ZajR5uEDp/OuX13/8f4989TvHg2sJqiIqEobef3p5i/NB
KZl6n3OMZck6MMYeMRzTmvqWxA9ejoNr8DcJkBb3yL+/KLeKA4jimr7483su6zIcIlxDLLml9Vza
BGVYhbeQFIB5/KXu3eDOSTRHexADWRxxP/QfXg3INDc8PofGQ39Y+xGuP8SlEJUWMFVvVFq0TkIa
y+I41iF08gTfDxqwWhTxZs5L2/4Buf4JlvxHOPLPddyPz86jvNSeeQTm11noH2adwcTRh1GYRbfL
4F6hqQbEbMjmXdDN4vmK6p+zv81i/BnI/NuraisJU3pe+M+pflDr/HR2W3EGciieS1DtkCXK+LuZ
zlQ3MNcvrlOLE+YxUq1UPPwzJcL19Slf7cCHOMR98+dnZZSyzOBACGxN3nxJ9AOjJAEu0diIv9Ej
/Cle+7fXQonAzJoXhDn8840SKr/nyDuIswN+/mLUMUBULHBa6Gvb3cfMEOyNTUg/nZo4z9bMw2Kk
PuyQDK3sXz8q/74i+bZtYrbRmBSbzNCfL8aC3iMbMzTPQ9/wkDjojas7Bg7myPgik/+Ph8Rn2eO5
5H+++2fFBxpH0lLs0Tq3XQ/xn5nMsnYi0MKDb1bHAr/vwR47qKVNwl0u80WcCoZxaJpSQaqSSJfq
aHjjfIkadyYlz7SCuz7TdQs4s8c4HgFGgxbgKXOhMky3Mqb/9UPp8b8+Iddg0D8tL8AmaMSQP4mE
KdBygT88ImkehUOgpDjDWSYVcvHbFp81980VINy25JDk8GFesVPLuwJ59hY7XA6JVslmX6sC5nOS
OU2OOXAhFUGExDcFLZrKv/5q/4dV0AegA3id+bzzb0woY7aGkdaKOBPAwAdy/Zg5ydSvwgzFc5O3
f3dn6x30pyXQw8FFo0vaKKswHZl/+mCKPrJSM1MdQnC7Orp94b6FctZ/s/HwDNqG3NoeOOUwCUOG
yGPK2HSalHxKhoxMCJv+74ddgX1OTVYA0+AhSIjNukMqVR2vH1HHruGtiMeUdx3AqKPCRkaiXOIc
LJ83tACvPf71x8g7+PPb4p3wPdvcuczxSLT9+ftegkyimFfRueIuWctaLe0m9Q1YeHauQOmOMf0s
CtG031iukUNxHkEY7GSMdWmVa0bRWs01bJ7UGrdm0fu7cYmMfo++DOckJbGyMUm44bIxbczo2sZk
fKoNiKEbk6DCdjVFKnbXaGjiboOmmycj7aZhyxaAOCRLtT86qMszUIT4GHRFeodftzqNaeg3m6Bq
TaaJeIO+COVnD6JS+buZdWSFcg4gQgy0Qs31jfGHQkPhgbiPy03Ss3/fmtJFt9nYaf1IZhblwIzB
AcVA1YHc9eMAAaDvG/XLUObptLFD339CkRqDXKTPj1DPGpsRmE7UAu/2pILy1VvBt8ZgUqYr8z7b
E/HQc/4fBoJbrEYltA8D4dzBoEarSuLTrYlu7IlOAEWSzySsPRsT3kGme33prhsMOvG6iKO6fvSj
Im/XsyRLeoMWUr5E8cC2m3GP+GrgkfMQiGybIp6iLUcDufWBHHJ1leu+daRVJusyYLXhCMhCPNY8
zR3RLfQZgKtiXbFLA4tamMMfFmlOsyqjFmFnFrEA37iUg+nXt3ZEw/Ie0WxzZ8xEce8iEHo0uWqt
xnWiJD6NmezfgzLzaGtaMSi2JG030i6iU2shvWsZRTMGr18n01y+CC0AtrQUmERh65sC4Lh2EzI3
fGmFO7hL1ddCS4grjdFtrrJiLTCOBq01XrTs2Bz4etYx0bw3gE3cTUF7a82NVZi0MLFXIltWWsEc
IGV2GgqfGSwTJp2r1HkkRxPdc/lDBM1A25TcALmq/E3h67CgVa9Q3XlwgF0ZWvxTWBPZJGtUoIST
AGsxyHLbkCwp6y9GPHo2l5ulJaJ3Mg2DnWHqww+NyUuVZXzSWOyqI0ohDkOs4ODhg8m3UYZPII2L
KKT/YnR8Yyrs2RSUItdl9InOW8mKtSJR3JXIBegik9za8GcgNatfJRG1IKWERpgnKdM002yDzSQn
bi9IxXz12Vi/YmmPzoMfUNIv+IDeQnea8B2anFdheLAaFZP7RmtRvkyMcD+6JXYO3uCx8DisQ75T
QPRq44YEJJ5QlPWFzR8PQJmLo+KojhzrwpcBTO4mg+t8hPlsPTNg1L+pyuVd34+szyxnIa51RxYR
pazO3IuImulgfnLwIW2D/2PxM/j/gcuH01raGYQrnt/RxiI9DTggJX5uripqyL+RfjVfLNdjU08M
VtTrGskZLrgLXTZRP23aPREY3Ucj9UcpW0c8d93AL69XWwwD/W0bksNjxbGTtpGbKFTA+iyS5cQh
P5RFBqg/GsVpWPhGRsLXjsqaQPQL4rcsK1WXIaHcsHPCOwmoZHvu53raKH16hO/nvolC8aZ4JHml
LCY/MKm4GVL9q7FVWucPHeBgZqP7duVcgIbqPuqc3baRUfMKooHTL3h+dbkeFJasKdUtRF3vzZo5
36dY4F7bhouhB5l+0Hjw+Sw4Dh2qxjBP+PHho1Yh5jZU1tUdtxHf3TVqtKwaNp6uavckacwXMzU5
hFcV2eCuyOpXRtTs5iqzjHYbWpJTerfowBy4uNWh6VqufORnyMIDSDbfNUZLms31gEMfWxLtm5LL
dC1+bH30UalMiw0wRidfOwaBlCu/9gbnfnIVsRGF67zFPnq3G7YdLrC2Zhp+gYFOflsXIvyWGzEv
Xl4fIRG66bwbAaxxDGLn6TftdA6cqfvAa8B3VMMIsXr+VUaCDbh0aLpsKl2qZDF5dkLBBGEZsA8e
3/QJQLh/4O1UR3vEiZgodAro0HOudhwSYncmdtxe355uSUaFGaXsTJlD2N82HTmuOmDGh/t6AsOx
L+KQGlCAIKdJF8O4xRTKd2SFLjdw72R8Zj3zpZd5TPznNAuafNtDt7qxLR0QT2vIfWMWymc617rh
eV0EshziLghLPpU8S+Sdp1z70EiesNrTL19MfbBO9VOf96J+TQWpF2RSwctnl9qTQci3mlgdEWBs
5HwOE0dQSdTvi0GG8eOsIu+tDXqeVzMviq2VLKRkRC5PfNt2XMn1TnTmVHTHKWEJcNFwzlvRQivn
TNtE3aOcETcfAmbcMO8bh6XJYvq7L1ohX5J+mSXuwsXotosHCGtFaCNnIAta+hMIT/eNCD3xbBkB
NYBMKUOcORDPE25ZSEYWwwL0a6kkLi2R9asX1TzojZiIXtPvkJ2IM3LnsQK1VQuJUBe8CNVBBAub
RzSiRE1Yus3VREn7TPCVeK40rnXb61PaEkx8T9cT43XbVIvJHVXnhn0gIZv3vri1vCutgFDbwSo2
LWGXl+un1tYjMQbpJPJl0+rLiT3eRZYQ9VcPPc9rGUfoJzKiDc1FEUPu2wvDMsZJCDS6iOUIkAWu
SAeHIIM6WvBIUy2Q4IQBzJc4CT0bZ5Lf7BUTsGLryiF3L3MLgQvPjQOC0WhN982Z9crC75Yv5WxS
tmIQOmRNZWDnk8GU32Lv4acxiFnNkzCtiVsE6E+xXvTmAjZcr30ELxg3VSRY5DmKRLokd0jbhN7K
PXH9AH6sRbpwRz/PuqAXVvrJ7DjXezeMZra1uUcDM9PK/tayDZ2v96cDP+iG0RY4wrJxsnt/CLhF
AnNo946bjbcxbOvgtxsCbFfwvfaRJq2Ldmz3RPXBC1K1+xbBOXi+3hXenPFQZEDwT4BUeZCbUpxS
V3cbso60DzjQpQBB55asRAj6DCxfFk2I1gVwBfaDN2RMBXdf0jJXbEHEdDeKgxAhmGgCToR4tntu
OfHsxl4FJghza7BmusAOg67b3lU1N82A8PiF2Yx4cIFCnqnUualN6EHDup9YtK8roJP16I+q0OfD
Jq1Nb999yqdk+xOPjd6A0LJEjBLX9dizKFRRO4Y7UjhJHC0HfbXp0POY2Y3idSN0C5eCUZC3qinV
XuSsOPi5Ee+bPHecHJOFw2IDf3LWMlujXp5GQfd23w9jGT8QBGFWh5Jl9NSaI1fhkp9IOGRScbeb
Ilza594dOIRERiZfUOxgPYVtxvv14f04g+U/DcFcPIDHeI+N0Fij3+72bt7gNiQR8ThlUfo9srsK
gkODJgrUS7YeKzrg9sz2SJoiO5LO8l7j1+8lJxTlvWSp4nNOar7Qyp2WGSZgijWTrIkRc1GF4nHE
u5HUdXpvO50QSHnd4kBlP+9LUZdqDQKgvA8ru/ouZ50X5FkziyGHTHIcO6sPtvPc9eZtoxd/Amsi
GpGkxHCmGsjn3Vh5mR+MyqILQ5dtWDd5OBlPUWrx9bRFzd8bqdNtbJdsXjqAE2zfiQUHjhNa25Ez
TqGPdE0c4BGMCOjAl2WsB80/vRbKWc4qO9mSR1XGDbwrs+XywsWn2WRVnA8An3Kl83UzCWPWbVCh
VfZrxRmT3UXWcpvqPVwYxLeGQcgddC0MIxN83y38eLR/bc+aVnmzH4L8mlGgxZW8SyRZNwTiiFM0
u/JFEG/3YS0qwORGKBM1GN9r6Vnsny3qHzCrEavV4hGsOPLKZCOwRMo00xGMbJjbK9aVaCYW9Tok
tBYFa1JsENmzRs9O/XrNmK2QqL21DY9Qn3PzJKGR3RoV5L9Ir8zLAuwP1WMc7y0XupgzemZ3dOuB
J643MEO5WSPvjB8njIYeiU6BLLIycJjQkwd1oGCb+31HfbMKhqG9qfoOM6xjWQG1Su++mSQzPQeB
qI68Y1Yl+jx8JH5qsG2EoUUlUXhsLN6oPILWTW+zgHw/6JHUqV0ivRxcj8yuWXz3UK6Sq14W5o6w
e0LQiHSwdrxy/By3+PHB/WmLsEo+1QPswY4nhNWZamfZsSEOxMmCdYdI5dTGY2t4FVkAiywRPrT2
vEfCZrwPte1+gE9ZfkWzNX6HiNtx3J5y/IfgoAFZEKEmOJTd5DRXvjhcbrsZwjBH2tyUabNtqrm5
de05OSV+HWyi1Es+F3UfPRHQCCtxKHLgsJ2rqdauOkm7Dj/Fhp+9E7DOn+QSgNhxUia+DNu+QcWa
k9Ar1n5vMjtDwuW9XtsK/8HB/o0SyqI1RJPxf8fB3iMR0X/VdfLHEc9vP/e7Gir4BUAxvXaWVlqX
NKv/NeLBMvRjhmP994DH5pe/657MX/AY+ULbzaTmv/4j/KsX/Nxlcx0SCZmy0DtGfiUd88+d44R8
E6B3XaZ9AMs9KqFlZ1gdC+dScBe6fWzu+8bFTGqJnlOFaFTmUCrodCCnUp8QxJLbhvQTSHqVYaMl
VA2O3DrTBRN1abbBF8QaWGftwsgkTYblGCY8d9uyq62tTRPjHju6uecqYRyp2Jmz0xiX468+tlmW
7yThCYzxRaxSx/YuDUGpxDmE800wcTqjokT2gxT0xh+d8Jb6i63TK+eShCWH0PRwKkloh3m9Q6ad
bUrwtAfKAHRMHoimst5zEIkGBC7hMqADRXQu6CiYgf8xRnbk7fA5G9aLdpIk22KIZp4letjua2xK
Bc1BTghVj1VvZwHc1KKpp8eGuXsMoiCYohM41RjbZAZo6TJFprfDIVw0Durawgx2mKJ6c4Mv1nYP
wtG/MxKx9L/MbVaXNx51zIp9G9+9pzRHIhSdT2UNf8UOUFl7gtC4VeGxJHpgVaNvxaKih9FX1bYy
6dauWFaR94ioCb4w0e6NLTmP85Z4Kv9m8JZNz7+tKnNs3wGVjifoAiaaEzOy92i4xHlJrGozheFI
mO+ZZnh+U7SFeU9LJ78J5K5uR1wpY+41R7isu8ZpaLHFKELcvoau0Q+c2QzcIecRSfunDOzCFzOG
iOPnIFhsdwDDmGTur2RGpheW+hmU3NxgzwW0GpciOeDssl9Tt8uwbMdkmPhteWCoT7xVmO8tIfIL
ZVx2JjyJDCPfiJBLT82NAdLxFgT2YZbq2S85ba4MKbtvIBDDS5HF/obDD1q3yCu25kQ6pW/m3bar
IYLHS5J/qkavXDX0fm6oa+W7F5FmvWrDNn2kfmze6BW4kCZqZZ6kChDAkRVgEOPh8VPK1BHyXY3S
rGmWF9vKn1MD1IVHZYPG2cneE8sTLx5wm40z4Q4K85BdOyvGlddwHkJg8yvUgOBtgSC7lZgt1GqM
o/6tXToohmzoIsakm9XTcXRi9yEHkEOW24KuxIvCat9GTnaopPA4Ofnild55cBJ+OYUUZP2BfT8/
IDGWa85I3XM3VNGDDQxzn9mFfZwoF08wSFEv0WQ711AuTsNYp4ic4/SVb5S4m3mwjxCF8z1hvfUp
W5z8nbBwL9RRVP5t0trLY+P24x2UY05Q1NTjirAc/6LSvkAQD69sZ7C33QeqtVGWQX2lcc5jn88t
2DKdIHpbepH9MARDd4cWMvk8A5TEMqEmxPzZmNz3cdY8D9kwgXQB1ETyZLk15kS+kgCdvrSj1x97
t5LGdh789NaEDmDt6DAXj64pwwMm9OmmX0xsYYSv7NpmdL+jp2hwy3nq85xaGWpt41BmdXHo3fCe
Ux529oFe8CQJLBdldLBkfVSuxolJe1XTJ/ggCccCZ1DmezOaZ3yC4AuFINywTUp/R3903iyz13wj
XG84UoEmHG4U7bzSmc5p5TYngpIULOrBPodqUl8GEmyw2okR+1ISPsxVPXxefCXWQC9pRHZ9v6lw
PO2nHFNA7aS4eoqhyj7VCe0VvnaeFmNqdtLP6g8bZ87NEhSoOuf/Yu+8luQ20m77KucFoAAyEy7i
xLkob9pUW7J5g2ixSXib8E//LxSlGVE6o/nnfm40IwWb1VUFJD6z99oBIAMYJUjp86a9uFZfCExF
E1GdAvG1p23xfQYTZ6xMJ+i4lKdy41NAV2Pa30ZBfqGV8e9EKcLPwuP+n22/3o1yIvTNnGLzluQn
89ZvU//OALH1wCweCg06Jf+mLC1ylrPxPiOTKEPYzrXCYE5tZsaE+ToYWhhQGN5PpNoTJeY5RPXQ
Qd12oKJZaHDUFFnBwswGClMr6wkOgw1qtDVwfBDK9TVKBgwzg+E1NEw6SQ560vWvKYqa0SSvnWcJ
rrS6FF+SDj9/pu1sX6Mlf7YafGKh27p3op3GldHVQMXA2NQvuuj8uxGUx22vK+O9KjtYQZY1PGY0
VZBES+3eFKx8PiajTCZUwLV9KAp7OBHb0e8DbfV3fdvIk8hEsfPiun4dbFtfRnsKNpPq572E4v/A
k42Zh9+Vv3pt4X6f4rTNVgxR6Cb98GMgVguAzuyvgrbaDaXXnacR8zvJMu3aKPk9176hjSOpIQkc
BZ3171XuWQhqxSCRX87EJGSRql8DNirb0q3Ko2fnWHptJ0m/F8pCMeT39Se8RI6zVWWY/yrD0NsX
WLRuO9Bd594DR4VgqzlGvnfwu1QwpxE835jvttldq0z/PvFyfZtaU7vtPF2eGE60t7DrHLrVFNdc
5vYrA/ntJ0/ZzIYqv9ck8RlM7LUcuocq1Ax0DH/6ZsoON5nfxTyufT7jcza0xnMU2c5bHZccPalR
qoXbmRTLoV1hq5ohqbQQiO/dtJB3sRkUHEuksqZeNqFQhnSyd1vGRlwTQywxFKEwy4mhWo+l672n
JnGMZizfVafLWyMs7CcvRMlqmaNE4OUrjsFJXKYF1QvDkTmmrU81DAJSfJnZY0LcMM8St53XJjgn
SskAG85RiYnixfXafjtiz93VuAH3hpMUQBSY+TCrQi4JUHZjlLIitM3UDy7ppV/bqCGkEinivOmG
3n+ywLnviM8SMHgaGukgidQ6Nyp1wesSsO9iPvWQhYW7HyIesoMpb7ygwabp5FCRa9O6bZUznnw2
VfBpjPobYgNix41pgFXV1i52pgSAIlQrEMSTvoBAqi6L2PiQoL8+jNIu1nSs+HaG2Z/3gdW4n6gF
xPOI/HtijC7d715udG85Qs9dkFafQSdhTk78B8lIJuH9megqqVP0QXDk4WRrk+g0VI1xdAhjj9mD
OQ0QJ6Oev8ZVgxkS19ZwEh2cFfrn85R6IZem0mTypvYloDbdWTEP687Bk7IbvMZNNrKeqT+QGnR3
Muzqja6b18Js8vseen1Fb2aqPc+7YofIN91krTHtjNhyD6LMvHvXckeeCm78RoHm6LWBzXuFDfDQ
VUkAkidFJI43xUqPdhaiOEawchnKClBfw7gU3rtZUr72etoidR8eHdjGK0Smw9Exp+K+TeuB+0Q6
DReH735Q+EZbpVKBQp9jxXPFwsWkUmWeJczhqTez8MVMy+yFZHhvp0I9K9SDNWCrtPXPc+pQreDV
PLKhw7TFig4YVAoYHL1mHxzjrm/mzRjK5ERGEKjPuLfijhIToEhei1B/kzmGWz9dpS00bJbUNSuU
HibX2HrNiRlKjWhEy1ulGtrKurE2tNrhug3r8RQVhBKEFP6fZ1w9iXKeQycmuUDgw41ti3epTnnq
Wl9iV4lVM6Eqh8brU5LlDmQgYHqTscS+AajbLMqxbSXn9yaafo1d48EjtmDls1cjaoV1m65jc122
xbA3paHWKYM8oF7iHGcWk84kfOFrYdI6eWrta/8aPR6sjCxGBB/LW0Jr3qwlVnfs4YaGaZqRpOIB
ucszPph88IFnThWzHomJ2SUWmABP5iWdt2PPOJ28uL+PJiVeZVNA8fFGlsWmQwyl5QoB32+cgaqT
GDiXU7sqVb53cQLg4k3k22SIcc9gr1oDUdz7AKLvocWka0yx6W3B5fduaHcrXDt4zhmTHyojmE62
0OYtWvl40wMrgIPd8JhDOchczPV2k25JVWd3w7wBOTk+x/CuMDKe7AzX7m2TN5d4wNDmNqdPIFVz
7VSuXv2ha/238rulMUTIJFEnYNZxPPrDn1UDUaCmLO68+JjkLJjwNLqEKcwepzS5j86TAjj7taKW
QmdOaMYP/ei/1Kj8rMT48eJgeQUKIwSq1p/1VHNcNM40V/HRGsvm65w0xU0VZxHJPn76b2Qmi/rh
n2qY60shnaKnWbpfND1/ep9xjRd1ZHt0xORQk6RteQB3iiksv/3950m6219fSLnKp+lHXOI4f9JN
peXEoDd1wyNMoGkX4dJkCUseUFbE7aVuUsQ2PXofNnMqf2eJSUc9wAi8NwIYaKsyYNq4/ftf6Wdh
yPLW0e7BUnaJnqKndZff+A9CoM5svailyzjWYzHfmnlD+mgy0EFjcUeqZ4ZR8xXjEd8zgN7T9bX/
Oz/6N/Mji+wvNIv/en50LIc/2eiuP/Db4Mhn/GPzfV1vS+6a3zkzDkMjGkhHMBlyBYlB/xQHy4Uz
Q7aYAkKzWOi4AX4XB5u/SGdx5Znc4DQ6/NT/+78/3aP6T//+R+Wlkj+rIOmjpCReC7UnSmSIMxLU
9x+vpylHCVC4sXcy63w8G4muCPEQ6SNFBXz9op+PBI/i8Aa0hts7vRq/rxbwZHGDB642Ljhk8YhH
1dRflGyD13TGAHCuFzt51EJSZve9+L2DopPGur6az62AIn/M3NfJboeHrqkkkoIpz4ITrunso++x
sfd1571GY5lgr7/63FsE1hMsMezvLU/uaDHE94s1PokkLnnn6pgvFvM8t3L2rWBaHWYY6xN/7D+1
ca0eQQLgu6dPDr63ixk/NPrblI0cs4AiTt7mxbSvgrD/NKJnWItJR98Nnj6U+KHNyKwZ3UsFwBhT
4CQ1XoBwvGXBYA0rpAzTdxeG/kNZJLAg3R55TW+I4OhcqQJUzhAGhlKiM4qSNFmbWApwtA/gIucq
LBjgBHpLpHj0Zk1s6NfSy729XuSTK3A42dNkRdE9niIIAAwCDjEz6n04+x5PJdXvzXKseNAR4faE
sgFpylxEmbuaJpzCq5JtGAQKCNigw1Xpf0xUzcivKMqgR2c9CBOfx5EI0vrUBWmyhV3nzCv4MiQ2
16N/bmYQJgt7qCAupfLuUF34WIN6t3vs3bw+sE1gKoG0Bp8iYY9rP86zcq1mp3qqaQxOlutBGhAj
H46fUTgbVZHdW6ATzZUXzsk90YslCcO223/OOmYoCBFaDzxPCTQtmie69CB0fYxpTtBuQkJKtpku
EINEi3V6jLH0S4fcBTWMYKcZqbenNkEOw7hwDC9eW30nBWvqDmY71/HG8FhSDSFBGSuJFHJYxWpu
vxZoBI1DAOqSBmxMjr0s6u3sTwmricKhV7N8bIdDg3kcv/rOJzHLxZRIOWKVPrqmMbaG+5lmMHmt
TbbG/cNseHRCMIdAyOxp3+PHYXKjCzjryco++HYFNUSUNzGf7agKmJI35twwoLwznSWEKtTgjnOr
BE+n2h4o4eDg0LLES+jxGoGuN0k2PymNInUo0KOvW4sZwSFgH0duPU5+mDnOuveFewJxke50nubc
3rJZL6PeKkyHlVtg5ubZV261WeXrurWCXRKl6C3cVpAoTuJQE0pkIql1Fq0P4dG0XMpg9Qj17JAN
pk14hgrWk9nA/jCLiZSGms+9GxFMrBDnBJvCa7gCEUeZd8ai9Nss29Y1GBAYq8ncngQTym0MHOoo
R3+4IZUIPi789n1tA0aB/j3XZ0fX3UkkXf44WYUqVnHp2HuaNFj6vn6YI27MtEy+o+94sQyOgYxg
EK8p1SZxnGhVxol+NjqR3WXD6K51gZc9Hm3rqVFMTsEV4ODyoWIwRwFGA5wzWiVD6NGXQ/zru/QC
ZPXVV01Gkhk3Np3gIWnDR+aHERliVrImcBRoQWz29gqHqndoZgfRYuosn3Y5PJtSRhsT6s7RLdW8
FZnTg0xMxKNTLQSIbE63lBj2ERZ4vnVIPCAtSunuluWZua3HBEotnMhPMlPqs5sTPhoRLoUihfAO
l630My7s7lwNzpI3FGrOFIxMMEGImTW+moi5UDSk4Xxvpty9mFySy4wM4VsKrvJQzkodUNyTY20Z
/rgNdTjuAjGzOy/MfD1om4SdOK3Z0vbx3m3yBRIg3pFH0lOGBFGPQT5DZq3bLdRvYpQkH8rDgMV2
G8yAj0D6ZnzaQibcqNi0yPRA0boEs/ZQaOKxHZEJGsVNDGfnPtEe2EjTNrZ9kZIfR5+1NVGYMppw
ux0qpPwzfkUPQRcLeIJ/ivZzQjMr7A4gcjoW9xb6IIAoofkM3T77rifVvrlWqJ5cKqWHuo5C6sTa
3GUVBIV+br1jYiqG1RkN4db2RMahG8XdU6wkpPZIy3epuaSlrIebkSrz1mMdSIi0bd3rJZ5tbHE8
63yYnkIrd7xVbljxHV4XvHvYOW+YWwUHM7KZuCc6hV3qcWRm4b3l6+TAUjaGFo/8jzh7z2UfK8ON
TFrM1EEbzSczq6JdjqkcgGDGzhAObrTKK1t/wSC2hGQZfXwj+lQftAjQAM7W+GvedoTzyGp+lr0E
qxEkbkO2edyGK7fWL8Cwxc0MugFJTkl8fEbmJddbHT3aTmc9EYgrdnOZVJtpqCFJsWqNPlV1pS9y
XlTuusRWz8FUH3iij+/MdbNnGSk6mI7gi+0wSDiqgky7hKvyZDftQ9sRO4+Dl3VR+9msncX+NmFy
TM3PkwEt6QBXvok/KdyCJPa2pdPxJEpNeMdzGUHQJQiG0DULMP0kUR9sK3OcPxjVONsgnWhgmpgj
OKJS7ldNw8w8jKZuP5g5q/Cx3scpmlsu0uDIV5ltmIBnD3LxmtsF48zQqDa1Q/Dnf+vj/52DTjpU
qP+6Pn4FQBIX8U81MkvU5Yd+q5Fd+xcBYpBC1F6wFVRy/6iTPcIziaugC8MhhM9qSef+jTUh/V8U
Xju08qZ0MLeZVLe/71ydX/jbyHNx8fcIIZz/qE6+Rt781HJ6vLx0Fx8fv4UJAfLnOtnrHVD/U2gd
PG8qKBv60ls3iNXRYU/1TTwwrS+CL1Ph2UylvTB6MfExr5WJKSGOQkZepcPusenlDq6LFWwbtsSX
aCK7t8FE/FwWE7oUWohjHbTPQR+MkIu6+t2UbGHjDRd7+ALuqHgVi+mkyhetXI8Y9MMOivJcLgI3
NWF7KExyL6HrIHWVFcmHK+Eo/7V1SuNbOrqs9STbiG++S+Z5corBo91RZm2bnEC1cEzOTOArb+/0
QYHqT4Ut5AKjU3ddy/5uI6LSeDaUXS1KbyIDKg9BiUsXvNI51fUGWdZ4ZzVjtsGI7H3J0swTZ932
Hh9LyZzSgvBHUiiyeoYRPBiAjpTbgJ2wveNghi2p019VPhfncEAHYntXloVKPzP4L1A6BvAB6IdQ
zcnh9ar1RUhvhUeelvG+rPLqQv6e6e7HAKk0eyjjrdUMazo9ji+RqcHqxGh7V/Xc1+4rJri+XbvO
iEJ0ZtpXrcYkwFgT+CFSQBfVnbivY4mVzrBRvDUwnd47Uotn6gtsNirEIeKwZHgeB7l8yqnFZ4Hk
x3r2U8QITN5RJePFRmmaVYvqupUZGsamROunpWRX77YarZmkFs63nt2jcfYitC5ro6nR9wwFppIf
us7r/81wADDPqhxkZzWnGZK6KOdnwAWk7k0FFPhN+DQAaxwwwWuiPKQ39iIXb3vFcCCjK7A2VxGS
V6bs6IsWnSJ2O54OjdeX/dLBoPxkkg3ta3ncDy4xKntSS5FfEh37Xo0Z2h0Kc0b0zahnVKuLRHui
RD2L0EJalaiZN3TN+BN1o5Jzm4LbOBneooscCCIMt1gN+XTzPqjIIMqRXIWAD/KNzYIx2XijS66R
ByJf3IFUgE6u28AMj23VLwK5EgXzVVhL8Bn//pvcsqxZo5GZhBKVbLJes5o1Ftm6guLFYNFZ3jwa
e4RtswCytm6GRW1w1Rwppu/HEYgo0lLdLnrWzkAMXfEmAhgmF+aLzs31FR13MSOyT5bHIbO4Nut+
oUBTJwavQ5OiS5TKBjeiBsG2qGks9W4S0OOtf6hZzaZ6Q4+FjwADGfr1OLHVQ5gQJ5DKmqzeWOKA
3wZOh/irFjF/fyjBg+4xLCDGhsb6SbUkf75ef0tWvl2IBALwBkEHNr+sXTlcZYaQ1p3fZOA42DOj
aNTOwPfMsrqen9phEfGX2fKV/pD1I5M29V07+ciPHYxOU1Py7/4UoxeB0KodKl36SGBgXBB+DobZ
HTJOqKuGX+WmNe3iusq+z7PNFZk4xnJNWQJbELoqL9+XHWDRs2vlY7cGTzKuRzdth03ri5loWGd4
NEHCXPpkqt6w3tMTMJ9HjpsBJQODovzqpvW6NbEjIOJsYTA410L72y4vQqwajXaX7MDgnPiILxGQ
gfqGVGQh5J9gTmYs9d9aVkUBwT5iJMLSl/sE9MFuxnK9NvvQfujiVn9NDGlJSKNo8zJWnk+eYwBD
FQ0XtmhI92AoXRo3jqkM3l2esjaaCaTRi7Y0k0DCCrR0fGSkp4/M7Q4Dc56vdYVWkOVziWAPXSEK
RYGl5RhC6DrKYvl8JyA8r43rcoIAxuh5wXy4HwiI2aqeCeLWYLqxQrxJMZ83qqI1WlJ5My9imcET
42GRXD5C86Wi79MsQemZRuIFL4G7M4Zm+qbcXJ6Cpo0PSe9ZHxmb0VcvxGG7Iyg5uakbJ/4mYXQ/
d7Y9Hau8gL8HBntdxsYLksrmNRJKb4o6bUvyArwYWS48dfr37MYai4H/NhY7oj2mbQHj5Rs1fcod
QBry2bNJkIDQ7k4EGTBNeZuAe5IdjSlsTSdqHTsYFbfsgwkqQMmPH2hsBd41pJg3dljfNQ5MNMRP
kdoyXu/pc6Z6OhXt6NG9GY9WztwecrtFF5t6vbYQdXOaP8xKRsfeJAW0d8bd3Mue5VJa3Q5dUZLe
0gWXom84TSaXREWj6h6tovgskdqxMoFaE+5pHeRNlRameAmwEb4OUdY8ZYO6RHZfP5I3w1iX5uox
gNXzVLiATwhPbb37Gr/tIYbgt2Xuan4OxTCeVeA9z6FwPnV6EvuSmNlmbw9gbLk/qqw69M243PjD
AXseFo1KXLSGHu/kVWRvMzMygZPOJDMDtjQfdFSW21G4JtsU+ECa/n1EjNtG1Zb+uzA34JyGL0E1
gvCxFBDPnYmLJj8Q5p3B67CAkPayLlmOmO0zcFPvLYa0qHkUSvO+S1S3yk2jOuKT4qoeZPJl5PF+
Jtuiu6MB+zI0hBNUmtw6loNjRf5EEbQ32oHM3qN0e5p8A3gudoSH1HLa7z3xwl8mzAD1+9iaWf8Q
szUMz20zg6tDf7+u6uYz5r/gAe1vAOaObChKwfGmb4kLABi56l2nOXVaGvdN0zpbLWQ4YYfLv2Ut
kV81y5ttYE/iIYmZiXixEzAPipwLCl37fuwGQkzTArDHyrTd6s41gvTWDGpRbKLONB5UWrKQZzuz
5eNyGVCwc610XnyJu5b1XVmRRlSBSzEbSF0kdwLns4lnNt8sER6TIdE3xmSrz2hgUPC4JGKsLcQD
W+K8orMOFfIcwKe3ndscvG5oV6nLDjcyrY5Ts6xGdTNELTI8eONrAfwm24SV6GhIJgMBPZeKSQB6
PnjlAYXvp4C2dxVmTo6jsVQopdp044yEQVmofTkLK0UoM0ieUPp4OENVO6vC4RG+85U0x5UQlXxg
IetcELG3T2WjIIc0BfE5OonadTqD+XVb4mWb1F6hnn1xzNo6F+R/byzJcJD9GlOuNs+fkOP2xSqh
/NgJVF6bEbcSO0FzNFZdS/8IXy1irDU2ZOxJc3o2m6Y/T1qan0jT4YAiC/yWE6gnHQkJ5qbN2Tm3
Zr+vig5naStUdZZMeR4jO896omL0sO3Kgki8aCitUwdXlvgzx9w0AfOvNiFvOA2nFwQUgbOyc7C0
XfQ5IZd3bdsWaejh2IcvfcVO1dVjyxNXyxO5UuNhNEOCd3y2tU7n8D20pFE4qzwntWbtuZ3T7KY0
srkTgCStoVKD/o47no5ZhDu2dvNsXw1k61Y+b7wnkvopSEp3B6UrSLY8DolES3S8IR6WHHc8debY
WI9R4BTMtVEDbBD66TOqJyWx2k7deWwUMV1CjHLHz4y3bj4S/+By3nwkded8h5U+bEmvs+dD5LcI
t1z8J7DEwLgvpVXFfm+V9RNUYmXl4JrzxNmiHKi2CXGSaw9J1u1QWTBzp4zk477uNym7pDMjhf5u
1l4lX3i+pbdtkUkyv3J/zC9wcXBDpHb52OVj6DxmTDnntW3AX+1bUuY8zC6/pizKwp2Pt4MbyKQW
RNSY3iPUfiLgabwpUlBsWF8BTSfaCx40ZcCtwB3AycuMgwlWT3L8LBNqLOW/hZ1VPs7BkFSrPIx2
0N+mGxva6R0qNnhxPkTITVfa3UmWWXseEbKiLorHi2W3+jka8lM91OfKA/5X+6K+zyFqfWXdYu6B
bzQnq7cDPKjeK4XaAEO+2fRuox6Snp33yu5xr+2SMQ+zE/PhwdrF/kyi7qDIcFmXWVEmq5yIocdO
mtWvY5ojCufII0uoIn8T2/jCJJWg39KuMfKvUz/qC9KYmejLuYm3YRXbHUqh6rnqpiJ1V03cqUDs
oWpKDMejs68j6T6itfoEFXSMzkVGmNCNLMz3dvCrW4IW01XscS0cU/B1fM/JBCIsTSL3EZWxbX6K
c/5fM6yatAguZaXrnY24FKcW8ZPDpzlSjOBl44XuJRRVfeHpd2xznqDD4Q+d/P9n5/wXMbIpQUT6
WBEcZSmyWn9ujEN/6CaByvbgNmxHB0knaseReJ5xMX/4gJX3f/969l/2zKZi+cteQ7om06E/q5/J
qJsc29Rkr+QNRtaI0l1zML+nRgufRJTd14igPnUX9l4nj03jyGBaa5Cr+W1iJxknHzf21qkLDKW4
mzChGA6UlkbgkOujFmpMyspkpSAXU7bljv4wQ1P6NPSqnZ+EY+A1rEeMqHGHIqytsM2Vdj+0T0xf
bb2bGcRD+EemJdWXmX4CGbA30rCF5JBS64eLa4oT4xk4LaZrqNofXDLFd2/uiyfph1T0ba3581da
jpkTQ34T0hsZy9lp0mDBxWa7QCTAzsc0ovfeYr6b+IPNvSory9njzXXGrba88u3aC18NF3//JSzT
jp8W8EuoiWJS49kK0OefoUIpFXLgaLM82NPSL9txQm/QWfgXjn//Qn9Zdy8vxAqUMkB5Esrnz1eX
19DBkctXHq52TIYTuCLboub74d5T7zpePHthOdKEzDxl3/7TV/dQM0AYBWjhk8bxJ51BZUyWa04j
Ut2kEs/OMHgbtAcT9WPWML80eFWndWkCfjjZ/v7FrZ/pPqz6yZFR6A7QbbrS/8t7J87LCMqAiFpt
kdWLIifEoeumNaQfRsr5RlkOb549S3lmKE6NajZFR+NXhG52CNVoPV9/of+u///d+h+SFd/Nvx5v
nt8L/a7/6ByxfvzI7wIA9QtUMDYxUH4UDwmLMeVvIgDLFL+YNt8ylxiXOHCXfww3FwzSP4eZPlcD
ig8hHZbX/xkRzFJ/OrOXaxkGqMeRbUuP0eifoCmMGD3UWaNzzkW1lKOOaw0bxwK9Xq87bVQt5RPs
anRM+N3L4I7pJBvGxjYN0Ilzy9D9KSOj1MjJeHFoSbbGTEETHLyAgf26kz0RXi6DSFTnEU8Md8c5
mzNrbGlAo5HhmMvyU2nkzuGOIV3u3PSq1l/TcHhoVexCpBeGu1aR46K+Jj9xp+twU4l5ejK8ebZu
5jaKq8UUyLhzxbonYaxhYZC+KUYrsyk9TMjdbkPBechqr6svBFenT00d+G86myV9NDtFix1Cn1Rn
JGMRRN3J/2wwsS55icmZt6OfiQWO5ZoFgnZaZFnG3j12fySurjtsDL8cvpApx0LNhq6Cwpf4uCYi
qjDpBbGxpYwMD6+1Ue3TOc+OSZdFXxxt15+FlvByrTL2v5a+9zUbpzsPwxeBEGk+HflHcNt3jryP
7dg8MKe1tm0iwWAAZuXPSL9+6JIiGtaMmMxNO4Q9064K69sKZQBFoQocqhjL7g8grfILhl/9ilYK
EHkzDXuigKYHX4vpxN5vQfLG9PUY84z4gDsj/uB6sB+StO8J3C2FcU++Jik5tgOWoBwtuLZt8RzN
LgoDr0M/O6MM6YmKo9bwWnGr7F58MspMKxwSQt6XKuw2foUaIHdd9whxaj5nrQ2DnWoImIwoui2U
DuISCRbfyUHOB2TyI5GRQT1/Maa8Qo+dGXsy4uajisT8FV6ve4w4EJ9mcwruOqMub0oj7PK9mo2J
HnB2eoucy54BLnSQ3/8X8Knqo1vDXmLw1rEJ471miuerojkllQ6H4gTcdMjKjdsGdeLvRGNAlrS8
gWQ2JhtIKs2I/Imv/z1R/zcLI06x5Wn3r0/Uu7Jpo/+zfm9Kgrx+Whv99qP/XBtRAi5ZXA66uB8a
qt9OVk/9IgVHpQkya5FQ/XFtxG4ICyo6RR7vP3ZD/zhp5S/8UagPYgnfomCT/4m8yjX/UqzCb8Kk
RxFDBWMCO/u5fnFhdEPpZeXLuIiHNXxaHE2zDjF7i75h6d72lVliw3cj5xiICb9wIQrfwxGgwQGL
AVXCDrp5nm5LmzC/g5GVFtmQVY8tllYSOkkeg/mblqUHolPrrrQBmDD8pESaRFK/ZRVj6x+sN1L5
GEdeXcI52qEbPwrKN1AW1Rthy1S1bKqpM4bC8m4sZoDvuLGojv3cIIe7wPm/6krhVXsB4pH41HQp
hHsZsHRIk3i6iLr1Xztp8cJDtczgW40f+7pzyGNrfGwSIY8L8QBXOslXDV1jkZb4/0hRPjk+3YL2
Fm4Cg9ZwRX6PscbBQ3FZsdi6TNm4TLO7xZBdIcfAniDC5mDSljxj2rTf3cVxXpZGd5B9JF/mZbxc
SCpjRhGMx50cFkko4ECtkGmyIXEWngrIN8ptiD6aPB3iFT6SZhm/X7mV8YJykUFtwv+QDX+Mggpc
3MJumkJ+DgkEv4BtYbhfDQuxB77RAp1ZmFUdA2k2Rf7Iu1Ypr+ml1PpZYvLe/cxmE9BhAmDsE+fn
InKjO5kayQ3ScIgBQzzeJkHcH2Xpp8ciRgyE8H75PJ1xcZ7nI/3Khuua//LjC6XqThvAv2x0RLd8
w/0ERpCvVOvPSKvAwQxXjOOYCjAqjE7S+MHIBW+hBHoUcy1F/NPTiFEIJuv4XIbE4HeErI+9c5iU
Ya9dww3hI4JX6w9Vmkfmp8bRSu5AiholR+T8PQoW4pXZF/7rlA2PgJnt3YTRTrGwg28yC508uEwN
FSYV3PnAJKljFRfgYuDkqgVAvktHSC477J38TTNJm6wXUYhA1RiZ0LcLJSRyFq0royuuBtHQ7xN3
2TJv9yeaK09ZVMiZ67INwqzCxWeIBaTVC249d6jaD5bM6AIwO1h3Eaa/YeOCAweaU1F5/bb3SBOA
BqciWczrKXq1nAfhsuPgYYU5qqJXObgJQQAGz3lWEQxNx108d6yk8gUXImECgMYZcq6YgGfvxzgq
XrLA4ENYznKdTD7Lum75ijzZYq636SI9i1HnD4KHbwtAYQtRY+oh91TKgiiEyeH1egnHBtCCKWVj
s6RC3115Q4EDnJBlDx/JIMLpMobcCvksyrOKkgUAs6yAf0BtWqgZBLMikcLIjifinBXOcgUst0S3
4AKceOLDmzCg7DGz0q8SGPWGxhH+kV3RXjM8s54V4SyvBAz1uACZJ5aAZsJ8nTULHurKbiHJFQgD
ma796oqpcU1gebFe0CQ1j23uB1hjiKkWwhlOeT6fYFk/9gJ2w2TOnCBUzPJ4ZSgMJbiquV5anfZK
R6PHpYUmEQqiW+fqSF4ww7J9Mxo9cZ6iitygn3EPjt3AAs8S5hH1aGwkoe8kP5cp71eODROhWYMS
2FI9coeJJucXwqYL20OUQ/Q46bG6vS7p4ontl0SG+JguOAdIauyMcyvj77muEFMkPJukxW5jLpDD
FpgCnyB9+2PFhR6vBGKZt5Q59MEnU3qPwEc8u5Jr3kmXJacXJc38pH3fVoex44iUQN5vxjTliiI6
lS+KBETrOTBh5p3C0sXZKJlARRQsSby/Qgs7RZ7Kuh/4lrKFeqOJc2+2pKBzTQW0tgDMnJmvtdEg
jcyBQN31WLC7rrvJIuYHG+MmbXJ2hnDPuV4szRCE8GGmEzjAGJI6ABviZbed5xa/T5JXgGl6f7ly
XCsrp5NKGv56EQb6g40Z0InI5upe1uNU1P5rg+8kOasK1ExHQ13vrte8EmRFYQzkPa8F5inJt+ng
Yl0AXgxzF+DKlUDWsztuH3os7yMWMM351mhAnlkkl+vRX/asVQ3GiWklX+SPIw0JK2SMygUls7ID
ryGQ2dO1QcmnhmZbWYZ1UQh5t1kGPmXdDXy8TOF21zsu7z31OrB0wjdc2020u56sZclUBf+WV79a
sSyK1yEMp/STjfApXlN081mQIxzv1bIs9zMAnElX5w9W1AmkFcUH8URknlVEQa48HF88nPGn4zPD
R3M3zAuRKqN+WELVvMoipgNLdXQvpmg6cPzIHABO2FFCMOsoSguG2Oyf80KziQLKNjLb17GfPcxJ
9g3aaeZCp2oNEooWXlrR2jlfUYHkeJV2cDZK7slmE3HElCsDel6ylnXjfJRF/gp6qDn5wdjBWJm8
AREK7d2zQJZS+suDSC9aFRZ+1ZlnjHexCtcMuHdRtTS1hKsGRO7OXjQvusvCNWEh0Uvs1khiULd8
qVGVGgJQoV50M03rriHwcg+suh9zyZYRpY66ClqI3+TBxVxmmL7ffipQ2rGWR4uBMv5SEe+YMPwM
rmPQyckqg+dEia3+aFllzqlKLyWVA1pEmh3BgYhbN8IRc7F2IZQgY6tVsq5KQRycRdAcCuDKI3Q+
ZYNRiB4FJfgC83/YO4/muLE0i/6VidmjAg/Ag1nMJn0mmaRoRWmDIGXgPR7cr5/zctpIrBqpe9+L
VldFhZiZIPLhM/feo0hylahhs7XhgV5fWWUdz7vZnXPvEPA0btdRpzQywIuDKzri5dafeu/UEax2
5yVTw76DPnpVjOIJiRqeRaxJt8mS+SfPCrl7hUNREvvVFj1vjRamnsi6zzx11U6DefYI04JLb8jp
NXeq9IkV2JOT0lJfo8Jw7posxkjddyMSgwX4vM/KE8VjG7zFPq7UbsQNt3CTbRsJzMpvgbfPuP0O
pl4EzFNfbCEigGl1nDRbKbtLz34bEyPJ9XK/pr1f7hY1hjzHE5Mc2fEpCDA4Zjj69144fkacpCd+
3ht2s5nFzVySztRYOztj+Wv1sr3rWIdS/pTuVk7F9CVV1iNhwuibxq47+0m83JF8INeVp4pdNRvO
PgwGVCxB4myjpntsAsXCuXWpjLZd0VTnfgk5ojJSgyQpituIuuGkiDQ7WWiiDpKc/mMWKOe6svF/
ctFKZriNfJjQbEGNa/ytESzZKuXEou8usg/gNzYeVaexZOKWh8BMyTeUu8g33GPe2vNdBA3ALu3y
YBldu/f1E8KeNcMzCtSB7A1N856NT11IAkJat8F5SbWkoLA2hBuY91mrF1WsXp6syTJQ8NZANgzf
4++xX3Df+iEPqEssazn1U9lgReurl1R7xhDfFDT0aWFlj4B+4EyMtoEkvIHH4woPu6yzU56cd2mV
FceR2eyrkRUvk9HAERBeXqyHtu1Y7nHbsDilfQUaofZmSGip9DPW8HkSbRZMkvswivvjUMqvdRw5
W4twibWozVyfVuI4p639Cu8TXX1YddMLSe5bquuWSjAxSwIVzWzbN5gLCeQSN5z8Wsdd4XEwEss7
mN1k74uY9BsmDTO/tFyM17EyPLGqbaDFioPEb7l2vTTvhzHLBW7JvIUC6TXLlN4noSB+TaRANA/e
0g3RVw7/aMdCttks6HA3ITZltpQxcVkEmdjw2t3Y4GBqE/fgkzfwbGSdRdAocF13lSgRb9q6pwOJ
my0b5oo8GL4Xid2Pz7Xr58eFuA4UUHO2W5Z+2RIhwL+mXkKOVW4+jdHkc4vbReUYp0Tqwo+DtGB+
QxJ8pKMvb1jJdx+NOFDkSftnN2ObzsMrfIC/aL4EY+e2K0Xv0p+yhsTZjx3ib5NYJTfoT0YjFgvK
ms3UgbEdqVXbVBhUThGNW3gb9gFDOQCUtCGEUvmfwibnUA/TdCSj1Bhn1MYrKdrF3nuIlRa5tnLH
MFdRZ5gj+m1pKvuTHxc8dS2Fh2PtJ74d7bwxlMVVg3K/2WWEj+AckwVCpqG1SD2Tiho0blGOU8l2
FCLu4PBs0oqf+WTqaPSLvo1aNF8XzUhZTmpKvfqh4/+LxdKfRv9EXdPYWzTQlo5Bfjf6Vyifkhq1
MZGhAalwRVXZ08fFWVT3AgkFZR4ZqFQjVSlzgn9H1mS/2TT92f2ndw6Yv0BvsHuwrXeazzF2RbVY
fXSQJOvq8NouQk8YiNC6ETg/I4rNsN4j34oROdThUm5ryCM3UdmLR4L1iE+s0Kf8+5cFCawtTcp2
1/mTARBZdFjFqRPp8R5F+sTTH6xNRU16yQzrEYgXG1UsFEfGEP1uI/IuiJylBNfD9l39P0pw8T6r
vyTPGd/+wjWZiWQ9pKKZSYnoGr9I+YXEszSoogn0f8y80DgKXX6XDkO9Kya8tXXruBAml5WZ9VF8
6HUHXTdRmX6/hJ5iZOGg/fVd9Be/RO29k3qDYprYxBEW/2hwG4IoMWzDzw9lOAANBbOrunXsZjqz
DbtFsyaLr9y6U9e8Fk4232ODmYiSo5dPWCvdF2Wz/s070jOfn5ZnjN2hHCAldjxb8Bj++R0ZsjEW
Rd3AVomE3JWrY9wvQaQdI56OnFXd/qIN6L46LIaOtQ64K8cKRaDArk2me1frHowr++s3dvH6vX9j
LsHJ+FyFi4zq3brLG0y8/W0TH2o3okKNKnovYh5QankTVRF+iIc6zn3nSIQwJ8ZkV112GhxruFfO
QNpTPIzBs2nOdMvOpS4WYNL2l3Vr5IBu3iURGr481DSJVs96ysDkm22QXE5p6gHMO2NO6r/+X1Oa
FON0r5BtcgjNNUGcoRbPDSkZgLqOe000K6BEzJDhTvNqOqBfXw7rZyyFvtVdDwALPkwW227wfskZ
C4Nd3+AZezuWnIFWhavu5Cvd6lwSPjn4g+vZ8gfjobQWLbsuYt7WTF7Ww4SqsnyIbMKX1nJhKY/0
mH/kYvEnQlegX5fxkG3pxd3YpkxpFAS85FDhjSjIDCb+cxsNJCYvc8GrSwvtxsbN5oE7hIbg6+XD
/me399vdHhK9H+6LzWv/+l/fLjPsm9fi2//89xX/or5k88/bvctf+tsM2hd/oJcHdhNoN671T4Ov
H/wheXCx8PMgNkgS4/6x28O4wBMt+H+MC9iN9baZqDnX1H/rnaH3VwZf8X5T71smDmMUrEyhWUpa
71Z9HEJx6y9hdBoEk4e1bQvvDuHjwral7PdJ4wWnwXxLjXE61o3jjIC7/eCecqM/tKh19nYjmj2Y
N9P8zdeLsdW7c9BHTs5JyGjNtfBwvH/AE48zy8zy3aM3kMJ0GwSZeesvLltH1nWSaHdVPSSkrDnb
hPCRPgIsaNRE0hQ4E8OvPvGyd52QfkNDT3/kfVxoBG/muBl7Voed+FTE4JbbbT7UC6JQ16Drkqll
IhOSfmdsHLc3/MOYoZ9zzAyOAV0Mcb4TXi0va5/ieYj0jr9IoYiTrwqjvqOgdbwO9R+EyeDEWEFs
K2tOt1MbPLJnjFu1DXj2fViEqxDk8mAc24a4MHaJyIfUmDZvxVyY905oIy8aLlKjJNa5YX5GAuZu
CK04P/WonbJdcpEppcp27oiW2eBnGuHxhs9TGBn7NlnaUxOlYq9o374k5M7cBoWcNi56WxFVhDO5
HXFqWitFQO3e61R/FYbxcJqMwSCbbWH3lwepe9M49nxdIr4yErwfUCJRZBlIs0yt0TLIvkSuleXx
ixWGiLhMJUfidyrjDqAzIi8vnrvtmAxIVLzlwVRRftvOCtgRQZsefSiJdzs/M5y3FkTEKqhjkq0w
9CxMyM3EvTf9rL4fktJeF6FP6teweKjRbGJczvgHO/spjchpmYSR3FLwbXGUWruG4crjbCJyLGNw
wpNbS+I5i3JXo8vN1qJ11ZqZv7tdQEaTjRPWW4/MmBWtYYNLlWAlZ+lpdZrIveOqN1fE/LS71MvN
UyTs4MRTwT+RTJpHm7A085e6Fx051ThMmxGeDTsIA18zRfGNXVrTtT2Y3teI7c0OhHWzLRo+fWvh
Lcnnod1aSQVoi+vu7BbqZGjc9I6vGbf9yrbaad1zp61YB433pjeMNyi7his5dmqbA+rZO01MJLkB
atsiE4kP1Nv3cV+0O2USzBi1Scwt3RZeuBvxAs7rhYbsRfJD1saUs9X1A7WVwSherSiFWZHO8zer
icIz8fcYLSY0Ww7DlHGNus/9RKe2tOsQruHRGlwQEdVoz/F66b0Spjb+HTLiZdf5KNMLzwJz2iD2
Rxc1b/Ioj2gRutB4lCTAeSvHyMmvQwF5FdSykjijzPw4eEvbrZibxteAOsorxv5cPeb90HgGbTof
4l0+M41alX7ofIGqjT4zycf2cRnr8jrIdVBOvTTZWQL53bEdCdeMmfW3i6Ec9GuGcMMecyvKWtzK
451HvKrce1nlHrO+fQricXnzhmXahmPnHAMX4TzOc8z8jAOrG07C8dMQ44pf1b47mwgSl1IglG4z
sNhjOc7kWbXe5zL0CLKRTTulOOuFP9wAjsVHIrBVrkiTYQQi0GcX1zAreotycxiOVeSiPMYRSqhA
isf8VuKtR1WZRNYtTNjxzm0HgYuzjAfEEWWX3+LfqfejxWyY0IChMnZtJxg/1JiLb1yOg6sippEn
jT0vnlnJN/eJsnuU4uTAn0NEkddGg/Vo49lAVFERVo8ey3zEwypxNqbGrbrco8G21RDWAQvHebRQ
8SbWSDCdhrX6EmxrNKtiU9Qj9tgL1VV2WfYljXpYr8mF+4oL3v3AIATOS21jj2ZeCiTWovxPtt6F
HRvVSPp3jglSlg61OWEXGj9FfkzumUbPih4ILR7lDTH3DOcjjag1L7TaXoNrYzBxdKpD+yDtCq5t
iODpTkjL+lgNRXLvzVMhDl3bRR8cx6mRQs19lq+prLvPFeGOxcoRJadDq4G62Guy17gJGkG3PA3n
Hqgx/g4xyng12z7TkwzL661B6ma2kUPHy5E4TiawNQf3dLcEZnpu99k1Al4iCszlGmmyvUtnOz22
GbaEZgQQzNkwHVMNDSY7XfAHNx3nPF/yDFwmMX2VBoYuILUClAz4xiUQYnHhEXszi4KV2YEphgeK
cRUNq7rqfeaY+td2MPz4qkDXgr+ewDhrEN62i90vJEuNm9EnQCtrJvsZ4Gx9TJGtfAjsWPCqxRdm
64wDA5nZt4wkr9OQo58B0HU0+yFQ5eoYMIZbudKY1hH60I1vlvW2Jqrwhqxnb+8gYeEvLJN1yzoW
HvCo2c5MCMy1ZTFepeeD1NHyR+KbxudUs6FbnIBXjmygS3Swxj7RcwxfBs2TzmzpbdqimiiqWx+Q
BNxp7lIJvmDWOGqGnKCpZ02p7qqBpEMep+2V7WvStbSBUqxFt3jOVgF6cTYQcAN7N7fEzW+mRZnP
btr35bbRzGyn1/jsOdAobcT5YLVTZKIL/BKN2/Zjb0TVhZtqX1+A3Ao1M/yNOHvGe8qvK341nHS4
NUwnu59N9yGbQrlPL5hv22khApdsns7dBQSu1WC3YVbCs+3j6vOsieG9gh0OTJvfV2hqpLhhp+Vn
WzYFPxPiuCVgj5NoAdiWbXpx9hvsLB3HGd+iDmJ5tAzAy6m7AJnnfo/7mlFA9orDCLWrcLENCBv4
dBrUpxT8srfiW2eQaQEIPF4rAtQZEFdNcT/GZn9Tpel8R6OTQC8eTHvjdoLQCkKyjZ3qSFUMRh7W
0pfnWFYg/iq+Ytc6+1RuoKHCQB2J6yJDqnBAFaO/3YQkNnwZ06l584OmxtZIKuDJc7pRF5jSarcE
EwdbGHoI7duxXY5+6noVUYHKve4Lc3HAE+XKWk3G4iE1S9PhmimYRHvAOZKu29LRPs8gbT9aeImM
u8F2CmeveOhDsawWAhS5B8JtUOXuCZIkTwISIsvmkDVcz800hnHIo9Wh/qpy23+YJuFsqsYzWOIz
AoPqlXHQxoFd7/3KzdMztiosahztBVxpf3pmCNbcw732Pjehn+4rFxD1Kksy4wuoJjKHK68p903X
kkRDhiST+lgsPDJA8ah9UtTig5VEcXHy6yS4jZRXfw9K02FNhJD4iGs2N9dlxfK0sxXOhkkhBe+v
XH+2SFz5T1v3LwmMGBr+sq27JWjxx5ZOTxn5C39v6cw/6L4CAK3Ij7UICLHSP2VFPrRNBkrEqzEM
M//Z1Dm6EUSNFNBDufyf1nL+XcDp/4EIyGSSYPO1Ibrr30oAF+9VRdizhW9Juksbpzzipp8nSLgK
I/K2JXYVCtpwg/4xI1y5Dk/IT6mfZ9l9BH9HyjZ9wk5AqD/5OTL5oDOnJ1mi93HoEz6amL4+RpNp
bX9okP+FwS3vDj0rOgUpUWtx9v387gLlt6EYA+eYDk71KokH/wDKrbwuL0nfTZLP+6A2Bx4NFbnk
v35txrLvu0pOGJ95jXRRuLoX2deP8z6C11A8qaQ5ggl/KSDusN5VSXDOgrZyN3QL3jWa69LlMrne
1eQEyZNA9vN5Wsrlq6c6NmT1MtsnnnXdNnNVvu/zVmXbtqncOy/2SR8hrVgeQUb016K2a8qb2lkt
LT4v7CSBoJztitvYms16TfCPWJs+Q38kmZ63UWopaPZUbDQru3cnxlmuRUGE2aNCSUEr4OOa7QiK
QRmn7uOyK1mQOSVaiZ4iZRc1QRCvgzBmZ5s42mPVGrhCvEdF8CsoJ8pjHhRuXd60DnNhI9aLhLay
h8PMlG2dGYu9IndHzajlx6HBf+3Ga57QdAfWNL+UBMTKldEF4lqOabhx27n/CJeHmI/ExHC4MkWs
A56lz5rFzuYdRkl3PwVWwv7UGrsVoNXmXm/v7gCtJWKTRo35Ka/APFSsituNzxZ8Oyq7TXaDPeHt
JeDTvZ9CwgdWxGe6OX6muH+k84+3Ze+N6qhzzMmtsoj7mYg2jNccy11I5S7AtIss9FdYElFXraRL
Hb91osW+KqeW/XUUUc/yIGfbhMLC4dcK4e2AQtUiJ5c809Uo5YuXzv6W3NryQ1a20w5hnsWqRjKP
dNo+LYnupC030xROXj9KZGiWsV8sP/raxNawy8wEl9wwbPimBkecR8X9Ys2Dje5Xpacl9XG1ow4G
ptXXh4UHH4/Puocj1FbLrmezsPDws1jKoEuY+vXQlNg5SCi/Cg2fPFhfhM92qpdDY6zzST0Zf3NG
cwCoKCZJnA/GSAaYWbWylgZookyoeQPi4xOg7Yu0CWxp3XTDd+8hjsh+uoF4qXjK4pdzxwfRFsmE
l93jWbQOUbpFa+jqpVj5dZ99LVPmrQiY2xTHeDV+ReWCM5uCtqAoq8uaJTUJVW3yOiQ5rtagZLRJ
MA6Zg4ta7GPO/GB4cScyTa9naVWvi2GTxBsGamr5VjQGmVuhSomKCCj1gTRWTrLtVVsa2yr05zPt
AVgZmslebNXApuNhtgljPGBlIzvBCLW7vypbuHWtgsX4GV0XsUiZUepE4lmCZorGzDws7Pd5FPTl
dRsTKrFp0Ca8dhVTdT1K51afgPEgp8ruae31YYjsYkW+QHmbLoqkaQWAbQ0NhVdr9WejMJUPbbiI
kdV6F+qRt9ORLeemFDrJwLufGIQc4IIsh6QiKIK9RvVpHCym44EcaOHikS8ygVtKGyjNSb2ZKVmc
Z5w8koj6EBnXurbq6hWtTiA3yEWW3eUop5HkOtFzWMjBfdYG2J2GmymxlmcGJZq3lCGfzjriL6wQ
EBZPAjG/kqLFDvfkD8zv6lMWBYHDfQTbwNHdK4FWL2U05QmTHkOWr2ruC26ddsGqqDtNSlLeMbNA
GtBRsYqjs2/rfeNb+S3SPmooOFRWt+pEOt0p3c06l8Y20T0uVCfaXWSjtL5whIbjdGmIzUtzXBgk
AnMk6qbZ0v0zciRaaefSVi+2DNWm1N02a14aby4OTThDBhry6tKcs7KnUY91z17p7j2+NPK+7ulD
TDWk+BLSmY1d9daJ/smeCE8DwJbKvdCTAXUZEhiZHhj4l+GBuAwSLD1TcPR0QSgzO8f2gPEOVmV5
Hes5hIV6xkWRqOQXOZSk4Q+2iHcV/XFqVcayzoWcrh0M+VcMfOJrdRl49A375anxa7n19UTEvsxG
2Px7sMeYmGSX4cmi5yjOZaQiLuMV9zJqQW/L2GW+jGDKyzhGXEYznOPRWkbSIYKLA78r7O7jfwrH
f6VwFIHlU1H8/8r060olXfL6syj9b3/r79Wj/wf7MwjrFB/OZSfwj+oxcP4wWSZjP/ddYSMJpzb6
e5aR/QcjcMvEbMaDIiBm+h/Vo8UPZP1kkhKKO5+Zmvh3VgL2u5WAEHSG5H1SwlLkUrC+qx5RSYxQ
C0R7lHQ8SBdTQ9ybcUPONdzPXdWkfk+oiGe+dYYXPqJvao9zUYYno03CU8fgiDBQT1zzVC/3mbMM
ehiRFyufQe+jjzN548W1TECa9MFaxOl0K0pDfUsxWF5PcZQ/OyjFt6TfJwg4MLtUphNPPOG9YYOI
DFN9ZLZwHwpjOdDAug+qVNNveOjv/E9cAYyqyMO4DFxT+72vj2d+y6lW10e+kdMHojeDPcMuaMl9
rz8X7/uHW+QvKuJ39frl9XBc2Q7tgk/k/zspA/pNcyLfuj6ORmvDGcvfdJgguRdcg1+/0rudpX4l
D9sDIQKsfATl98+194JIaGEslJPaytLAou/Xj0Nj79th8jAgDdnPcRre//pF/+Lj6XQuFk3cTEh3
9X//IZM4Na1uRIyYH5WrgTGGArnTkTYrN2qS7fybEv+vXk2yGmMr6zuu955lHwFTpM5J86MwR0lc
N8rd3eSSwnqr8uDx159M6PXYDytxfT3p6XgRzzZJgX6/A0axnMcFZd6xiaccTVjMEmjTNEWFqk6Q
qjrH061iD3Q9omM+LDmF3jbp3N8Fe//5M+vMMYy2JqtEj0Pl5yucwxGaC8WosVGI7zdMiLoNDJnw
MXDryvzNBf7zPYTzRY9R8ccQPfx+ZdiyYbF7CsdjLZblrvJbchoMvsE1QT7xce4SUii9Msj837zu
X31IFL6CDQt2D9d8dy4BLgQ94NbpES7QwDSX3yblEFjkMgFO8utf7LvX0knphJTqBSy/XoEd/OcL
Ci16FEMcEN7OImiDjtEDmW2281WEov/p16+lf9YP99DltaSwuJS+dqy/l1WkRc9wm6HfcZnJGbiA
KE95Yg9i8+vXeb9P1Z9J4g/V+g19u1o/fyaqmq6FcpccQ1MOKWMwBtErgAqESg62fIiTpOhXU9sD
wVq0owAufBSff/0e3t07+rMShctBp7UTpMG/WzdTtmfAyXrew9Bh2RSU6zCljegc2nNxqiKfPYhr
z785z/+sSmLxzhGEp97H0PqndL4hchkLhl5yjP3Q/timbnFCfTPf1Dgl9y0ha5jqjQp8A3BkwFMh
mQXDcQQ69pWk6Kb9UhPqfMrCMjxE2tWKYYU/ltS4+/XV+av3KfnF4NqkOgjM98bbTNrhuHiGccAq
5r7Ns3Jaur6c+TwxX6OLpovZ/QpXjgeeg8rybA4W0fZ2GYZHlVXOVdADRpqQ8N1oDIa3c4e4SjdV
HHjD/tfv9c93LeY438Z1LKlI/uQRNiF3VYDQkyOpA9BrMjIIMobeXb/99ev8+ZtIQc6vjPG1DrR/
/2xMDIuLYnTJEbURBFeIxwng3Upe4SKVD79+rffHObcnTjryIHk6SiYHWvrx45Nq9jvZwQPhOCf5
BnhROGiviFrnfFWIviWxsZ7G+UoQlvXJIGtszyy8/82FFeYlouLnEwFohekhc6co4O28qwfytjYs
vhnhwVNjOx+93OIw7YMJykyk6uUOI7L5JmnA10miEK3NdZxG/HPW+jjZTHnVRUN4CpSaP/REPCOn
bVAhw00F4ra20Emf87gjSz1prPslt8Pvw6TyZyAJy5kodSgYMENcHYybkcDsy6uhNTlwu2K07i+g
CMw2IASFL65jiCxqY9YJyY/euNzNUWirFUS4gewMs3/Nw9l8W5gtnbGNs10hGiz8XviGrE9l0RAP
XBK2flg65O7s2AnrWdkeOlvS5TLHXJUNLsM4CMWXUhX200jWegP6aiiwBU2h8z0femfcFP1kIwT3
0/gc2XyzHcnRItoheVMxh3fVRfI7kgTfIqONspE5vulH6xH4qgLI4zr70TEphkpv6r4S9WNtQXd6
n/yGdCsCWLQDjm9/lKGDDXj5um7hnFgdZ6fZKe/T4oRyA5QqOnv673ZsSM7RLG1n2yRjN6KLy43H
oLLnM8+Z/JlR33h7ubyhO/Zbq4zNu5qYv+xEPlseH0MRuaCmzCI+044XatsscYpE4XJaKTFftf3C
CeWLyfhcVqgU1xUjKHOd52I5AOvm2s3Shxvammb86EyJ85EWPzdw35jlBzuzPB2ZzM8BNRSf3b6O
Nl3jJW9klY6wFdt2jvbBgu1kRRaBfEghzj75xKNZJAhybQvbSt7yqIDDRoT2K/tJtHp8afJ2FSbF
cidHNqTrPmunD5gJptsEQFZMqJZIPuduz9G0iPxZzCbBY7a+DwusYmjmSODBVAbpGLgagLcNmUXL
rhxy7iWvACcZjTNWw5DWa1713YA/QBoojhiWdhtyopi5pnwA5APpuMAR4wbbkuhZv8aaR1dNPnev
zJgztyHAgIOK6RhcWRmPQF24YGbkzOfIgCoDbWobLGx4iSuYbtEhNrs+RSYSjUu1bS70FqNq7yLy
BY6mBrygunHW5NknG1fjX4RdLieFM+5gazhM1HvbSuNiGg2OmTVCJtQwmWLx9vi3iCgooV6aGjnj
a/gM1EKy+klTI/vZ3pgaUWPR861h1Le7QANsnAvLhqtqPQfwbRINukkFhMWYrHloAdUJoRcyHUPV
ZDOAyGkKPlaegc3Bq5Jv5gGUjqWhOj10nRax0jkqktsW+/EKU/+0GTSMhwcOObRN8uSGgIrmDmRP
DrvHVJlc1xrnkwWFSUoYiJ94YXgbaOxPEsT3HRygoLZeaw0GSo3C3szAvxk/gg0yTP+lQQVC6Jdd
E2A3+TzVyLf7XEAcwlnH9BAGUaxhRJnjPg5DeMVQOHrpCXbYgvEFXZQXHMCOrpEKa75xE9vG+tE1
dyLJu5OhAUjL4l5nXjP79cr5GyOJQyTqvhG7Xx9mUaVg24nPJZdM45UEwFOxCmHYXStJHC37QPLR
EApYy5MkNnA3jXmoMGFbmHhwA91SKDnxZnS14grS5FNbz9ETu+7xYb7gn6quRgleD8t8zrzF3jJJ
9XYAxv2vaZG0xyl3p2MMb50XpYo+t5F57xN1eI+HaN7ai1Jb/fwhKv7CpkrqpiCZiW2yxzctP6J1
oxSwsipct7CtosxH5ZSV8K5YdoC+ckhfjJyQJ4IXBd6hTml9CFLINgVl3o70W5ak44AWoK2t4rYz
+2cvX5qNQKHFbE3jt6K8YijdX7BciOEIqdesrlJTuxhJdjuiTqOPfRqNVzZwr15TvtJRmf3K8sfg
M15XZu/yggQbOCePZdDGJxLSQYZZmh62DAU3ZkrtQIuQG3f53HrbYm5fiMOUZBOS2qec0v/eg/kD
9EBi6KNVSO/jNGpwmakZZrMCchpWinqsxEZVLwtwP6Nx77DRz2u7quq10TfegQ46OASTsPpVLVT7
rYZzuK3HdD41vU2eGmS14AJZc9hmIEAoKWEgsCkvh8V2wbIx87Zp/olnY0wBt81IDKYPfR6c+KUG
D5OEFcJDGGJFaQzOl+nCf+uJS5yY02/8qrE2MIpQlmhgHHY+uR89KHIuIeVbJDDOUzZ31Yeo7+xV
EYr0GKYQ6LiCycYuBkb+odgPEk6dEZRnlormOiwC60PU5PKALMS+DjThrq0X+RDKRmwKfwREbQLC
y1kTvaqej8RB06yHCzHPv9DzMg3Si4FFwkMa0RRFXYgN0JyY/ZvA97D5U/YHhFHj3NV0vvlC6kvS
gRTdrPQ+ycxliKORfiTd+9UmDJ0cIFgwf+tpx697zQHsL0hA+4IHRAjJM11P3/VKW97QsRN4QtoH
DYCoTrlmDfZDTxZnWuQfalf2tz6BzAe76eJgnUAqLDSycPSBF6JQ9a8qDTRMFakjTjQUbxnsW3eb
Eej30YHBsnM1DjGQmoxYa0iiocAl1mnePntd/bngR+tFHbqTQC4W6pNwGV5Zz8FcpMY0jlGtSYwk
NfTrhgXqxmHMf4VRFk55hYxTqmSbFdaX0QhqIkrqEGV5YHfknEbzGd1X9eaJcjhhUUImE/AMZHO/
7GcNikSx1X8Q5tC9pW3Gmd3kPDU4BFqA9Mi+vSaTT72pSo+EOrwuzsp0yin+HhtzA1e3AykeOX1J
m9Qb3zE7lyTA1dZNMkr1ZJCS/Oa0iU9eXtCWqxLmbr6ZTMBePPZmsizRi5dFeTBcZz4xMQ6ibeEO
H+ceIoGZFQ3QkyEHsthoyduYiTVVFEpZa/Y2fd4w1SBsFrAMEQu8q346OGVqnp0xyUF/jDwz0EDN
+LuVcl2qyyrW1qxmOghYoCe2SLXa9I5VxetkXqIHjEwWK1JpwaohVtAky4cqKQuRc2CZXHBp5YEJ
Fa3i98ZDYU+8Xn+ql0R9qemNtKwm35RGwVWAbv85tPStzEQJ9JpXW1DqkE0eXNPGncj2+dWwauO7
hWb4mq1R9CjLJV2Lih87OVPwJMoE56aSLRGpTkI5aQZrpJtPFMbQKEPXBI7R3Lv2c8RuAaccxyuM
X26q4tmEzr4yfePeGyasg1654FYF9YdSjSBNCAngQ4rVpEMsPS+OV6IkztanxwZcoG2rU/KW5VZc
rg365JWK+4pHZXQgbcfaKXf81jPy39PLO+sGtckuAwa1zgoXR2Mh1wIg4AqT9M6PAgb9vmVsvJDb
2UwnAc+22KtFwA3iB8eV8vfW3GREWc45+dzJ9NC4Vry2CKE/Ewb53ajRpzRLUWLiGqxTwmB32zHN
AgA851hZGQ9Y0wBDp27Vvo578y3rSR6mx+epQyF0clTlbLsgwbY99lBq+im9zsS0z1xMnjYF15qm
2iWJaLodXVOs2Pe7B4mNZG0WA+jQpt7kLG55QFThh0l0oKZz7KR+333rW6Pa1iRN74WLGblogs8t
i+pdO9cujipmBwuKmXTs7pRtvCauswOpNlOnBDdl0Z0Ko/k0FsutysITAImnug3PHLkMjMBeXLnt
8p1ggmew7PeeVe5RG9TrMs1fAzMhCAmPJjkSwRvs+G69tDqoyBDyiUCadmtW1tsUCAorI+KQj61j
7rb9BtnDLsWfPCEeI/7D/VIMQc3+iqn2Shp0BNGooP/ay5cJdK3Lrg7RYJ6M6zmYo48mOUMLrAof
yG2LaGqeWX9XRDuLZTs0yctEhORB9TFxBU+mPygU5Q0uvC55wA0cYwQNsnXbDOrFsFp/O40o9Ad6
mGtWfMYBOar+ms/mSdqJ90I2R4kSqXH9TReP7TFpXMaj5GzSTnhBPO2rkWW5yV4N5QK0J2LipdHu
4mK61wKXr6aL7Opk1ESMsg8NCGbZW4M12lfIJrsuXTUs/z7kVqt/ntVk6SspsC6W8RSTAZmJPXe0
N2boBplqOmm/MtNckCtAUNQqox46eLbyjJte9dgwO6i8rNkwzKAhHmk5s0Ajha3wkx9lIc4wly8g
r8qKASs/jYjl00htLL+iLYq47dWm4nhhzqR3GnOlwk8qokEIoZXuAA/IK0iP003DM+7Zb8L5DMKA
Lhmc5bafG9e8SQ2ZDNue8M67QnkcS2OX2qQ16+5EJNPwLV2s8TZ1Z3FtEnS/E1GbneJsDD9FhcGQ
O3I8cS862W+JnKATQbpnvlXV6EoA2P/L3pksx41k6fpV2u4eaQAc46I3MSIiOIqjtIGREoV5doxP
3x9Y2d1iMIxhWXfbiyqzzJToBOBwnPOff+jmlteVxbgMMWt/qvCoXzmpYqnbUhP1jtqeH61YTI7D
ggYdXh/aDHtOO1V7S/6wUjTFUU35tzDC8sasp2VCztMuL+HJTXzyd3rS8CFthL9HpgQogMHZpQNB
5fA+qXlfrysNZT1COd75GD1v6ROIDLON7Pn9j7hOpn9TrcS6K+zY3domnrO6SMqXJpP0YEOtgxI4
AovyibJHodlk1jPl1p2bcDPxPDPxIZLV5h0oLtOBMcpQOKs2ATdOiRVXF1EUulvF5VfMwj7Z40WR
b62MeXsRSS6AWIYMjvww3TYALzfYmGrPGbPxhNpX5XcmL3pXm/lwkwzUu5MSMtdP2ulyKMdRLgeV
6zIysPDSpO2rurAsluYYV1tKNXr7tk1tnF8Tv8dQdQIVAbzkMJj9kXwVO7vC6Mxql/hqlrH/1Um5
cIugfAH8i7ZqEoMoOoQd1HVDElfqSiAZ7PPCRR5MxUYmfW8gyZfqFUZA5qGIJyZkkwl45U/J/n3f
KVE+bbqYJyAmmT5i7D/dhoSK0iYNs/yvDUmjU2AdAorQZt2m7XxP0pYpm8Y/8qyGq8LuuG2AlEvc
YKZLjJjzbTFDcXhETZf26BM+lmJOWRBGvrEMdoA0Zscgt5t/YBpbd8TaKmuCW50Vbmzg+TaZ9gOU
nOdM5a9AXa13dj7/10JytzRrYMNqwoaIwQ9aowyAjFD1ivoc4lMfrxKSw7eIqPE4ViivNRucdfUO
PGmE3v2ekPYeupjdJCZ+aDwoxQtQYi5WfM67B6ljJedqvb/vcKB68Qldv8HAildHCXmFkRozm+yl
v/dLrXhJ7AY1ARYuYjE23XuKRupr32gOuMIcbVFLPlyQiKUD6XXr5pF+Qd9SP0l3vr2ZmiZ7HKXn
cPBC/9Ync6bJ/MLiyh/+QiZbvlQkPZD/0TbdPpWjv5NArtmidZTmBdvmZaCCyMmKvwfdJTlw+L62
ZtMtQxKOF6Usf+ZYeBJ65zvbpoMjokqejpQ+L/vArNRvRxfEIsedvu7kOigsfBaAwC9LcjC+1z0i
qOVkTdohDXTtOhcWLL4UQsdC0vmYq5zjcKsKE/CDsaizMudd0JdAc2ZpAim8M/4SB1XIondbdok9
qa8EDpfkdDlKAbm45J0uatNfFXSnSEc4H12DOxVYgXI/53L/tv2SC3blvAdrdWTnmXAJ4XNAe3HE
OHmK3Tor27FJgnassHtzLPpkTMm14bkpouHH0DlMoRoK8hootQzWIWUFX8Yyri60pssxW5LtfUTm
w6+yM/zfKGuRnZkYBCyCni+TEfXVZjTtkayJnB3QuZX/PbZMyDxNLWofswYA7hUGRcX4L/j5/4SP
54SPLsY/f6Dnn4SPlwho3/6kyDLXmf/G3yQHy/rLFZZpWEJnPsD+Y37wN0XW1v5C1Mc4xiQOgboV
xP9vjoNhk9dEWrZjEzaKpF6FavE3Q9aA/mDOFqmMkV0GAtAf/oHs8XiowDSBhpmfwywK2eMcNPUB
5ydBV8hxZhD469Fdm+MluWJ/3I3zM31meZA8CKSifORXhknxcQlGSHNx6E5e5wsoYw5x7fnCsbil
/0Mu+TdWmS/0j9E6QYnDYIasYuc/GuVHMbxJ8wxl4PO9+nghR7NlOyoMWneWaKdbW70dcbGfXr++
CpyKjigXWEXD4JrtCnR2hgZp+eOFNKlSxu9yZlPJ658F41/87dVeX1PXTp7pJynWaRmnZ9ryiW7U
djM0Ylhjf6htx6Hrt1FZ1496OAltyWc8XuEfdKubWWeuqEX7C5dUE7qDWl0JOXQbrfP9O8QTVF92
1sb3JNQjYY/t+NBYHfB6AVjglERyO80aR8XOa+N6iaYtVKlEkVckih1e4ls/LpKqJZ0DxiYNRUs5
oKb2QUWmynzIhiyI/U14qVaKxfmdIsFTAUZDxeywZM7aYZEMMl2hlWwvWjebHiLJP4ZlqJOTV2FV
n9nMGjOxdki4WTX2hI2p3lwQPC8fhnw0bnsMdbcKmNW6EHVMmUPKYtpqxqZJHIQTQ6ldOnT461gY
w2Kgj/smbALGDT4IFzaW8eticvQRvLPRLn0fe9UCcGAZFG1468dd/5OIh/G2mwSWCJY/kPLbISlV
oumtzy3/OSxhcqwyhgUPDCdNseon7a2usQVcMkaTv5XKwERoiFP5CAXYCaFhSOO261R+0HyDYXFc
FrTp2CDJrCRT0LTQk5EgQtqtkIjIgow4j9wmjLbREiAbLKHaNFau4sB4kw1yln6U7S8U/w/GpL+5
BPx+H3RSKY1WiZ5lQlCrOgL8Luqw0rbEE7zNFbFLdEQ1eXGFRDRmuDfQNkzykQQQQmkGfo+YLKJ9
hlf7Y6SM9hI7QvuQOW3IF7n318KsUdUiZSHJUo93QU6ajFuXNWkNdEEQ8nASMi0rgIU9+nD6RpVC
PHWCvQlo79FMsYA+QemtYrntMyfxcJ3v7pJiau8wCeEP127DxnAi8zYNEAapqZ/sGWsbsCuLFhcP
17h2XG7nohKkpGRguSuds/OKYIA43sWMaTb4CWFgO1SR5i9b2Pbf0FEGDOci9S7O22RYlH1kXhMk
Em/DIFC3mlH7r75tIqHGkMi/0nsXjBkvUrudRXIwpAH6rsew1ldjAB+ZkGZjP5Z1dVFh2kPwztTt
LLe0bny8NLZousSNrWXBRW+Yj35WUR8hukO5ZHYq0xcAiF1VY0TVtgOxmng++6+SCSQC4L6QC6G0
yrZgHPQb+ynnN/CWXDZK0x9qWNSvoaviBtRWBjlQjqOulUa64MHufD98YkxX2M/8wgWLO9l0Q7qG
/at6WqONXoar60UaBMY9vcO09keHbEihmNrWsfM5hMfonx3d79BwmuGtmlWq15Gvaa2MdqCstyOI
2xko508tIUO4wonpqoU6+lILkV/mbeBeo/IU9zQBzJRQwkL2rTTz8O65KHA12aB2dG4gq+YvY2j2
t/WIcelA3srV0FQW2UmU03CmzUNS0oVpldktSaS07kr0hysJOcSjwna6JdYvLFAR20zOkO7L25pY
uxxDL58cCXIFzBXz/wKxeK/+NiJLZoswLcK7CjfrX+ZkNZ7WcQglStZs2RoML9FqbMqxbLay6INs
1ZQEsfBVQUWnGtUh7cnzAUiqwvuJii9YkOTBzzT90FrFLmbcjBSnPb9tcK/jh7Mfk7E6MDsYl6np
R9UytrCWQxwWuzskM+YGsZnFRDBwd2bj0iPRS5AXM4vWwyQil9jCaW8JSkib66pyjV1IvftXVxlW
zrhBu6Wsbb/FwVBXU3fZ+ZL7MBQTXmt0STdY71evfSUlx1iX3KaFAeAdq+NScgr8iEjxWBedbXsS
Hekb7t3TRod1cnjvmfoiSh0MVqiOG0IeXiHWMnBMqd1/Ny4T8rEZGN5qKg3v3GLpuWUSqE1vBGsk
A4wy7bkLhtHYOODanZNQjrKHEdqMOBIaWjBPZuYlmf2BrIDCdEvSMajdRToDa4lsnuxBNitqX/6o
UQtlTbrNePnezutNoH8DFab0NcLisYuybCvdNt/SkfvraNJUjBHmYN4KGBPqOMV+0b5gJSF3jm05
CfrZGK61D+8dFWbC4Vl3Vy6gM91qSLBurbkR3lSIXzVy/9wF07LBwzgI6aYDGLFDtUkwLNBTtsc/
kV7ALizZzhj55ElcckBzBmvyXGJp7jSE3s/vk9rImJGZdzqnWTr51u5nX8ipbFmWFFZ/P0xOs9Bq
Glpkc8p9GVlQuiDey7Uj8HKHjF/vWmJofr13hASaWXdZbZkHn2htmpQGGmOF3Im3X3G2VKP1TpRK
8ti7KOTzvAKHqCxlbRq1u3QkyELwjh/NHzt0LDDbY7CU3gLtERqtU+EyjiGYZ7gR9Wi8aFmVrvOS
DY4UM9lP7OglJC4SjQ01f4v5hu+Y+zb3TWJNj2yk4AajseBaxq17lxOms7QMyKNRXeZbpxbWs6Qg
lYsWA86LtM8DJAxz56f7ynAjyUMkuEPt3rrcVx4yu/RBcFB7rLCd+/s5JXLwf48qv+xgiH6jGhjV
goco9wGhtzdIiJkspDqm6eYQfc/bxrl1i45EE3wZnkQ7Gk9drRhPsVmOV3yprE1YhcpqjCJlBbYA
huj7xeUUKPW3AmP3tV7ja68kpHa+33V8IkPYFI5zrSc4p+Yk9bh1Ex8waNYWVYHJe94i8i7YiBti
zdSDzQxlnbux3GWjFOuyyrDMrFWDl9h2x31LH33tO0R0MvJn7PK+l7Fvg+WjGA51hWMcJicaruwm
99eMMYKlZqAIX9D3JddqFWc7C2T52fXh6RMFaZgLJ+JjiH6Uxz9BWMYHd7rUKgCwoHdFhiU+Pb05
aTMsAeUhGYcrDoVxp5d+fm3X07SKSBMKwBHK8VGF22MuiFaO1xNZxYBu+Aml7hgvWowMr0USoo4V
gF9Gm4Eh9vgOaXYPrliXw3VlN3y67RAPFbsqgCaGKbOTla7VPlbKWogbF1LbnVszpiTqqGEAJtNc
W+aobe5bmGiblgOHGoiB0EEzdHldARsCe1odrGgAnLHXyn0Fh2QD3VcZF1WSK/eNqtJhOxmBg6Yh
sAztQAHVoOHVxHY2Rj42czOdbhYD4RC+BYlIH1Wg1nVWgkwJN9Je38kQRsaA2+h79XV0HQAUDMTE
QjFmzhBT43UEO5QpF3yfOrHtvdUb49qRY00CvQ5UIsYOokzmWihASErjpMsbMd2qFuMQdM44wi59
/uGe6JZALlCrdRetVIhK54/exALl86KYKt9DN2JsI1VMuLP6mKvisztf0bUdDvoS8CO80qZIb5YY
K97pQ1KvmV3n66kMla00C1kjRBv1H2M+OvhO5tWd6ARkuSRSDkzMblpcYRaFwRwCO+s3pyKlQTPI
/WsZhaXxSNgSVmQrsmU4Oc2gqTeOU/frAhhm6+O/DcLnS9L8zBp6WKXaayrEkEGVmS1liNs5WMQy
aazsp50rP8H8rge9ERt96LO5bqt2KMz1hT1F930RkjuKq5fHabXlRnRLCKn5KmCOzxzMeVZyWO9k
PGBWGTWVv3KwlkW5z8BBdSQzdpOwt9QuuV7cDAyqKpzhOLEZEZb+ZZmHwTLpAizMohRmJ1q/lpSH
OPwRtJ3pJQRiTIuxHbr14EzFXQkvHvPkAEIU8VbhIYyt8ibPk/IZ1zFy3vQxQ19eMowjiu/O1qDJ
rFKnTHZtN057PXKTrZGGraeEGNasMKQ3bgynnm7iwKrvStLi1zAAbOZ/Q41b1WRZ68Gu/aVfh+E2
dad401UJLbmaRnvca0YAdlm9uvWUHTTixsB1U9OtVz2ejj0johYb5EOTv1Lea98HK3cuNbeV6rLW
zeK2q2JSPsh76m/8aSx2cgRljpWw2UgHSoROthscGawbULrXPMUVCv5XIzSqftmF03htaDK+zU1Z
bFokEd+tmvpqMWB8fzU6rvyO6Y29T/C5ePJHXG4XVd6KR3X+QlpaVgJ5O6E35Hl7CCPHuAyzBp9a
KUyM/qt+n5pBd+iVMfkpDSzh0YfzcItW+jedXWa/ssZWl51FTizDlAJzBrx19hoZFRe1BE630AsA
dna5Qa/bEJQxKtJ4EMj91sz3NXBsnBGuCmV8SzrbedYLO2eoPznLIEAuBlkrXsYdOlNqvIlRSpgx
sW2VgYiXseYki9PYi0vSNUvLVnm8fG33I10FNFIxIcpyVkFTTivMCO6VlLlULhGKcsovAG5wonOZ
WyVa+URmryDDEVyXqbFdYYpCZbwtXCu7x5u0uJBTqu/qmgku9XwGPwKPh6R0WsUTTa+QUWnolvI2
yhTGSF+bO621nEepVPmCvtPZ0sWQgqpE/gNoqLzgo5jeUCrGL4Mmioe4SqrnsiVHYFsqeCEsyEiL
EnxqTN9cJAkljaHI/Jaohz5fvmOUSW1hqNDWfbzv9PYt6B1meMA7F3g75gdBZfszL1WL6BEbbr2S
XE1Fh8MN2joUwFCOlkyFioukK3u8QatSXjHFD65iiqFFjOirWZOVVUH4seCnEXXwjff/l8wxEm35
prmLFvcGpqVy2uNW294kiClWBuKCx6FuSL8diXnREDXeNqUoXoWCojFu+h+wou6mFj7XxgZ3XSlA
rtu4mjjZS0UsedXSO4KHMLyCH1Z/M9W0yZYEc22ssFU3U9e14MPh7B1SGNuQOJ0LPbEAWZO6JUUF
+0wvjvXgFQi6YWZKDoUpFAybgsG+p9XhewJD8Yef2eqqDNwnAyf7g1pq+pafokOar+SdERm/7NSp
r7tCjqha/G7TJZBfuG9jfOm6U7/taps7VjjOFsOqoQZf4aYI336yu9C4j7oC96U24oWtXew+cmqq
MbTcjamYWylC/YYe5JEDObkeysnaV1DMFrInHLQkj/iFjASEdwDjnlKJ+IqIBAb55GbBR6qpbvEY
q5ZB1+ffMAoMqHCV2yzL5E46Y3brR4p1Y1dqgGsWmdNa2InfWpATdoG36rpG0Lj387C9RrceXqRm
Yt4ZJdQmmIyTr7Tf4xyLpRDFZcZxu+5Qgq8mOai3vt9aHiHhxBfLpMDFX6R3khN30Q4Yq7hup27r
tL0P2omAalu19iIoxq3s6x+hm9teHJDzy5hi2HOQKl4m3O6CUs7e9wakDQTKCfVvkf9uZdxFK2T9
rwLy7/fGkS0sgACm6WuBYFk9aGXrHxBvxyvQkp7N1uj3ra4M4xJbedO9itI60An2qKphIWqiljdV
Pky0ZmHNeH2s0/s8c/GEN0d3G0Yzmx8I6x4a5NswQDJUSdphHi3qvTr1P22TrsFM9WxJUUWTVMEo
mDTGZ9jkapg7aZ4CMWXP+4/mOrMeMxg1S9IfAo+qMF0Bd/xs9IhJrjr60Bz4vo5976G3fLFpQYZ4
ujBr9ZYaygI5AyZSWkf7abhpfzCwR19blQBIQcJ9Hfia17mK/zu0hHlDYpV+2wzu72owlMeAV+9B
1+06XJlNgUoaCo+/avB7WCAcLraqO7RYdlX5imCqjnxHEICvgdDPKCgCPptEOwP3e0c/1vFYGDTl
HckFXm+A33UKYFxUFuzJaks/np1hmn9Cdp15NVeDxI8dAnl9HzFXezAH6iS79sYiYEgLT3oRZfjq
p0GZrr6+sFNLITezXcfE9oGj7+NSKo7GwI8aFxY6wf0QG3wy4k67VGWXnJHuHEtMHK5K05Ht4azo
suIRXq0lpjqmgqVy4u4uklQmnoV/5tJn8y6qYCB8vGNz/fPr0zWhCXA4nAyPFzVxpNaVImq8MeEu
6nDRFlYNZEdPes7C4ljGM18fLzQjDBu5oHEceZhw+E9lqdReNobCX6S+EnO4OfEu0UE0U+CPm3LU
QBDTKbxs02E4c3/nXfGnOOF9fSGY31jOPKM52jVjYJShmgSN52QKAHzOBVpV//D1/Zz3w/EieHeo
zqxrQ5JxpFUiSkeO0tVrT0qgWxt/g2gR2MK/SnV1wvJUxxqjJR6pwJB28/XSp/YPLiwmUluGN58c
jMnZGLRAF/UMkoxw0Exc1+MZCCZlB5t2uDbmYgylv/562VOvvjBUanOeLCYwjL7+nOSIxrUKPHTJ
Sa3idK9l3QPZFZMXWOxaFxuKf2PDIhRGW4M9jIPW+ONyQV2pGnwglsMr977SK6z7fVzKfNJxv76w
T6KaecNgV6obdOAcNOqRqIbY3L+fpTW1/c/mfW+OfvtrkOxNpUk19BLwXSxnUl9wbAdM6oHiv/4l
Tm1a4TqWjeMLGtRPL40t5IQWoIaXHxi3Jv4hl2XAEfv1KqdOOR7hPL5SGXweq2sNNCmtkXH0vJ8C
XewzinDHYaEZcXnm+Z26IAPiAI5BoPKIFD8+v2TAZXvEdcDr+wpDw774YTnFj68v59waRydpZErd
4kNde5CoLyer3hpOdk7xNj/84xed/YdzJlvRtD9tDjd2+lqX+HxTu14Grarv9QJrj4mwlOdQ4YSB
oqReBzVjFsy/1B0CvnMn2udXD7N9QorhLKou0MXRiWaQyCOUwq28QMMkRGLJuey1pLpIlRjmT+nm
q396X1nPJjeWOgot9vG7V9FWOSOiHy/LBwoUa8Q3SLPPlBKf96Jgho6rMNCuDlH26AV3A01OdZIS
NCIDHE/LIlqiKbiwY2YZX1/OiZW4CMecrbDRNdlH28TFyWcaR6fwONpgLSnNQYz2fVnHj1+vc+Ix
abahqwjm5urImA/uP2bdxLQnwq3twpuIHanTF0zbl3GSz4Sr/dcrfbYedvDo+mOpo3IFjMqalRtI
hToX4D43CN7obYk81u2QZHX59DCa1GN4Pvv1qjJA91XiQ79j+wVrkEyANQk0DAgaYLSsFgDgGQbn
e9OJy70UA0TzPpwu/ZQ+0KhyAVmUaRF9lVynuozl3iYs/aovWhDsEd3uEpgNOxQrms5cqIFR2dHr
xxecuZ7KC6ChXTk6m4l0U4Sbt9zTJpRPbparV1rnfBstK3rJsLjZt0Qg4QQIEwmt+8ZORjCTwdpZ
6IIik8msVhFgrbcPmU9jJHGLyovsW9k7lxMuM4usSCqSAHvwxkjYyMtiAQ+zJ6yi7nR7r8RKuxyM
wvCYbfcrKdHosU68AsKzLxIDLkOc4LkycF6v3KBfTnYwrAyu0OVu6XgnEsqnvhI6k5/5aJ3Yazp6
fhgcfLMo+Y/2mp91JMbXI/clVpqLTnPFjqc+eEFcQ5IffHEuJv1zwSMEEmXDRMGDg8dxwYMmoev6
Mis815HYxUZFtq5wFbywRCm3+F/JixDo9R7b3+Dw9WY/8fpSzamWheoVrenx61sHY6eErZWjHhzH
587qtR/Y0Wj3CNXjt6+XOnGREDw4jcA6+N9x6chclH5zbHMv62qmIgg6auDaFtZonNc7q0kiZ9kw
YMcNTQe0/3rxE9dJXSWIpYDzRgV9tNXtJMAbochzr/GJIKv6/D6Ytd5OPNb/uAww5kOKqLK5vTKP
7UPAgJoA4WjqITl6GsecLE+HvJo6FeIfb1PKDQhTEKPoPj7pxUvst9uga1N4BW2/miyAVxFf971p
bQCefv3TG2ioggvTNQMHBvP4sxVEaUlUR8VlmZnwkPPmBTNEZjpNKpJzjhafX0AWo7ShNDAZaB9/
viq4IaHVZlyZYtyHQnlCnvYrHsQ9hMAzNcj8Ln8sQViKttTi0jjz39XYf3xXMhFGY65AxECWuBZg
pW5BIpmddhOWy6h5Uv1cNXp6Rfx/oLHNL93x58UobQdBcuJVWrdP3PKlGLV7UScVbF887siEOxPd
8XnvGyqFN5pyqg5WnO/2H5do4raC+tZOPKVt92PaeYaRXEeWemaZzwXjvAytoZgNJvRjQKFz1CGK
+NFep+izIBzH23Lgi/j1Pvx8irCKplJsYOVgfRLpo5AZ8jjWEq8WIFogPXBK2992bt3GlWSg7kx4
NxZnTsk50f3TLpkPDvjtJs4Mx9YMfjahAAgBE1wTHXtPQBffOlJFLgeXKf2UM8RuRoz8F0phEKaF
pzxBsRjUbeVQBbuUOfKmpywi16zCATHBXaAsKQ7msqCaRQjQ4qwHV8fkAUWgeea3P/lgMP5gx2lo
ho4fDJSEMGWykXqg0/k6Ht14rwzgnF8/mJO7DF4lkBKZFp9Kzsyo+IwEBVE60sZat+g8NSHpyJbn
qpZTj8K1qG05hyx62KPdbKciL6ucg2goBUQWP9wNljpsvr6aUyeQRQmA/QJNOffu4yoTtkVD0CoJ
5CEULZ3NZwoBIJz6Jn2Fr//Pq2h6RmiifDJmj6TjDhXtu4V7Iq/omPi/5ntXR9ZtVvtPX1/VqZdn
TtSwoeTSGBxv46FJcm0qeHlSYqFvklFjxOabvxi2FJs6MJ2ffYrDDmhhc+ZTderMg0hqUFe7J5oe
oFPSqI0u8QJ8AGWuoKAINmX8WMbTHS/imdVObXjaHp3NTmf5CSTDDAEKKdJlrwzKZJtZpn3b66gy
v76Zn/xa8D9SuYm2zudIQHM+OlfdVh9aE8jdcwhsfoxCtdgoMI4Xfiy6lNmc3T/EmlMs20J219WY
J1dmaott6MDpnBCxMViOy5VWoTFHnwEfo23jc92tdvLOYwU8v5l4mR0XPrXfqGafZXxtBoMxgaxe
NOkWS1hlzS6ynad2AJ0ge5AhRi6ix6Tvmp3vFj9CGB2TNasv+8zYgSK5C2tUyCQNuY6vb+SJd42Z
NiWoPedwUR9+fNdSm98hGii3e0x2y0mTG7WETOmn8FfGl6/XOnE7tHeOMfbDAMTHZYyO+4RqoIb2
Jl/7pQI4rDJTfWnGNPdsN48RaVnyTIVx4qXTNCZ2VDR8sT6V2F2djiQKF1xebD6HUYAbB6wd5hj1
tBCoMx+quifsEO2w98+vFY8yknSpbDCDPjopDcWFbug0hUevdoXGrwaVTvHetQKUrcHj6BB3+vWK
p54kJRswAOk9LkfZxyfJu4II1KgKT1EDYo61DlZCLuRtj+mBl1k00l+vd+KbwwVSQwk+bBSLR29g
RjB0GBXc2qELmFwYdb9Sq6JaCRix/85SLup3bKOxPjr+iJa2Ecksp0XT3CK/wb4UtaYtrUPUatqZ
4+vUHhW8ULMOYUb69Y93sYMSl08gA16Ttfe4eryZZnWfNjy/KKhuHUTt/7g54gBDdKFjRMb45PgF
1AZmbXoz5d6kT3D87P5b3darEhzgzEInDmYgdXzIBMgzMo75ef5RiZYTaj3VpwVMAxM/3WHrTNX9
mS0h+BlHBf2HNY72hKvESWwYrAGhX1tg/V/usagxv+mthYlMig91FKhIo/q6xG0sDh4KEuwgCzGr
xZs8AfxrYUPmEZNeY4ABJzQNwwbU0JGQ9X4yjPBWdwMCAUYUWn6p5tusgZxFd0uWaRf4u9B0GFKo
A2JFbXYzIg5B+za5GWSrXMNPo8hIjVW7ynffDceucfynOixmcTiBMtfhYIdbrW7GXYpg9KoTYXbZ
KXVHdKlL6mDSLLnDySYDK8LkFqKgBzkxWxT9VK79NjQhCyf9RWGICJejuN18fXtP7U2+4rbGPhGz
S+nHJ4j1SSVHi70JTfilGuSLE5bXhlA2BKAiqsWx9+v1Tr3h1NwUe8D3DISO1jPDMa9EMOYeRtAz
5nTV68mul/mZ4vXzWG12PNUFwB8YgeUeLYPhSCjqwc09SOS3ZTkHOPfOzyp5YAh9CSFl2Zr6j6DO
z7RM4vS6oLTcUZrr44LMLbHBKnsTTKQYp+dwUFEJ1YZyi9BFTddwZuhxKjPDjyDpqlVKqhnD7ZyD
vNK7nQnL34x7ZSfUVtlo0siXPsRQNly5Zd7JBNuNX03ypRf9ABUQS5pg5UqCyiPillaB5t/pCTp+
ZzKrBcpHI0FViDwv5vfB+qF8Q/Oh3cTvKSgDEjwUXfz7jBDZsJHx2sa74LES5rlHceqJWxjQ4nIL
zCC0+Zb9cUZEamNmedLlHgZiI9Olxdir20ST56JST51Ff6xzXBhht52lBbZXnmPOkRvgDUsy4dZf
b99TH0QLtz7mCszbcCX9eDFqhVt3hW2Tx9DJWWI9vqAZfyoSopvCZjwjOju5GHglPYuLuu24ibBq
DqM85V1RQosUOowTcPvZwACFSy2jMy/mqYPAAvbna4Fk71Pxm46jsGJYVOSU1rcYollLnFKeirR+
kxGchdA6cyc/xVpQbdM90PLPMCkT/qNbOTVlyv2lTouHFDeRSdf2zlT3Ox0sflUIJfSMskLxXbri
W6T6oUcQfbMNiii/dALSEdzCGB9sJEHIM3wSR8/cj1PblucsgJHAb93jg5EYjUYhTiDz+qp8E27w
SATAXSrgkXy9o06uYzt0irS/s2Tu445qOmUMS/h4Hp1oCZojX/JR6VdFW5/5kJ4qW2drWyCW+f/s
o/dQ9C4KDriXnkQzEjZQXPv8ti5MEoW067So7rPUPQNUnNrAfyx5XLDGk5HC0VMzj8DJLXlfb66R
Qm639nXRnek5xKn9Oxtxg0Vjtw2W9PE+yjkVaxrsjGNGH3/IsPyNJ6C1xArHWQLfBsvZH4A0STVf
R9WsNVC0mZlZQ/pzu+bJAFR58itcrVodxQKqNnRGoazvgsnF/jdPyb72G2cz2L3z6JicmhhaNRCm
lGYgM3GGNgv9t9rryFnwQxhK9UdctFdQcco1MVFvkdP1i2wU0brNRv2uhHTNx143z+ymU3fBnZW6
QBzs2+MBLOEMTZOjT/CmctqRbq4tpGo8IR4/gJkSXTD2ZxY89YhnZRZEGRuw9fi2l7EWjBXFkBdV
eA50ZVuXm3d3AhFgrkNYAJz0r1+Yd+7EUUEIY0bnAnldaDOPnnSgjClT0jTzrGxyl2HfWndGqHXL
nCicQ1ik6SN+aPgQGDAn3+UCTogVQ9ZOmFNB6dsqPdZ6Z27DiftOsTFLoLGUp504apRca3TwQRGp
h3WksQ7r0brMQ8rGMS6apxjzaPJVw9czN+IEiAkrAdRnPrXtT71vMJhT6Xe80c3kQ2UVgbGBkCo2
jV83WzyXxYKdAnPSxAaRaM3lyEwG5YVxzopYnDjDZl04dAw8sxm06R/fPRVqhJXJKEO3HGOj8q5r
iATWF3Crc/PAnbF3MoaNjMQKl7IUEFlTMuao+Il0N73o1c04+thNvPvLy0l9pizOt2HPlkIxlWwg
9ZlbKPlvI2RsjuxuTaZRuIYrbKxqJZdeaFX2eghbe+UEB71IxF0i8uGa1xYR2siL8BQ6rbtPVfu7
iinYmcb81PUzAUODbs8T+mPgCLgtThspuP40Ge6wKYWLShrKU6Qp4ebrh35qKYjXcA1Qo/PZOPpq
MnTCj3z+LGFCGq7KypnVfEOZ7N0wDZ6+Xuv9uR2/aTP6K+he+Qwet/+5YqVtn0U0Bx1mPAvyS0fE
XpOhbf2y6PBYTbWDVqj+jRz0/krXleBWlwq+JSItt2WOncv7L/R/9g1n7BvmISdt8f9YCZywb2ia
l59hi4mWbP60cfj7b/63jYP7F8cTpuuMPQQNyp82DuIvE5YTKJpjwh19D0H7bx8H/S/KBrYAfw0s
jWr0f30ctL/A9yhO/zcf7f/Hx4EVeIU4Rk0W+2Rp7pLRpSSlUnpOlP4Oi4Cj2ilIf3Jo7/+4Ozf/
2sL/AWH3hmpQNv/5/z6/RZqtAwyCocLs+tT1pjkkELxpWUlHsYV05EeZF8OCKMH2DEJyaiXWAK0F
Q4OdN//3P7of8lN97NdxK5V9QiJSq143HeHIVjWd+SyeWAjOE1S1+QBSP5XTHe+iS47Pf7F3Zstx
G1uXfpV+ATgwD7dATSzOpMRBNwhKlpBAYkwgMT19f6Ds+I+kbqvd1+fGirBEVhUKyMy991rfAova
y2+ylN9SI/9W8Oe/vnK8jLed3R2f9tlPSz2aELQl3tye6A1E+4iws3hLoEgkeV3//tJxr7LqMHVn
/vRzMzBrzcrFTdXC3KjU1QyvFme4HV6puvjNh/L5En5c5+hG0CmjpnMYavxc1QUjiGGigtqTmOBG
+Xp5WLL5CSPeUztCNPrnK/jrOZwXcxh1Ic/wo+hnPQHYuYZnsyFFq+vh7GDnOxWQyuLGyN9AWUN3
xCkcWws++X9+4f/THcLMEIHh+7Hp56/OV422S1G3p7bLm0eNmh/eJd5adHHOb56vbRf65YLSf6GM
5AzKU/3jXb/qQi+IXlom1B3SZsx5pCaZ6eP/xwf6j1fZzkf/8WyFHEVGQ5NHZkQznm81P43VVJ/J
Tf//unT/8Uo/3fUTMRzNWPNKotTLzp+LtxWcdPL/8Hi9x6f8eOmYcIUhd0YQuWiVtnv1Pz5Uk1Ze
WDVtxZ5rN7vWHA0Y4O0w361uteyj1Gx2VqSsA2gB72SqudkVpRPtnc6tz2PHqC+ZGlT/IdPORDU1
Zg2RVxCHU+diQ9scdCC/LehQL7LVGq/bAMQv1Nnej+2o6eKm5Z+Qe1btTTnZiWbHOAVzV90vKrKf
ZWA3F15apJ/Galx2UzV7pzQAkdEs+J6ngvtZBjO0jH4hEDcG6Rvuxi5zL4aBQbWWZb3nKFg/Yg91
z3jYpi9dyipvDT7vHaPd/VK4zSVo4bFIRBCKZr+4pfm5wJzL+I33Qzib+1alfGgJZvbQRFl7m9lr
sxtQflHsOWlKIjfJMHgDnAHkJvbdQ2cihS46oFYGKP6kMvl0a8XCBVJ6SIKhtglCZ3ERWY6vEjMV
vl1yACkhG2CutE3PbjXmR8Y7zaVlgvYMK7yrYQR8nhx5+zkTo3c5Z1bxKQub8smfJIKk3mlfO7+y
n1M+exsHGHxf28rVK+9pTFGFBG00kJ+78KzPvouJ3nBV+dRP0AtgkVX34MyGTymXBtdm1976uvhm
WnynGvfSM3FK3+Z+Sh8Hf20upm1pFH3fXJJY2MiDKlH082xHpQBQ4c8PqETdC1b0IYG2nx/HrHRi
jgH5RpzQNewvxLSxq7P8JnPaCPhhVn/zIePcQNjmIuqSBqJtTGEYv9/2ZQ8vBEBFeAXfu97LnItA
pxrYiQuvs+ra7EO4YuZD45/LTxHWYmCfE3hhTxQVJibSO/CVK7885rVttteWHtto54t0fBFpa0R7
2xr7EO0hVPXYN2t1hRljfQ6x7XyYa1l9swPQ6HzGhdhIVk5MB93JBa741CDF/+AAOCoSHESAH5Xr
YUlB3TFi/CSv80ohMqCPSmpePKSzhM1NDgR5zZk0mOD50VPfKR47FzRgMrpscSueaaxp7eauw+cl
nph2ZyOjhbp4iyj3DzDMxmvUpVYW5xFk5X5M54dJRePLqlZ5RI48MA4wlJ0fCvwH656kSLRBBJlP
OoZ2aX1GXNL/aa88W66RLtaunLz+40i40GtWgNYLlpI1dG54s0obzpmsm5z8uAl8tiX5JjyRyU9d
ZtfnOcUZrObeTuCdfiNQPrpKLQIIeCMAObFl7oyl76adqHxxAzlh3uus3Gy0fEPaYetDOV0mIlSQ
5whqeCxGslAhGM3ia91G3qmWPiRTX4AQdS390vbLeGROgCE90twIK2BnjGs5FE862Z2Bd7e3yiO2
+K+EPQY70c+P8NtPQzN+JtMvP1e1b+91Cv6VrTC4F5qH0qp5W6ZVjtfjoKJ9JnnOGfCm8OUC+RxC
RLzEuXWAhU0y+zq3Q1JNRDpiBC9yUlZLbmpWxfmOhNxlV+siunU4VB46g6de6nLZjWRUxE4PLmlV
rG5gbsejte27rcvntqviLe+N8DZkuvtWzkAXnHGwaORM1ofCTZ3zrLmjUPCmn3SUMvYtl2Y3Ml7a
e/3KY1TBcUURsXkjDAW/FHetkQgYTfeWr7rYNcs3z2OhVIr1A7xEcL/m0Ddsshp2aUCEALZMHd7j
nldX1oQrBtcRtyEs6A4eeKV3BYExBLjqZudPvLRqGnXKMQQmOBmmL4L+fVuXZJmS/8sdTN6vystb
dKfNQUygZ0Rftbd9t52rG7u5LK2Wm2nqhIaeaLkMFbg6eRoRxOFri3QrVl3CJV4HGVpfzYnVatzu
Ec9crRuZDvlN4c3ZYSRnjDWOkwQJioMH0sk79KBEEvyeduI5Kyvi0MzJuPrNx3zmCq1BWkO1DlTi
AgNC5jWwcpemUgim/PrD2GYp9MG6JphHV/e9Zu0xMlaPKeKhJ52Ua07A+MGBpB9n9ZjfOKltfo4s
PVyOBukGstG3oezLU++b47EQdPyqKDOuB5XfOsQxvRhF0d8usxiu02J9hkswPYdyCUmvRE/qrpZ3
Womn2deCDHf8WeldKV+DDp977ohvTbaZQYb8I8/zkxpNUM9IAKETVfC9TYcJ2tJDsm6I32Bx/2x4
DTkNAZve1h66MHJBdEjNyqtqVhyzCi1wiRYk05WvtP2+yIIaoZPGd3Cg9gKp7QPsYt+uE4wisz7R
OnTVsRZRbFuineKhjwiwXcqSxaygyOu4RYqo2vL15BaxZQJ5boNtJInHiuCIblVx2Tp0R5ysG0wA
QFO3gV3sj31lV+epcwhwCgZSjZtQd2en7PVOW7Quy13aEe7pXy6TDaGVzadUrH9VMKUPnT3hPYWj
CrPBzcdKnImsd+BGQBoaw7M7guaMU187gZNwFqdPFK94AL71SyEg9Yyy+tp6qBmsPAsu5jBoLWjT
UEk43XgmiR0z6/oSbl0I+D/DcFf7AXb/woWukfRhVtDfE8rdQTizxoq1p/8USlMOCSzMx6lwZkzw
lp9xQlhSN4/bYBnPdVnIHdjaz26oiVgoCsh+ThW7Hp0b2+f5YuEY7z2vMLY4EIM0haDC5+Tay5Hn
1HbipgAqpMtwONkderK5S9+k8CSkO1vCNKIXDAgHxC0Y1BvNHm3Fcwa3rnZtbSSkRqw3PK7Zl6wM
EG9JqyeuOICqW5SGcZHPnhkegqxifXN9lm8343RCteRO8YQflshYPvBJ0qSpknDxfpcK9WsDiABK
an/TJLvIdlAK/3gY7VfIYLo3yxMIaNYbexqv8Z+AJw4V5wQwYPnNwqQG3PfKuWIL3SZLFvkjvbAs
hyDwu0Ltlzbr9n7oEDA4Qkz8iyQ1yOyMZ4D3oyoLxhv5OZI1dQqI8CRAO13Y5v65xPilMmQsg8aH
V7I4j9N4++kCuKNXZVNbAt/mEEaIccoGxXZc16K5NFxAFP/8er9OxbYXDIirIgDUwX/6U+VELHUt
XV9uanP4YBuHotnlPblKu0JVb8SaRXtJFs6t74XT3fu2Q5AWI2BhT9ZBWEQDAVf03iCujMcZwNVv
CrtfW728P1QlKM8CXAa/FOUtXgZMsFqeRFW5Zz321bfGweofT8PUw8gnsAThDhRi2pKFNdyMpO/G
luQdtxYH7ZwPwVGmPod2F+4Wm8qzz9uavIFFe5cuyJGrmgHklfT7iCiJLm/jQafeKdtU/g4IvGbv
BlX6iPfLfXN8+sVxxH+OoWEF90tqsQGny4wyI8+LT++7Yl3jDE2mVdq/6/n/aoXcrgUnSvSdvkfY
2E83R6ax27N7ydOA7AQOQd/E4PIJo3Lclw7iOPJ9yO9hIeyDB1I5wQHyb7WzWDGZdSFh5ivhNv3p
HaDcmHxGSfkpot4+ekbWXLbu9Ltl4JeOBa9CowK7BS4qhA0/laQ612Pq102OJYzDs4+MFq20T6iG
HVFn+BKa0FJQPAAvHl/++Xmwt/v9h3I44ojibP0fZG+/2tFIGHQR3E0Mg/spS0+l20RXRppGnyrN
0Rj8v7fcRoYXPRFd9iSjpSMCwZv2wzJCjhyaWuTbequGuCOWwNlnQ8tx0pXqxPk7uiqauv+zSzeO
vZGio/vecflvv/p3/Wo0VCzd//d+9c3X6X+dv6r+6/JDs/r7j/3VrA6cP5Cw+XRBXCZreP/pZ/3N
HPb+QLaPLQG3m+lYNn/zd6/a+gMVU0BrzUO0TtOaztRfzGEnpPm9taP4G9PdBJz/hjmMqeqnOzPC
HBGAjGGpxur1i27d7uCpOdpTp2g0chIElDPsl4ykwUsKWRoCWAjHx4zY73Nj5kJfjLSq70VrjNVR
AkMi3kGNjMB4aIDQpZqFa0vStdsZZGvG+eSesbR5DCSGwizqKK5nY6Jos4Sz4/ySfpjt2nvx6/GN
2B2oJ2X1AQma9wiFZL3vVfSh2UIDSkwNbtz4Jen1WJxIGALFeK0heSJMYvD/0Ps8vUM7mC+RtAqf
43tuP9Q14P5+A5g3W3CzT5cIvyJgMYbA8w3rd7+zDLhrKVX+vuqN6FsPgMWM2waCZjxWZPxkY0FZ
iA6rfSP7dKA2xAK2umjv3y+UXFn+t5Eo33+eGCydJiyiERK8VGt4xI2AprmAx7ci/ksCR/ODvTf1
wFHrFmibX0VV9DwWa5cldRmaYEYIlvM3XDo64fVUmfPmPO+hixucylYrZKhfY/w/9DmBzxMENB2L
IVLepigE1jPBNEP6EupqR0PAeNWavLxwKKoq5rxqXaG7jczj5BF4t8gyoK+VaetF0TjOsVCa/Lay
EvNt2JbGt5XBZTI7GFmlmMWfRtnPNy3bx/H9/fXbu+LOxhdHT3Sj/w98GTXQ1QRZWQ0HUEGB1GSW
cvRuoUs2XOR3BGW9bvkSwZDbV1kIQAna0CDRBvp2KsQpLYmrOPn9oJyD8AKaUM66UcaKdDXItGrg
HbrNxajcwY6hyejDAPP9pSXIzT9Y7RKSUUG+N5kkFfcCELBzwXEVhJ6dJ1HfE/FNurj32FRr+aSw
1D6KVi0vXSv6q7B2og/FOoYH4djK33VV55xr0HuXaeeKZ+RrDthNhvNGy5cdEurko0+jOzM2fMhi
hVZJfhMDX4+JVSy9bphiPxr8GCn7+kpOz3IMN/BiWdrOt8kHFgZirKqa2HLWWewyGy7TISrMQYA2
bPhdQGbag99wXrWZRY58w/GoyLvYD5nsHwjeIslinST5YpKMwsFMryu/yilPEQnSjYwsWmjCeWLH
wG0QkmdA+SUiUpiYcYdo18z+cWjcFw+a1RVy82dIpQuVCQEtIi70ahDxIsvrKoNETBXiY98LCTJk
QNQmGm7NOUtD145z5Km361o2d72/UuOSA4qpaKnIxHCts87qKLaAYe4r5u6nNfDJl+Ssc8b5I+He
kc+STKXnfJxRqgNkXUBepwpc0jTTV3J7yYNhk4iUUJiR+TaM895uBoByJvVuoqfeOHat019rJypu
59CRl7UxeXeDl9n7UYzwfM2gN3WcVSWVeWhERF9EHdCeiar9ZVyN/Dq1rOzLooriK+mxF2rhq1/b
SO6AvvqoFq2GpsBSOH4Nv9QM3tYu4qE3Co64p6ypuscuMttiP42W2GtwTLRAJVbs2VtMemSdQCrb
ItA12+bJ8L3laHcB3QxnMaAKK6ZDxr7mwL9FRw/ujvAlykRdexaPsjdZlGSTuRt9n2xMhtX3BI70
zxGf37lwUyK9LnDnbuivNVNnTSpcYiy+XmM5kewVVzWC/tjstE5WQWcvCWoCVxUJTx+oOM01mUuE
xbaqistxKOSSjGprOwFrpgWFUSWh+zcfhZnV1K8Vh3Gzowuz2BdN2gU3Dc3xD8SysPhrEOeHaJpJ
oAlq6E7JigTujtAgeX4P6HhPybX9kVWp94lyeF9ZOjmk3wjbkmfCPeClWiA6vz9FLe36x3kL5VSw
qOGamSyrjBHgqQYLO4xq/Po4ZyzP1Jy2y+NABqzlMeJqBqHmHVF/vJMSuvH1ZE6wHwXZaPUN2/Zy
0yv4t2SOoKJ5zyFRRAl/l4v997j0u+PSVlH903HpOqcxoFX+w2Hp+w/9dVgKoz+o0SOWEAwt23no
r5NS5P1BOAJaqR+CGcw/qNxYFrD1YWHhAPU/hyT/D8biHKv4BybeJkah/2ag//MhiWk+zhFm0uxu
NHXoVvxYPytc553uMnFePXPu4BmR3T3EUBLh1Le+O76aWRXcGJ7XPJB2W9+sSH7iLqxM4KmRLvZW
kAM5h6W77BVQ0FvBlsyE1qjJZwnUcY5y50yzlfy0kXjNnReyksVNGrkiTuUUMMryxOVYTs2VmUWQ
vxq7vKJlIu+CxgmPlRmJYxqkAQz90oUxXRkQwrT0j2su1IXEznGte/L+VobeRgJzF4l+NYX2ZTA3
0ycS3BbCZQN6gY7QdBkNm5Suukkf0AjTosmRPV7ojQS9Nm+BLMEoSFIoYzWHw55/kLH2+fNBprN/
O6VzmO0tP0K7TEyOebH1qE4Sht2XqVHdt6DN6WQXdcgaUqmv2WynXSKq1rrLASgyoHDUg9u7BHhK
jszxIgtC/Ajn+1qwBiRA6de4pd9Hf3bJ/BvSg7NLsI/Gl9qnKo3pPdo3xtrVF0vevYzR3D0Uk+0f
pQjHj6IdhscoGuYqLo1VfXZTclyVIWWEit4l2JOWmsZcHa0xU5ELhk/0GW3ixnBORDJIbDi5b93C
tpTY7vSMoM3mItflZ3LbhlO05gOo1jz/spq6vMpNdWusmXeWamjPCoDQZZuWiPu8AGjvHHICJPth
YbVdtK34PjP5Ahu6EzFXSfPbEGQe7N4pLxcLmrlqKp8POkccH61UX1m5Z4DoN8WRRl35oak5n8gh
J8p3qltoFsvcNMQpenCajdQDKSoIx8Jhwr0H5N7V19oFUoED0HQYy5I7cRDshCBWF3Llpp5cpJLM
im34Nk/f8sLWKmlnp6bvWvbrsS1EfZf73hy73RJcZaohc3SFi2qrsLpuGYte2fhTFrIBJ9cAZ7sE
S+xxkH9iymr7TFky93M3Ty7YDhqlx6CEicrIttrknlmwGwGx75qwtm7Wyovus3QBLgiLpBVwFsUy
7nzlQQKMxi914MgLU/WALgvDELux18vRrcV8Cd8JpGQRDfXHqCnSF6MiOeicdnZX7CEWWn92E0nZ
sTAn/TCupPztx0Var0NUpnWS1Z2+t3Tdkexn2gkJANabVI4a6VoPy0M/QY88uY6cKETCCCObvfRx
VDkzbLVBUKvr1HKenNEUl50p3M/a73BQWC43bQLRGcdzVoefisAMriHSLubFHGGiWUfZECVbBCmN
W1GOJQDLvjmEoq7evExEH1VOD96c2p3fKodxo7989Ti9Il2xrKbep2FavxSZ7i3gksUAdr+s1esQ
oPOPl6BooRQ1w64y2IYhL3vRlbDnYdcO6t7q0SBAQ+F5ZtyIQy5U7j4s25Xue0Bze9xsxm6b71wR
aWqgoTtDog/OntkHyeqIIuQ6uMWx0ZoVTUHaAdeIV3Is3fzBZpBxbHJTzjsjGlKXA7gyX21E6fvV
ZTEdmZ0uSVRXeXFkWFheZIvT3Ug33bIXGmd4IFLT5cIGVfHMdKwDK20NDmCJNdUXaTbXYRIaU/tp
DMh+OLkG2mfGBBkDKHPpb91eGV8aL6CKg9w83i0dGYHQ75k4NEYRMfJz3RF/LBh+hhbT164U0+vi
1ta10+fM2ii+QnImvQUgcJQ63a1YolTuQrsFFSwmbFVMlAnDNttHDuXtDjcUmRC+QqNdym7n18HZ
BbTPaK3GNyr6koorTy8KybLZWG53nM3qQ0aVcezVxMgKB8oY9yrH+2XIpU6iYfT3HWXgnysTiGo/
Wn6HrUCjbGjEaDNrIiRo3gaN+hIOho8JD7thmz+vRoYpYQlc8uhewkX60o6FcqxheKEo64vbdE4h
EUeFf2sVU3rguKUe/Ko0H2hMZHcsi/MxCOV6QTXx5Ll1/dDRQnjQVp/aMeng6dOkfMjUhgpJr6bg
O4slk08hs1AWKbTJD3DP6y2gubpDsdEd+oyQ0CGX7k3EJCBpxtXeF54Ctm2x2yVzteQ32o70oQuh
ze2cvqpuCsIWXrQvsRGRNsuFIZGHRz0CfoEVzb/qqPVv13mwr8Gvp1gf1yF9hO3sX1BLTeBKDXBq
YkzFV2c1lltG3pp4AqNrQPMu6U3UtO3jyj1O/GNpfmnzjkEQuOEjPGSyfNJu/SRR1DPQ6ohlyqxy
ORQumN7ZGgAuDRikqf9Yj3RurZf2sMKnzfEnV1NxR59OxV5nO7dpU/Yui6xMH8iBv2j8wr5G75JB
pl/dbRimm7tsDfLjdj0/AIAlZq5Y4Zu5RgA3Vxm3UpKCvrftifCVaBV/poObn3L6KEasupnASs8c
lvOyBsu9LdV0jJYouhgt3T+ptKnuRo7GJ54nf4lpwwMgb4Oo4ivKRlSwy2LuBoLwmF06UXc/kWcE
B7dwyCVAJbwXXk4wQ1e65JVW6fUaRPNFz8bI2AmpbB2FX8wmj75YvWMD4gVc+5LrUnwyKdYu+sZo
j7UjjDDOR5Yabj/BJk3t4iUbi+yQj4W8w9Q9fWqDgIB1PGCvdpOD8l9g/A9iWzSxe9j5cYUes+6V
su3msV6il9wGdE59h8uPmXunrcSsQwJkEU5Fr7mRykfPivruzlc9+Et4nJ0Rw/UmKb4qrM68sv0h
Zx+LrNokdH0QOSULA3uCHex1eVRdtgOgQa6HI0hKbyM/SERNuFBCxvj9atlNcTmQ7F3RZTDEi4cc
In+jvAE2tZBC4O3VRDYrzQF/7lb/2rLmeQQynaEw0WduWZsozmCsfbL6unR95dg7P0tp1F+Kcbaf
okEHH6wug6Tf5R+6Olj2ldNVF0HX44jXTASDZn7wS1oKqSZLRbwVg/8a6El/dhpCcmNXYaDuPf0a
YDo9od8r7zqr3IPiNa74cgjOQMl5Ucuh++as3ljTN+u25I3OAYGc65yxVLMM9443URJq7YoubhW5
3h9CX6t9hRn3XpB8TtgfbevK+D6a+W/19LvqCUVz9E/V083Xz4qEl7cfqqfvP/RX9USVxHDzHdfl
4aZwt9/3VwEFyGCLqtsQHn83of9uNZNhZzIVxccaRAFsPsYif8fbmf+masLf92NreTPTmMBDEGoS
rYaX5xeRvzZYZQlScHC4jIKygQfYhyjudsVSX41B7i5tdZFv67N4X6rltmp72/rdbyt5WYUs6jVv
/1ptK729rfnz+/I/bDuB/b4p2I4yDjVh3C/utmeo9+1j3HaSaAjzG3vbXeT7RtNue06LayyBHu7c
kHbmoZljbzLHsGLLM+u7Ydu5ovdNLN/2MwXS+ey+b3Lztt+Z3ZQyshWGTX3XRA8l2IwHWJFPZNms
F2CZ2TW3/dPvvPWBbVk9zJmTHuhOsVGlw7w3JmcAKR3RfZkcmaAXnPfgzmlN57IrP+i8mN+CoAKR
2DcQwd2V1BeGtv0dGFHx3FVSkyXdAOhwstE+RCKwHgOvEw/e7AP0Nl1Y/4ZZz1eKpshV2PUfK+oT
tAjQiWlkj46dIOxYP9SDlolpzZ8lqQdE/YyyP5nGmF91eU1pSmhD/4kQWDqBHd/hx1IW1U04jeJg
DGI9KyKnOE7g1dmVIyHgRS1RthRote8IDgL9W2a3kyyKQ1DMcrcKj9wrpKInc2qmq1mAQK4Nct6F
Vfn4MappeVy2HVdyDobXJ+3bEPnXiblqfQ3rfLpy+3o5YZtz3grXac5FZA2PDBTJZKqkIffkdg5b
oJodXlQt1c3KGn/orMDY1WlZ36Pgch6HxR1e4XyU3xYbZp096nxHrlB9W/WecePkwSFjG33hWnEa
7eY6ukPMVb04KieYj+CKXT3Y5n6q5XqcTFq9BsZsioi+v7WGtrkqAMcmiERQjBXcOGSCGlH0xXEK
SqdOWSzLxurUJS03IXH91OK+7kdS4PyoY94CyAn5fjMewl6sMYfxt9Eew8taI9hECt3euMrKEl0T
pGTYq8bpnM2H2UIwvIfHXVy1+P+BF7ThyWRS/bWos+LOhBHKPZWtt9Ir2hY5TWp8CekXkFuc9aSl
d5NfzjEdF31Z537A+kVWSC6hjToVAPbCKL2X3KrMZ3K65ys/kuZeuL2+zoOW0q9pu/FeGdn62pUt
BkCjbOfL1suzD5Ervduwc6kJ2uw4jgHFotkPFALC3kvPGRCajHgNuSfrgLqwo2Ephtnb0fQPcMFO
dHBxS/jphVMU6QWOf+YpS9GXcdiRLhyncwe4zldp9cQy0t4tdbme6qwz91Q23j4nPP4admk9HRFk
smVS1+yVWLrbKquyWyVce+d3vvOppIREkGKo+blPBRKcOdTLI6cEJ0toLMLPKixx8oBunvXK5o5J
kiZ0MhrEih0Y35i3qJEtnO8k/1Q3hgyzp8CqO1SyfpO2idt1KStJTirFWjV/lszfw1j71XztrAFB
F7n0CBAoAB0+ZWOPTqCAXZImBHTOOye3Ck6dBTLDw8whAklT2M73dmlaz6pPa51kra3a7lD6GFPn
a4vG1Uyv19nyG+0Dgd5ZteULLT7dGCwHvfmY9ou9+B+zoGqHBzIK9HhqmHDk9Xlt7d5YkyEsqrnd
uaMtp0dVzFn4xSXLXNRomEtz8j5WYzFhTwtbz5AHmG1D8ecStK0lERFbSrFxMUn97zngd+cAz7ed
fzoH3H2tCXgrx7c6//Es8P0H/x47u3+Ai8CJRMt0G+2GaJ7+OguE5h+cfgHw0KEiRe+9b/r3YcD+
g//lg/pCJoVwx+ME8ffcOfoDVyCTZwswN+Cxf9dS/c70+kERAVeUafSGNwxo4v5sVikrpyfH2lxO
XlDLBVFek1uksUzOjY0wHk+OXVhOUlVIbQ7T4HcoBHtC99ywIclrhU2Etr40cel1/YCCTOBQMWLG
RXqnoi/tOKS30zY1qRbL3Lm5nq14rTj9bE7nnkdtQV/nl+Q9G05vYXYGfDXEtoCYv1eFWI8Gp/wn
aCfqTCo7mU7ItUBLrOvHlNZWThETiL16H/yIbQaUyW0cZL6Phqz3KdH7wEi+D4+a90ES67Hc8Xim
Oy3qU07K0leGz9mXaZtBzfzMi7c0hd6xcbhX4n1cxaSb0RV0KtY+kF72vtlmW1GYlZfjNu/KG3Sf
4zYDs7ZpWGqmDMageuGb2KZlRUCcQeJtM7R5m6YZ21ytrCrEuFGbMlLZ5m6h4jJbBn3dbYxjnumk
6n29zersbWpnR1x5AlOs84Q9+m7Ypnuo9at7c5v4FdvsT7yPAdnM6rO3zQaLbUooJxEcsCqZQ7I1
Bem4ZeZ+CXwOFEq2a0En1HxGATFcaUaQvZcNjyDtambmxAfDDjeKrI2rbXJZKzKM5lLaJK5szW70
AJsCN02v3W3uuTimTECorrQAxv6BtTcEl+Wn3tkxyJrsDb/egz9/CMY7QmHrXT/RdHEz887VmjSs
vrGdG8vo9au1tNlHRRPvduwLL4kqf29semSPI0YcCBJqseKW56hU6VXUFvU9xwX3Wrr2cz65hO82
ptwxfFsOdZelj+jAur1veIAX2LTNxhoSyYHoIdWdeauNPtilsztdZH6DjMIJie6bpkRobDHp2lCC
R2OTnooo9Q5sGfJbNE1frDQyDo0LFIntsrQeuMmp89geOCxbVbyWkbO3Qo9CGto8nSfvvuFuS/B6
X2JuFZuk298RNfWCyNGLgQwYB4EsLPYwfZ8m7HBJpmmbWdrKz+UojBd869lFW4ruwSNV+Hpxvegc
hH3H0UAwyLDmMYFtJW6cseO+4bad8IAs9rHFeRNrNEu7wnRTmbS+9vbM2eaHZRq8mAaY22RHHyNQ
Zn0M03LOD6QeTk6LtmN1fbThk8hE+DARPUIy7WJEoX60belNjx46aM+lsSKF9WS53At70ytyYo7N
4H4IRSqeZ3etSDMEdesc6gg7WlzSaef1UVdHZME9R0TRmKSpWfRzVeoItXetxvBeKPnr4mJqbIwu
ZbMWfJqC2L76qBo4R48jFNEJXUquvTbOMqNwbqRjjsUrCZlqrXe0b+uAk4yHbwGKXrTSjbZnVjYy
ebLXCjEwTithoSyWRlNxe04NE+KZ2W8mkArPfPwQGCcnasYj4b6rnEFmp2UI3Vf0xtPwJZCRJf1X
rlGkRxKVh+acD7XDWaxOJQDvmA6FvGBQQlo1jW2Cuz7UkiZxYnZESyT2oOyUB4t64787dT3kw/K7
ndoxN13pP8nDxrc/f9yjv//IX3u0ZVGUo+2CcUbtz3yR0vvven1TEP7Ppkw3zAkC33Y3NMOGHvp7
U/Yo3kEWcHTEZPdevP+LOSdiy58q9k1zxsvAiWGLt8n8+XHOKQZ3HuFuONdB2gdPC/qqi8WxDDqM
a2nuFoHdDCZIc8bv2llxY3Xj3lwB+UyALI5EfnVXXmpq+4UMN3nTMNdhADKPjpvYbccBXyvUjQhZ
RnKwke8PGdBa0S42ldMYUri2YOZ3sy9qjEnTYj1op29e6zEdb1cVpaQ8kSWGunxVPGddqqZDXsH1
DVRRJVpJrE0BrfajH/EW41ZQeiJBa9wCu5Az37kL289BzCQVniLXWklokgWuPF2ifC8XKf/sAqO7
zTNvrOIJU+AtwaN9FrOa89mrttqYaXMug4tmUe5Kw1zP7ZFTNX/r9F5rn3WYLXed8AjvzDB5kUJe
LbNxDnmDDaGMK15CjtyVc2//b/bOZDduLO22r3Lxz5lg31zgTkhGq9aSLFueEHLaZt8dkofN0991
5HKVbSXsyn+cgyqgCpJDEUEefs3ea/tIOQK7SO+2ooTBWc1hV3jVGM9Z7adRMrRsYcG/HdUTi7Bi
u91SBr7jgqZiKpsYj90ydldWab5FCDp6WxfPOCrH/pgYTj4d6sRMLe/g05iAxxe5vunEUdWi0aMS
kc+1RWg7yC7UpdrJHowW311HCBcxVdR9BCvucr/SKtqirrIH646Dje4awSInFKFCcrkue2kHKv40
J7m8a1NqNBoUPw0ni2VzGmE7KJKbxFg1Ep9bA2eMA1jC5MOcMIRdDkwaEDz1ukoz0IfZSLC9ZlVC
aMEg1YXjQapbCmfbawuBNyEb6rmS53Gcpo4sgLUuRkuEYhjkTGuEw3MejPdpkpFz/kQbtDbi0zj3
I6I3p0SZlLz558D7Lw+84Ld62ONz3Q1ZLj7/MKdUTBH+j+dh/H//o3kvwg3GNZx434k8PBM5rMcx
pvuoLHx41v85AplsKrY2bmI14aRn+fcRaJs0OgirObLoTwAmWX9naPnK8c0Q1IJuqWjHeBd+ZpXZ
mruk7J+2Y9k4WWRtsBlNN3387inw32Ab1IuQ+4O1mff5iuqHbxAFYQBWZyrNnji9YYszT3oRwsXx
67P5z+X/pp/bv3gpHg0/6s55KRCCDHFsNMa4X3480FtMxn2RogldZE5wb5WXF0QhUORhzWbdn49H
koG0w7JRVFEctb95+VcfJwpXIBhsihR+1fj5eWJWG/Woa/bHopkfzNp755Pi/usPUz2Sfugj1Uso
lXTAkNl/xY4WQlsnPTH6o2PMD4tjPVJKwjaG9kzaX89V+u/n9198nGizX78cuiKf4boNtgbDwo8f
KC4z210Qkh7t2erPaVkbWMsCrT6XDnOiStpv7RcLmv3Vjma1BdG6bO0Q3LxY1hjq5qFnpszfWJsT
UTuzjENBKoOe2aCyvTEKwgJn9gZ2OBA5GMMC82QWtfXRLOYDo6LxS2Mrva4YdZP096BD9BcgrWOD
ZF1n/RTEVlZa8aSvy+NaJOIyd9M5henrkSFog7x9cB0gO/nqtYgWhPUmSVvnxhmb8s51NKjitkDS
l47p9SQbA+VkkKDGmIA6og3Yy2nbTsy6rqZCk+A16y+2V921uf2nu/lvRpQq0Uwk07nTlw8p1mNe
oqCTcvg3a0TbMc1ffyh7ZWpuaPiHYv4ssqA/eUV2A9pVi3P4HzvbrKcdw2L3elmYkgeam5x5pj16
mpGciyzHtTF4HXtF+dnC4o2feqAVNIriegv69GF07SqieYz0QKaxh88xXOZEEtJTJbtCX7KrZnCi
iTYF+/c6Xzip7pa7WWgjGvR5TYMT07BpQbTsBQ+9h7Iwo/iKTD/3LruXoMqmMxJj3yxCuG/txtPe
ZaUUN01r8O/4y2I+gDOXF5XIpyNVJMN9zBs13yo6rqTuxVVbsSck/xli6sw2lkkcO+OWEOpiJnpW
ogray7zSH+lxMRjJfom0LDenpynXe0bB+mpcagTPPORZj7szx4+XuLUdZySNssrLjeC04fa8TJJM
vOm2RtzWYrhMgtV6IrNifLAnC/S2lhlXxmK5ZD5xLbCrzPfT2CwHHAFPWSkcMnPzKWWOYC0YV/Lg
jY5G6oAdSKhA9vZW+ZBNJDdX6cI4GJ1Mpe8ZzPRPreswAs/djsXD4uQHEdjTRZ7wKE+2zL3NEUEl
idUyiR49IwyM9EMxlRm7cecdyGRABYmqM+c33VrCKqcI02SBF7Nu5MU4sEHKMzmEcmIbqyWky5oW
W2okGNVxrQmqcbqhv1jpeRG/pk57U688N7iiTZYNpKzqb6ykX58HDUVZxU1zKdNCuxhT18SaFWSx
WzHRjQton2jaei/u9Z5XS0ulQg80Imxbc0n2SZet50XzkyekthBOfQgQaZLMFwvuS1a00xy55Djj
oyeHuS7ZkwK9YZ+TTCwtnDJAYVvN583MVJiv5e8T5dqHGV2w0sgJ8/SyZ0R27wIDzWA6jvodKHL9
aErrA9nUl8RMpfeMHNBBeHzSFiFMo91OkUxKEW7ECMfJTFB47xtZ5G7FlTb0HUkUSRU3/fYpT/3B
p0Us19BPUnlK0EWAMtPfLCt6erQJRzKQirBF+HTYsCBHwA77t4IpEbqBYdYAdglABGZrPQ+SKKY2
69zdsOxBJlgPjtMFUWOUojk1nhxuJ62z2I7r/imvZ+ugGxlbELUKyLKJb8iBd3idVCVyfivp1ret
4VeXHEjbyVgC6mLTeRItQisz8LVwRsIUVV2C8k7PcA8AV+MBgGpSR46ZpjXJk7XRXA+1f6qk+Rbe
iR6aiYGiyxdnfPEaqiG0kUmp+VdpUoKSDXCk9MPOm0z7edLtjn7Akjcdm8QAUAL3HkeCe5OvbEAC
16hOsDDI6/OZ3EM2nt+3LPFCqiFeWQ+KdY0qlxuIZNal+BKwQXlnzL3+gOzNfmNthRtbVWBERlUX
Q0iei4X0LRt3uF8G7hN3+UTDgNyjbyo+5gb6gVc8Oljhj2uQtxV7pGqKDHux6Qg4PSq/p+naPBTt
Vj736Do2yTbL1464fNyo770/PcNCXyMx+MeYaooTXhkPZPdiHJCG12hR7TXy5JofIe6aO8MNMgKX
Wtyvy+QcHURiN25OLEOmpekH39nhhl0P1Zrx8ctseWtwcsWmHfgsBdfqwfJTA0e90VWhNpbmvd27
OxdL7zsiluwPiwTW4Ap3ezc0Vszkbs7DohPiejK6cV/WIKFHVGpHJKxYul0uMsdqvzTlYIZJL8q9
mybDiefjfJKFxZnx1b09fvVym8rX/U+R/98V+YaqEv9dFb2CtCnT29XnJf+z/bHCf/m1b5MNXakK
bBdIE3W7qvP/M9nQ0Xg7FnQP6jbojaom/Negw/L4Jcr4wKc6+8n1hiGORR/qBQzMKuzJ/ztVvvNT
XaorDjFVMTQdh4v6VcJcT/g5yZtNcSlMAsae7dbmEd3Y3mjv9CzQsKxYMw+yFbh6O9TaSc0EHaEs
682xnXNyQbVh/SQs5GSRpndOtLDH2y4WnPyfuUu9mH2qK7ae0JnULaESldW82vca211/SnlymSas
lMprWLbqa0r5vqNRLbLgRs+10Xsj20ka1g53qujWe+sFBeXOctSfKmuucmKqbc0EjJS1elOfc/SP
EZwBHjGS5GtARunmlEt2iSSp7/z7zPS2ln0JSnmcJ0Ztj5SjRdPVw8Pg09bvfLbqlf4u771xmw5N
J30ysQed4L0LXLklkk+9/zPTBrH3+m69dcyqQfe5zgW/SvrGBnZO9/Krf27A/+YGxF5g/vIGfPws
2GeM3999//qdb/218YcNRzUAoGewznvplv81V8SNamM/xhhhGy62b5dX+jZmZJbIgg8Zj8ftZb8Y
Vb8Jgcw/YEdjEeV+gWjo2N7fuft+uvmIV2D9iKMCHCdObBzuP7ZQDOKnLW995+j7AyalDGZGkf6W
3fbK7Q30mvfI04fxKp/ET5aNZJKILyn8j1MBnj6U2OdDf0naD8pDdkuOpnWqtr4UMVag7um7A/Ev
2kT1ff3YlPLiSLCAH/CxMVH96S1CEqxoW/zgmNoBJCtPDHMsF4PXdfTyrmC3+JwGdReEQ5Nb8bCt
+ecFaDncLuFacQVoN1ynIj+MkjhRq9f681S22c3gF40GUyNBSLuKbjekKS7YwUvuaorJ+H/xJnDK
Ez6LR5gL6adPUBfY5LGjBsd+W8wdiZjbvtYI3cm9eX3bs/qIEqP0rJ1WY3809KV7mgPoZE6brkro
Gyy3bmMut+2ANEiXsHOCAJuY9MsKvbss96CkjYc6n8b92mwjxJK6yQ+/fg/OX3wP8HxVdohvM9j+
CUMx2NY0rd4ccI53cyzYWYaLFOvBa3+H9Hg1huAbZ2BEWilUScW9+PGidqQBkIiC6CjJA2ZrA1pt
dP3+LEarf6M7cJl+/c5+uolIi2YLD6/UVjFgr7nupjE0Ta1VvF6aizecKEO4TaAAfv0qf/H5kRqJ
wgiHFclV9k+fX4Bez69mzT8KkDgHn0+ts4L8WA7+w69f6AXx8MMYh+meiQQGbzDnwqtDoUixSmPV
8Y8mQvTT5g30B2hMD+vKF7fWFg9KshepmtuxvIOK4F/C3S9juzCSu2xqtovacfo3AKsZjLiSp3ln
5LoMJd7aY0rHcG6rZj3kXJtvZeqR5WxtOt6UtECqG9opL7J0qgT2zfw4mO7wbna3/PjrN/kVe/LD
u2SsCP+BKaea+1Eu/HiVJPDapmwTC5lL1LC1qmY9VddqqsIFFm2GLkUvtkyqX1UHc/EWR7qFaS9f
qmRVL3cvpTOLvxi1Pzt0s8yvnWC1P3iq1nYouoUxm/dGQLpfKObKiISLR8jUywCXD63lqGr3LG3M
uFH1PCsCjBHpB46z8uiqmj+dTOcoVR/A0yU71vRbOyt18yOF0Rq1qnPITNs4DFbrPwjVVxQaTKsG
lRuAijT5M+PBE0H7SU80d3RTFV1QKFWnwg66OoDhgOctTTuCxDFF7uTS3IxG2h5L0ZaPI61PpXqg
RnVDTtCtn9YVg42veqWUTefBSWwaqMLNzGgrO5baqr9yMkt/6KahfuelWfkFmSco3FIPaMoCkQEk
m3E7haA0lvee35Sxpzo5RRc8gSJbLrH1ujeu6vgQjaoCsM7nG6Yh/cemgESj0yRqqlvMaBs11T9q
SMQgGeXpTvPEua7xB1eu0e9KMzgtUmuuEYExPV5Y3YagO7SQ6MkDTuFL9XnGbUW+GUNiNCuquzWY
uDgZdmN7yfQTY8X60lbdsPbSGCPC266NSaNdXlXnrPN8iQrVTZtt4J+mzbaeReIOt3SgQ3Ma9QlZ
jDdYD6W9b1RvLlSXPvWW9dyqzr3EtBJb3YIUsDUb8bZZhylqy2Xmq1lwb6gJwMwoIMvYVSVM4jjb
5Gms2jVctWXE7ZOZnyzWbpjYjA6oZnWVQ0WMNDVzAMsIY0vNIbJ6pEbV9XNnApbRU1w8RbCk902R
XoFa/5CpiUamZhuJmnIUwn23juWzWTdNPIuhiDQ1Exlhdu8tIYxLb5lmDPnMTjCPMEXRLRZOBdL+
Uc1YULtnHFHMXYy6KSK7aJcLTU1lymFBmK8mNZqa2XRqepPR8EZMSRnpiJfxDg8jL+YxVO4ZjriM
f+Y8jyc1E2LNpF04W9tegi3SI7E463MxD/qbiSg9P2xehku6WXQ328vIyRgMpk+rYZ8y9CJHQ82m
vJbbxdWYSUFx7M2NkhpTfwY+E3H9NmakSetF86eQdvq+SIzpk+sN63tLivlc+748lTKgjU87+1Lo
mCr6sUwiNq3yNBncX9padhjF1zW1cG97g3Fq8sDbejL8SMSu8aaGi7Ytb22pN3tagOwEdLLb2VXL
JGGFBRVYU37AWNRc5kAxEFwjoECX2VwWzVR2NDNLf8bPVcZui79Oc4kV7QfCnpJCrl/gG87tNV0M
SLWOomCTq45F2yzjzsS9nac8OYwN7rqpT91Ol7O54x2Ls+eOJiNXrKdmBgILfsHwbgtm+8bkRr1e
mXNOMWg+8BBY5+VnoyBFDVupCiMoxJ+ZB6/PbXPvkWFwc4mv0njQdOqLqu0yHDMz1Qkx6TwvZh3W
T1Dw11VLT5gtijQkkW55V6V2/74orDIudYK+c426UHM6JhylYZ2QCZX7Lg2mx3YcqlOfO8OnTcv0
Y1XYnD0YA0PGXcA6qjY5bxANjkTPdNdWtiVnDwPXYZ1ZWEVY2RF5tk23C4TknZd5dhPo9Rw7k2Xi
IUKQTq5MCkiwg20CuYLfMYNqeJcCa2KrbfGXlBPMDimJkU00F1fmyP4WKlBZODsryJwbg4MB/8qQ
H7rR3I7wP6so8KbkTK3iRF3iBiF1pIBNy/VqWNn6hRpYPuZScK63Zn8ukBsiHiXf5mDodX9IGg34
GbKXu5UXyGKt4sm7gXXkz14z58OcIKdn4JyNd7rHjDdBdncndLNXLBTjPeuTiwEMy8GTfXsYCgUn
p160LpxFP4w9h4IhJgsuQm/vu6xfTnWJPkVWRbZvrSTbtc30YCQaxMaRfCCnnJ0d/ulbkTSBDMsM
bKnoQDUe+Pi98k9h+312KYa6B8KxOmM4Ls20oioHTycsU6m1gBF3nKwrg2RsQnZ2vXyF/r083v9R
rP5WB2O4rMF+PTF6ghj0fceKvlT90n86VvYnpk89ixwNySqF6LeOFd0pFn8bOYrL5fpiavmhY/Ud
XC0MMjGw0IZ961j1P2yCCh2wxlxtL9SlvyGMeVUGOy5Ns4MeFuqS7/4c1WJIt5e6noKd8bUyR0OR
OjcWLsvrl4iY7z6av+gdXzUSvBZ6acKNkPkTIvlTIwEsCQO7bzQnz5oxQMvVuGYkHTyufAKXfb8F
u1+/nvr3fihJyUkAlWAyE6DXe0XqExp7wc7Xeb0aDG846x2z7AL6xvW4gNduxsS1dtYC23N2c/M3
Zf+rbarjQp9STTrfnq+mej9QwntNp9YY2BRscDA/EaXCqKwypH+5GttytyRb8AgP9Xdv+S8+YodP
y7JdhZ17lVU1EhMnZt+rT+AXl9uSsvKTxH68hUEulttUX//2C9LcqHEor8iW2vl5DV7o2oLGXgQM
0pP2wkMpg5ZqDHa1b2kfrES6v5k/vE7XJeJCbcMpX1V7+LO4eh0MZFnJIo9TuxAsRsTkYMLo6emI
/NmGU7hiWb32CZA4edje73rpNI9N13loUN1yA7vrDd7duJomMTjSQW4IoXO4ZCOzvF/N3zV/jvfq
OvAQttEycAnq0NJ+doo1NZrmgmoRMTjxPw8aWNjkYkgrrFlpC22n7lNjPiOmXiskr6NjPHAPrnca
YtyjqWeuewaSaJ3qtXOeU2sQbsgIhmsJr3J7UW++cb3kGRxXqZtVvWuENK5rk9Fp1JfOZsSTOYB+
1ERuEn1pbv4eg4txrQlPE7vJ06ERautyB8R8uU1ylinhJggE++hD9gGjL7ZF7mBhm8WFsBymHpwS
bkxSVhkcC8D374oKCvVdLyDtnERCTEETUt5BOYQ3mhnGZ67SJVe4WLxfV6MdSPvN0qzzZaNnFdgy
shRZ4digll4OArHW3KeLHKhWZiRhQdkLP8Ks3D1Nhdk9bUK3TsR2jwgKpOyeiHWWtzpkljoKeuoP
VWoqs4lwnn2hL3etqPBy1TLpnixsOHdarxkPzsgkJ99y5xlipMkmbw2WJ7cdGTozWaRGHBLkvJMt
eKfIVlAqkBzEBrjJk0ezKBmrTf4MeBrd/bW/UVgRiWs8TAFf2gZZ+nHuN+fZRW1zl6dYX3prdqw9
yOLRj4JFQ4D7gh//eq1mCFiwPLHjwntULszNC6XqtR3erLlK0vSGWVZbpFFLZufAS/L6VDIzo4h1
2RpOu9E2s3eZnINHn7rBiMdyIlqgXm2uE2y49jMjqu4pSztu/h64erCK4LGj7WZd2+RcGeDftMhm
yX0hMMNRKXXtcstkiamBdOm/I+7u7mlBYldHaQsUDpWE4EsKMgpJiPLgP+dOvVdFuw196HrHl8/f
Xkas0JNP1FbpeTHdINbEvgn065efGRNYFPWqF5wbW3bUeK9vMm+U8ZwGwX7qBy7gTN0e7liS+kEi
fJJcGCycu0gOM9Vzv/jBHSkrhgCOx/B/Ckcgc8X1iEqgc0Kfumu575giqGquXRK5rwp9DRNM/Rb0
iNzQT7MxepCPQco02XkYxlw7rPpUzHFPgFly13WNQwpAy9I3bDIkx5fmFqxPaJ7mT3LVKMmIU9jy
23nVzBk9oSrbmFzJwwDpag43vQRa70stojMCnOVIh895eOhUGbgoPgo137oPLJafqlBEc0PJ6CO9
duj0IinnI5qGheV9uzy49dRGWYe+xjW19dp2SjcaVD06qMqU1s8Nx3UxbjRVt85ZTzU4gjj8MNpl
QDNoDaDI0iBfLqSnySNGE/qmSTdbVjTtdu2LKf3UDxybMNa8c5Nn7jXBlgFK981eL7Gb1Xzhi6Kn
EiKfs0XZxk8B8ow5HjQyCWIu7uBsYwFtYgI/Bqhonpc8Ws0wNmAI7bdjRgR3LvrnxvCKa9J3HfvY
48eX/KDFRSd0ySW1lvQhmcH/CDmXlzsec1zLZoLa/uhqCU/pTfUeAzNtBwTcY71mbPK91K+d0JFy
uQM1lzwuGbVFZxvdEzE78KRlOT8vLQa2wnE5MGneHgpNL4h827ixYN5Zp0Snv8gZ3p38LtAzwgcg
n/MYbVETEUSRF1greBsMkyx8Nmen2vTg3TZ0xodaaBopfpk9+SerFptFh96hFrCEgREeN5T1cUul
w5SigQWGM+Vy1rr0lgFAdkr94MHLsv6xGsXzWi/q9M+NR7bzuAQmPidGMpzzDtO+MzQH8wNDEiYA
QDz0qy6YvXtGiiXrODmf4FxrMrbm3oi4Lz0Eua3wiT0wm5tlMpdpv9nmY535XdwuAzZDuN9zbONB
hcRR2Y5EvpQ010h97I+VYfHzHU8s8ZaEATP5GPhzLkJ8ukm73/wWKx5EnwkO/VBql8hkJz66OoGJ
Dpju/er5MGPsxr/xmFnFBW8J03AHi201k+GpXXxqkW5kxmmpdITSkHytfRCIXQ5KgsPCrlKBz5ks
5tUq/GttWYNHdkbMY1Sn9kmvigAhtsPxVrobFw0EuOVuSHU/Thc1ROJSBvGTZq1xzdaVs7R3Tc70
AnDEozT5a9yRzIVh5quJqirgHKzZRmyhh1YqzDuEy/A+Gy7BxWLk7FZdXoMvLDnvhRTHNZOcg4Br
B+L7EK/jlqnYWpCBVSmmO4cWqsjltrN4edeZGQi+REO0ghe2ks1+3qDtTdHLEeihEREYr1J16cNo
z27HufGbcOpm+3KeJsiilQM9WYza8KmxADTT4OIS58naO89IqpfbIXc4p2tQeADj+7aCbTQ6HhUD
ynb38PXPMhpHVIc+K6gkEk3j8eWB6LjoK0D+aLGW21FS+9Y+CQbGxiD5zPSG3Ezms7WN+9JNTSvS
RdA+zSYoyRvTkfzVed3xXme58ZIN3Dzvzu67auBp4aLVQX6ZpQqBOPu69LwoXWyXLc9Q9FHeO+t9
orXOk8sktQtXAVFp7sQCo7OaioFHhpE+zCx1mcbqlXtpb5Y/cC56xn3Vaszbpkz7Moo+OGTTjNuL
v5kqJ9e84NFcwIwwSmXxHfWkLj9YQtGpUwXs3gvPLjf+klx9oj1hJWHlsMqIps53eGAKjqr7RH2j
TE34mqaaK64a+Bo1o6drYPig03Q7REXkqFMYUD0SPsV4g8+J0vLetXJtupdfXT35V48PA9cAx48y
xCsDTNqv+X4tcw1nUOFTLZM8oDxDSH+Xuwpryy5/sRQlVZ3H40w056wcR/WL+chjkHQuXxxJNcOS
XLmU+A9SMuVcqoqtQ3aHmwmHWMZIDYfTogX5WRuRB0rlf7KVEypVnqhVuaNIDXxR2bhxo/xTOkYq
AhGSqEfCn/oc6ZZIp72hp0ZMMkkdCuXFapUrK1X+rObFqkUZwrIdsiL4cCqSUbm5tNx2WH/h8Ape
zF5jD5aeO3AmNKv50sBJ06r1JlAGMa5rCgNlGgvGTr8BkCljiaPMHdb6iEqn31EbJ/eLMp4VyoKG
W3FmWWff2MqethCM84Zvm+eyMq/x5KuR0SlDm2aNkY/HLQ2qq4m87RAA/nqjKxNcp7kToiuMcS0h
b23ERosCciG4QxnoXHlr4aej8mt2sI/0LzikcTN95ZPWAIWgtjTebCf+USu2zywksIjZE7fwHj30
nOGB1Cuyv1dNolzlCTyw65TqBMmUYo/nFafhiGNi6k3t5Fpr310NZcVFWmecNrkruCI3wocSnOBV
Ntyu5VwAYaXs/s0G9NWOjcwAGg4Y8SbL8lfS4k2aRcATj6QxjNkU/XLRzZB9x3L36xb8VffDdpKt
ENt32n6bxu3HLjhIsnEq2rE7VjBhgId5zDL7QWgVMyujvXBt1bq8HIe/ft1XrT+vCxLEcV06U5J2
1fv/LqOLlryymJJ3x6WoXKD8RLjVw1It+9nLOL/aulnvCJLiLO4xhee/2WC+kqbz6vg/bZcbnD9C
cUe+f3UQVExPDLc9zg6u23DzhfkA9qG9YILNaQ+Hgf/WO0Fboipv0wb2E758AP9M7H47scNK9t21
8lrjxcM2+z/xc9mOzz9O7V5+8V9Tu8D9g/kNhkvAG4R1mMqY9s2/pngz6qvVTZXv+oOXA/0XEzsU
WNxTOuMfLstvUzvnD5ILdRRgOpl7po7N429M7eyXLPD/zLaU7wCFCcmY3L8q6lHp2r6/xBg7dQOB
M+blRjGdbod8SNcRMbupk2E9XGn02ruupkpgPu4Q+oMqZnvSTNZ4kZkbx0F22iVmrGm39lq9JyG6
Rdi7DVdt2hxhqU1nwi282K4C96KdGu2+b0A0tU2Kmjj3jbCza/deAm7gUQaIMJxaRMxG17dhrR7z
7oDxjH/P2JuQnhosv4l1KHoYEPzdC0bS9Mi24MqlZj6DTAbi2Cdv5q2/WYY2xiejhzaSg2M/dMSg
UeYS4+aeDRt561QGMcXFpwlPRDwVkHxrKYpIWM16lYgUYOeIIUzqaLpA/fbVoO2SoiAxT9+2A4sf
xuSpecDC1rwLVlnsBnbO8VbZu2oRN6Jc7R2n+fgM9sbaV17tRx0cwqNVUz0ZtYFWeu3teGzQv7BY
zO/Yx7ZxbZAe3bEcJdhv5bHddZKMpOJGrIGOmL/ceJDl8I6hYZEu1Vm7DBVhnOaaE8645kMJRu1c
5t5VZtBz0WTcqTXKboR6GtRk3thKXF6ZoA7xD0Q2z6zYTPSDlheIUrP10RklgONRvYmuHONxspKY
tI40Eo7mUq1MH+sB58SyYF1ojPyio2KLLHPZtZu313JI3A5g0RiqqhbmTLjC3nGPQRKcR7Z6kV+C
Esi3RHskG70NabWd3dB2fmhNy7I37TRAwl6vJxOY9AMsRlBBhi9jsGeA8RbDgfWprfGw6HbcUDOH
jk/hM7lAGS3X3gWE8nXoEy56zT+tTVJHpmP18QQyMLSq9MAR7bFXhBxbgS0pi/6hHdxHf9kuC3P2
wlS69l5rcn3HWDA7eF39vDnFh6If7UPRJoIefW526Je1c28Gn+1N5QPJwIm5JpRaOHRnLglfpG9A
aaL7TuGCmbgiozIlWdA3tsgeKj00RufEEMz4sJI7hXh5uFi08uO22guR1n63K3IElU6DFGbbGpT4
FdcCsKE+9lhsHrPNngAhrUtE+9LHpSHea8OIq8WDmECtLbHqr/0Bdbi9a63A3rsYGveJVbwVOLSu
mJXVe8v/qPLCzkvq9ZHTudoDKeGwBmHM27FX5fldLUsS+TCRh6QxrgdotOIBWpIfs5Yo7zb2E/Ew
bFfQ56u9D6SRzjpz9+xr69gxdW/XLGr/Zmo6/FOxYX4t6x30zAyEbGnG2WihmvcK92Swd4rYJEso
CulpdKR5MWj6FGsISd9OKJv3k59YsWkXXsR2kr3aXPeh7rR5NDiF/hZqrh6OmoGMgowrFeLoRcG0
GRAOy+a+1Kz1Nukm/WyMw+yEAU/pPJq1Mtu5nY+UZazdaKowclr093v+1OnSwx3ED2qXJKBUh7Z0
rzW7/Jijyobe5Fcn2UPAmRjFxN7G50mWJpGZWVWApNS/LEnmx8vcOmeF0EJ5Md7rfn6aGumefdiF
Icy5O5fR5m7WrRblzsJae67c2GbEhesl+JP0wLt8ZQ5oTLfV1IwsqnPjsOba59re1n0ltgsxepf5
zM8PCCUo68EVgp0kN0oTEb1HF6+qVsw8iyWmnT/3ZNmFqb/dD/gxjp4ajlQlGtjZn8aIQmvdmXkL
ZrfBO6OnrrhaTW8/1eZz0KtOIwcRLmE/3Sdmlka1RzbdqiHiZ2252P1nOWDKhQqSXDuiwLVQGcY5
8SugGpUpd+XaUbWO7MaRwPtHuvibtjI/uO5wWaR2cRqc5dGfBy/0cgJmqtVyASjnzUMQyHcVxuWY
Uftn8KEzhg28THOKPseYLjx7RN/jm+e8xS7ltG11VXku+3hxW2WMW4AV+FHS91+EmHSMUjaQ021q
D7YNzCqBkbTr57G6XKtZHOxF+GTwJQEL6yYcrOxDQIz9w2qvR6RQxsXmKlWRufb70a9kvPi8YrNt
Dz05A7dD6V4WBg8hxgWIaGZMC6WRVnsxOU6o1859h7WCsWOfX6z9cEoF1CMYleipxgkmacbjBa+4
+0SO/Ps5maajt3qfyO2VYZZW2X4yx/mwNIu2Txu0jF4tSeGqmFKnHrwx21Z/+HzV9fRaI1PeqAZF
XWztjg3UnvAkxuH4u05Gpr2bIHEQ0bh8svIOA0k1TSdfboKzJhdgtRL3yPmbnzOMaIdU45SDI6zW
6ihffGIYDvlmOfvUm629CVY6AnJrHFKveDfL3MFB5T+s48Auuxdhp6VfLK3zzlVTJXvNq7bQ7lxj
77SevzPsWj/7He1Ba/Mk3zhV90Bg23j2V7BfH5nKNONbOx8T3Fmpr/VBc1xm2sAuAjXqt/MjfVDt
cSsymS0q1BXVXPs3jHCCGZ4UahV1kzHgcQbr2JttLoH5dwRmvLWmubFwRK2rIDpu5wwtp3eJl6ub
czBuZuLcWXbtueKplUuzkdVnycEjmK1VzQ9ZIhVtMlKrTmxC/KPgJgLivwBD2M6vF+I3kM3b5ofC
+uuvfLNPGO4frAqRDpsB+eSWUkt+K6xNm6IbqSnmhcCnhqbm/rYOd4E3UR6hrcbrC9aJNfa3wtr4
g+grG821///ZO5PtuI20277K/wLwAhBop4lEtsxkKzaaYEmUiL5vAoGnvxty+ZYtu+xV8/KkXLZo
kkgA8TXn7INvlcLb/28Ka2H+tEGlWl67YttEqi5sjzL+j4V13o9LLkc/vctyX2R+QDHKG7+Lc+fW
jxrLurectuv3mBwrzugIaTlV3JQ6QR5NtZyvVDXABNyc3STDTyR9D8mvxAGbAyjXAwev7KaZqvwQ
L5Uu74ai1b+Rb0+cA6uzKvWCzkg8vF1go6Cn1Dwg3rSvfYuYkaTNTmVWGR+CISeOvb71vmpr+zoD
Qzu5udUiCorBLw74Vm1ASft4AWAu0BahG0prIO3CGcdNy7ouh6rTdMByhKV9cnXtqwedglkiLlnC
Ytyrk0zpMcW5cTPnVnp0Gcl/ltmIpkeHGrshFzN56KAoJ9u+ntUdwvfI3zamLLtQNPzGG29cBi/s
QehtGapDywDbBJcXdU8sna8plo9PPUd0drXNWduSMefepp3Ovk2lM0d+4axSawbkLEp8RNWbXh9S
BRByYKnAJ6FeI0VWpYYNdmSmFcWPdEwRsnNKcKbN/PjH1ImS8yLn+RV4vWHvHWtGgFiJKfRxrpB5
YmQl4Z3osGJOM9G8qG7u4Gq0zCE9IudPWl/pLHFsDylnGS1EzpJYMPIuXuHe2ZKCg3bnBI97Zvd9
h7vSVW/DqFpsoEiG9MAkBnVG2ZXMW/i4Iux1BpSlliUfbketR5x1fuhTa9zJWDhbe81uGevEvW8X
i3VAleTx1lRDfZ879Emq5kxEwmTcE6Ymw2oqGehaLid719nONwnyd0v7NF5pGRc6KlWXCW9kwpGJ
Iq+05gYyVKYuejXqbnNCJCi9BttP1UPk4ULwvi4nsufvrLxN6uNSpYa10QXAR4g7HnXWZix7BtNR
TguxSSrkHaA1DCwZW5J+U3E/9jGf1WJM7iPTYVhALqLS5pm5uYu/uu5XyIoPdKDTwYoFdCNruIsJ
Bv60FurM2ps4+Va2oM6xAbi5uyk8BdZ3grvY40Gd6yuhv+nNVA3J2YkqiZgyccDssw4MFeNodZxj
FFzU0ug+KcEdPUFPR9z2gX69MDaDoQbSSnH3Dge9K90dEuH0DuspRX7STiTh1HAXebIjzyV+uFHp
sIVuwsqliZppulnAsLZAhixcsiCIxLYhYn2lM2vdssnQD8eYAvSUaJlyLN3LvJTyWvS2vu9yd6Rn
FTG4IsPSkHK5qCQKzU2vGnXQBEckKhIAUbrTbcvCk68mgNT9QKWJX1jv2WsN2XLvj9q7tvgVz5Tm
kNRLW6/s61ADm9sNLYLUXTyq+hUfCNZZT43J07J4JhVU1HTVnn/IagP/F4EOvInUI275uT6aNpVO
kJLb5OwLPTERba859KJuug/J5s4eGYmLlODkxyk3p+YgoVORJESE49ZrNOMs+l6/LFFm3luVXLNj
LT8rwyzmbWaPjEtz1Wb7ZRbeKdNAtW89qc3zzWxIxCKir5Yt3wnKohf1YWHEEWtCPqt6F8NR25qI
f+81aJSY8cek2Dp+Zp4JyPFD4WWEkGtpQ6lmJbPxBCU03eqiMPmccyvOvnatm30hcEr7hL5+eut1
zBFhB2KMZ82aJ0KOFhGWhqMNR6YGVlAItg+hA320O/MHrHFjaA1jSrCBjSJC0VsYVFq9ZmMfUwiq
GtosVVhUl3RggUnbRaSE0yFTJQl0OqB6p1mI4L9iUq1tohAvCCVHfDpgW58M5KzPAF5eLG5h2BX9
TIXvV7p5cDzp3js2vMB4iNR2MBPwAYQ66CECXjPEvk2UCc7c+aGKeutakDLN9q5D4HSRXV1floHi
d++1tXhth/k1Bs/tbwYnZUdipFHhsVfWB5Y7UzaPF8A/yLCU0T8wCs+6AEHpHN/DPos6GiGrUIs6
lMIdXBi35J7H0aklv8S7Wl7+rxTX/40r/2lc6WIh/btx5UNSf/v+f8e++FJ9+0NV9esX/ltkaJh4
R6EtArf6dSb5m8jQ+AW1nUV395v68LeayvyFr0CY5vwbV/PvmsoAcE3p8qPU+i8GlcDtqZf+PajE
M8RfQrcYWzC0ZP7506CyZY/UlT5JIhrVDc9MUj/6OYvYkP13Gaam/SrLabrAvMY0PTavRWxrR126
V7MeC/CHS4LaurdKwhbLiv5af2b5FgPpL9oMZKD0tsuoiWNnkDZvKc3dZYqEQ693rw0xWZgUjLuM
xeAXX5QXRxYX0In7aGii7dDZxONIxAMETHgb1lgfoz6mV/plHOZuw1CzqhlcaN6ymW2T7bC+nGtf
v3OIBNj4nfyyPodoeOnGLABa7Hg/+jWruuRNH7q1d4UtsZcghQMyUT78vLpIY3qIZhuOfTruLDO/
jGq5szJ1pjtsgi7TNlQ+XxRJ8Nu6Xd7tAdHAZLyT5f3aqn5XFwymujIRL6T2HdLOc9A0IjGq+xUl
rnlXYxCv+VR8cXUmr3osH/Quv6xXYAA3ucV+/pE1uOx6hpM7URCdLUpGi+Pamk5yeoqFfPCq2Qk8
xk7HrvDfOe39vZFYhzhW5xwqwnEp0G1psufC6Hpg2enJTEYzmHNEKol6kI31moj8FM/Fl67NCFaz
rygBKHtISw8tfiFppR/1oO4sDsCdEsOu9Rsyj6w1/BC9/jwkNOsmyiSz5kKZSccuzCZbgX1LEqa5
PwRoHerz0AA+jLX1Wibll9Fge6+v9uCBESw6rj5sLP6A1i53+BnuBhNicrKcDY8RnTbp58Ylj2bK
kw+B5Ti0jfSS5/MZPCvWzZryNkv5DWtLPQM2h7wwOAUzCaFt855vNKVeBpXVWm46OzvVannurDZi
qj0/lbq9nVUlgyrpAFXUxF4jzgoLc4ZPvZwnM04hJXYpmDH3NZ31r14rbn2gJoFDOrQinWqxx+4A
We5pae1DmjbMcztxiOmgqXWxTOYDPIhxXM5OrZJQQpSGzW0IxGHcCfMyYFMyS7Fpev25io13X+DR
KWdycoa4OBnu9NR245M1Fx8l1WCgI3zbjuX8JCIj2eTp0OyomIivcbQkMJDtBT+uu1E5V5qwV4wT
2c6x7GuDkXY3rF/H77lJZkY5Ujivqdupg4O4daMZ87UxteYz5HQ/gICjtt2a0y7WxPZijqOAQbod
KEJgDtR806mt7enYl463OowgRaCHDGn1S5JNGrVDLjid6H/6wNQK8T4QHK+mzrkxvLxZCTh1yli+
QyORbTGHia2bL/JL5NZ4k+KGrcc+s9rqOa+i53JmBbxdrN5PNyXJmWiGrgTJfCbaZwoQDDHQhSu5
iHTbYEQNW1xL7MDZMzIunLv45NX4OR23vRZaclfVFqMbzXquNcg1PSMkQN32FySO3XtVoTAljz4J
C4f9i0smarP4zq5My5Gyvo7umCrjn6q4/ZfMfK8BV236tqR0n2gTZ9PYCZeKip9iFWJxGxKDzG6D
bSELcHfczyY3ncrdV1dziJdp5TGaug9Ndmfiyf8hxvqnrpi3uA+Gig6bR5/F8c8bzRR6Hsq4vD5Y
NLFM/tthLcmvqd1S/BnOr8vL/4j2+pMone/mc6BhywBm4P0sSoe2OlaOAkgQ86hjvstPZiESDIS8
0H93mP6FJP3Pe2KYaKzx+GY6A4kfp9fv9sTSdWeRkT55MHFn+SvFZ30dZ4ZkQYIStD7yd/ru77/n
n7fDfE+s6Iw68J3zv3+cMMSi8hMP0jlWWjthrDU9IYsqAk1YB6nZxQqYORUFQ+Oet9vff2vxEwVz
/RwFmltWk8hK0CSv1+N3vy97Z7lkyqsOPXQszDuld6cwu6yvizM1YH7Q/fld9vO0w2Y0nbKp57n1
Ga93iXpP6N5i/KhjjB6B6eLB90vUTySnmJ48S+IvWdYx08xpVNs6u1ROtyvt6WEu42fdTkiVmq3r
yGwgIMPN3xMp2LzFSMoD9t9q+/e/6V/cQnjkWdHixdCx/v80xjGL1EfrZ7HMNPudVaPy8Jc7Yo/b
f7ii9l9dUfavq7GDHSow+j9eUV8aDE689V71C+vYz/OdMlJYG1DANxUdy7b38ssQG+V9Mak7d9DL
ewbFaWAt8Uc78V5eSxUSSnOiZOdzrPV41uT4pPnOVXTTnng/DGuo0JhLJM6+nU2qettU+zI2m1VH
mp5Hvesfqnx+npHqMIBOrRM72pKR8gCbs0o/opS1W5UXP3IN6/2sZR9RvTx7KHyWAaTv3IhDouxD
klQpCYvL2v3OZxYORWCOy52rIBjAnzR2qHg/dzYrMtegxvr7D+wv3jAYUVaeHv4Qk8nbH6/j4mpE
MmqiOizS+FFOzLzZQI8SeC3F4e+/FxX2TzUp/hmdc4pBsIvIe/33v3sKOlOlbmGp6mDn0wP0r1NJ
9vI/fIu/eLO4DsJ/vPkGMPCffQqoY/Oh0HWgKv7UkGk9E3QcLe/rm57JvNoPHeHTpnXwNfMqIz8J
iZc9aXP00mfZVw+8ycZks80oPxMH0gk4ZH3eTo0qL5DVPxZHihA5eH4ohMP4gaXCZtSX/qZInZC9
/CcPkvnGYW5+tBTbXsRuklAKhFEty9Sd2eHQJBTL3AN6ZWFlph92xS3YpvllmnOIfwwriIGmQDVg
RduQACtkuAHN40NdmUmImuDXaNn/+M63/uKJ5bPwwVPyHrYs2/zjh1KZDXguVVYHo6BRmJIyDVKS
XDamlvM7J1yBlHKLxbZ3LW3Y2VHf6YybyluGI88eY6kQ2RajtAhL3uAYNSx6/VVmjdh6OlDdfHKu
0eiyPIzsK8LWbIsuUgsaAny3bqaedVO+L72+Sd30cRZUhyRWAvLTZiI29WdFIbZpoqTZi4IUskY+
xLYz4pXk/sToHW16Z5KMVyDyllHh7017efabbvp17fAfL9JfPCScGetfKyLBNH66RjJuUXTIqTpI
r9pS4swbV/LjWMjfoyb+h08EkOWfnxOPU5jXGhYW70/PZGsJJUxrrGAk9FVoOIgzvCg7RZxUvsHn
A3qHMbKiQSLTZdhkGRVgXFycnAJwrCMHSzoIx5Q9LxNXcLZofAdcxd5XLJQ32uTdFj4r7MRffQhV
LfBt9+9ltjzMBekG7noYc5vFIv8SybVKJYwwW/RLO+JhnmszoFwNSXf2dgMf6Y/2krmp2KY2f9Bf
9dfawFc0cto10ThsCry5xxl57o8mKKpmdlhDXp+qUT6lA42kh9cTZBqtnr3Ip26I9Y2yfCzE05OZ
G3etlqIFpFozmOela7LD+jdayT/B58QN2Yzk6VhdH66PUT/b0H7lk8MgB61prvE8YbUoWqolAr4v
mJe8rdvwpzvNfm0zm0dsiNob357fcYxt5cgFZoV1SUk+wTlCKW4V1muWTA8SMxbJ6IAMICSBDzwt
wKtZUfAAD0NxoinelxEnSxpP3Jg8HY4cLoVhf04IoDnlhn2deuTiZqeCtTGaV1m9xDx/BpJzJar7
1UQg8g/nsfMXjze1jr0CV5Dk/Qlaw6I4a02L0IDeVe9oHh56nXNvos2KbB7rtf760WrXa7j7AEQF
KAbPfJXAUJE9LtuML0OeSpZeRc4pMiBv6oSL4jluA1geVejPozoURq/RoOVIDmIrDWEtxO8tMJFL
08E/XDALhAMJmUgFCqp8l0gOjXdMNqjnSVBu6Z1oAkdPx2COyV0qPCrrmMaQ8zARKBig+awj0vFp
mHiDohJ6ICV1QL9QXKZxfLBsFJ514cxh2sEpbSXwjkQ+ZRFu8dLQFubg6t3pl2bXNcODS3eADsq5
ThwiNJnjk8CGtVbzg/vb+fq/Cds/TNgEaBzO5v9s4X353g//95x2cfpT6sy/vvK3EZsLKIo2j2Ya
nAt3MP/Rf43YPDjNNnYrCzb8iro3ufd/G7LpvzioX1ECMjX6o48XJBzlP/pQID46/lTWnf/FoA3D
8M8va7EG2Fjosxjq8VP+3FYoSxbgJxKaaHc8kzFsU4CaTX8WKPm3hGdjg8hHYTzgZdmoMsb7k87p
ttANecgTdPhhxPm46wa/e2RnpPHeK/xngnOLPdy4FcQ5+is+EVAuuR1DTpGW2EdGT263G7MxWkCj
W5IIZM8u7A1BWc528pn42005H9rIOlVezrC6U3GH58qLPxlVj9xtstf4WSd7JQfkmShUTg2LQKdP
yzAhvpLkkqaTRpCnlY33sayN01BjUOK86FeFnEbwNNhLYjxUm97wJUYDC8md9k2t3adRk/XbBM76
oRMtw3Gpqs3cC/0FQcB0zoSunlgk4s7r+uSOdDf6dH9Zf3P0RX1olk66Ja2q2NESU48lUpWPcWKj
aBMzS6qef+3qrXH2jfRTndc28odhuniW2nlTMQRaS+RJDP8YZ09qDY85IPw7kPFQiXk/EjPmYBzc
1WrkNy48bUELz/6SxaMVms1kbBzVFlt+5hwG/2AFVg1M19SQ50WzeBnzvDkYaXLj4uPZG2Nyi15o
GhgssOzauqBUGM5JC6tbvFjgPbr1KKhYNnjOMmyicjj4ctVt9CAnNg37gVCbTMSFmRKo/fvK5vOw
xxs2SIch098IyibjgN8lhFvxHFVKP/my+6QQTOKh0qvPK1LwZKDlQn7qJSB+mM4x3yDxI44feqsS
1XZyEf14WcnopEJCw1UuE3fTlLUDlqd37nIBv1QDF/4WdZF5jyQ1C+3YmW/U0nwfTKaq1A6LE0Zt
Gt8tmO9OM5bDLnNEQKc93wBN4qQ1HFKIKi26p9h9ZbtYBTbRa8eEULX4LAe9mO5nH+ftF9Y+PWmu
7UgK+GTcO2Vjn1dY22PurLkKNkl+bHVbJximkksmm7K7jKb+WbIcumrMtkJT6t9xHEMnkjU6VLtq
AXiyOSrQld2qwjX6bdkp782Lk/Fp0bDwZWj7QwdWLXVGOY7lQbdGO9tFTk1+XlFJ+TlhY69vDUzM
MNC0FoVinnUEPPEph7Y7MDFfw/WgKC6MAvVEv2ladBbBTBj9/dSYd9I23pbef9M77M268MPO1cvm
4Dsp6FrLTdpuT09v7nW8IC/gZ57iqPmum2OkNsQ0NCHICf1gFxPFWVIgzCUHd51YOib9Le8O/gvs
ykWfXHsEUoCg5HE2qhJ4FVL+ORhjnFWX3u+XeO9FjMvQIzVvZao140MHA5UfieRybYzQC1Twadq8
uahJTFuUAPNu1P29sgQGlnyZ2ntzMfGskDdektg7quycCz0jwKEnwW4zY5i59IjAQlfUyTEpIyNs
m0EymtO0rdE43gusb2VvhuUMwVFDkNsn+xy2MHAPU9vZkZo2vq7krrKydMO8On+dbaG2ZdbKMzDs
nVVBtW4iZYy06BZJDV1m37O6zmFX5hPC0aQMMELDmYFwTe62YJdJiMN+oqEMJqOML3KyJVcgW6Vn
eB6P9uB1l5md5LOMt8lY0Lmz4cdeDFY2jWsvnDVR7rLm7Kj5lVm0s6273jzOS7SENn/qXNh6fTEK
0YIOsbQZV17dmriSUF26x9yZPN5UXXsv/E48Uc7DR0YzuU1sKilyexa1j7AdobYs8vxtyfwRE4YL
IdwyVof49BnDUsbwcUzYarh+t2M5bGzmZboWS6w+mJ+jccPPtUO+TRiXmzbMIKP+nfhl0sDdxM+x
pgM+R4NOenmpChaKK6K9GD+vjdcO/d50qBZSRjdFVFMMDY2UqEDLdHg3K06b0LXc/gZCtr+bYuMx
dmGmCa2E1IliAaa6l+0Ll6QRMGOHHrADDa3vhfC9VWBU+FpNUkCOugIzE/kgtx2JPNdxPf3sDFLf
cGJ7ux4h281IDg1AUzcNZ7N4iJyFgUYfu3skFLCjo3URlKqxJlneszZkCloBi5ti6wuzPbY0PvTb
cd5u9VncdQD5tXo2VWDziF6SJk6vqT57QV5Q7LOQ8Lc2evsTVrNoJ8f2PJdli7YWq7dddzPTlkaG
WVE0N4MA+bQQSXzsFv8rRWV5jO3uW+vDrx5z+bUsERHrhjJCUpdASXfJ0ev6+DDKQtBzetcJXBx8
MXEVJVJxb5zse3Yt5a7T+mussodR77V7mWR3DOu9E5sODD96cSU1cdnNTk6iJk59G6LQ1DsIwtGz
YB5G/GFPiE47EDOfrBzhqhy5rg8tyU/OaaFuHi+qhx8Smpyc3cb8EfY06EKhXbLYxeggoL2FeM3I
b5bHMtV97VX2a3hU6rreQrPGAAr775ovNedGgSzGHQxDYUxKH223czLSpxZKGXxS1nVCO81tBQJj
Y8Iirze60ZXfVQ2JfaOP+AfM2tSSbYO590U04/xS1vp8wnJlYLmq+n2r4AoEyBFZchkqn07AkiSv
/qLiGkzJAGRdX8DI8sb0cs35ojI2PSxNM/AK/ihQA7jlg7eMTIz0st8yWg4ZMEkWNx4OanPU9v1A
jF2vvHYnifTECEwC+aaseL3mreACMeibd4kex8+WihomDxjnyKymafFL2uq0W9AU6CyBYLqNzF44
3Zhn1PAqz10zlkk4EI6JD8FUIwgoTi59Z/ecbSg+Eo8oWnck+RzuxwlQRhVvF6+fxqOeqPFMOqsG
ja91KPxIMso3NP7+rYFFYAjqYWnTXW63LBM9f+m2yO7JfYtb/Q3NNgsQ4sKyey/p2ofMz4C6+Y5K
g5oF8r5Po3nXQeU+LEYyT5s2x33BLq5z+w3boOGlYJqxjYiuuCmz1arNLky9sl9B5t7be0HUfIu9
ANkU2ggp+Po0QsMjsFCkQNc2Gs4WIC1aebWUg4SFCqgtgpIt+JHsPv2FGICMyFBcjGS8CQ+wlbIq
1GL5oGM5H4ZXXt5LSE4BRhbf+Gq55IEr19ZLBNFj1CKsJkyCdS4Cc4lXTW0QApvBwPiMnFMnYf/U
En2MbC+BtmAnl8aWzc6X5YBH17WPDvJ/hazOs+/7ohvzsLerYm8x+g7xtYiTN/bttIVGor7NkYdS
mZr7E2ml7jmyksoJUjW5hAZRmm2j2Ij9CxtEEZjKfR2IkXxBy4b4JLatXaEBxjJnWz8yvly6gDGh
8yYaa5IBiIcODKjLewDjwaUAlffdRK8RIGI2vvA+TU+p1AysPpbzOhGHrLAwlC5S3zZF/D7o6N7j
AcuBqpArojsUoe3IalMrNw8R//l7f4aUZ8/TdF7cSV6hTcmH3oWDR/jJHGQYBDZ13iRfVCtRxpl1
be2MtB4cBGINOzSGQ+QY4vEV0dAypsN3YE66+80EonrT9CkIAlZ9j400XDvgfZ6xITb6JxQxxWts
6EW8RQDus2lFgsLkVj/pTdTuXO7Xs97GDvz5QQbgfdAzgXMOtcXWGNJYTagIZ6T2153QtiM4gO6Q
5Lyay2onncbeZ4VWHWedWrzxC/kELkTsNL0LSY0ngTLuEkZa5XTNXNc885KYmEElPCzutFLiefOJ
vEuDRGubEMi7gwzAKOsgn1S7qcueZ72zsnOTUqMUpd5SQA3Fe5I79nKAjS/DtB2dj4mk+W9OiYsk
aAp/vkymOYud7Kx696Op/V///0/9v8Ea6O/6/8d6xBAYfOnqIq3+YAkkj2n90t8GAN4vVEJ060Cy
DPtHk/9b/y9+QTPMQoEFBqbB37X/wv4FHyAOPXACjmXCmv3/umWB/IZa2mYktvJhcan+N+0/qUA/
tf8+7yxbt1jp8XPguP1pfzKmZl51WVof5sk1ZOhDgESFAC1xn0BK38ErtsaA8Gzv3k8FlZzJOOQq
HYagE0Hv3hbPn8GgKhUvTp+ou9oxq0cqgegzKC+IBqAtmoMrF/vQdAJDPPFB9hmuIMPzvEKNKGdE
qtuBUDN8LLggxQ17vuRKSiz7YhgTgqDptmjD1k/jhSGAYsuTI52bOd6z6qMvaXjgXCprl2u9dZsY
GfiqJLLW6mrSQr3VxAnVYVVu+Agq+jORAHuc5h53Rq2ci0kkTMM4E/HiWApBpCvQJKamehXORTu9
6QjZ/C1W/uE738VgDmFVWD+isULM4zW8CPkPFyr8AQSZI97fQc7+jHaDXNpDqrO4CuHqlh8pH/gB
AsWKgKa8B5qQRt8Wx2YCmxuyf2kWbS1A+cleLJLmXyoJFpuAcfxBgJpu5RhVT03v1bdD303qPLdz
bG8tGkt0zgkRpMR8FEaEUrQlyXNJGu9+zvm5WobHzCmNKOLgEpy5LKpn935Jl+azEXveXVSwyaBa
73RjG+EeRSRdyHrnejRn9uIe56ZsbnOj9e9sMs6Sm8zy7UPP9dtNdevTPKftfkkSeZOMPsncP0AX
qV3Vj4bRevcae0S2lLQ8WG1skrWYSTNjNp6iOgebrfh0tCK1jvPo1rd5107a40IIKuV3ZiCbxA3U
FkBDKPdMuz8QFzjwOxtiJ6q0/UrSXfvWjbX50uj0f4GP9MUJ7BgcjKGVJJwPCUeJJ5V/PyMSxhBi
+Y/MqOP7WSxzzOC3Q2Nikx9D09SvNF1kmtsh0eQXb8EUl/eGf9M0wo13o9LR1M5ZlR5gPg7LcRwV
y9Q0GrUbM9I4TCUlXsh4xqsSrEV+NhwTO7exY0l6WBoHO79JyNK5azyNKtRAGfKpInL5kmCCo9tD
G67pG4/adLEDxwAJs49hwTLo0rJMNmqjcSEAidhg4t9gI1DgDL5sgfs4IuLzWUsepntjK0PMx94u
BphujgeALtpwGhyMcceihSTxwmTPH042f3Wbitvn1Y1i7VHJDolMHl3cspzO6TT0L0lbXiNfxDcF
GwX/PUPhP5kbU5S1pZ3iUnerrUvQ4ydb6OkuXQAT6ahIwwjk1E53+L+D0IGELrF8Tgcz3Wp+Ul8A
2LR4Z4eHbDSSLRZS9mBuZhoeEMtEPhNSHONPchLtqYpFtK87PDgb2tSyCXSPGR3zJHrGHNApO5o+
/mZX/AwHxURyXCMkxq0a5pVxq2fHekRTpfzqoV68myHroyPjmh4jcT2fZJqNoUsuItIyxOdtjeBO
s7Rv+FnDFjda0EbLHsBfhh3PBH3RDO61V/PjsPRkZ8Vy7w2Z/Wx0HdOPEWPEQtt3C7XkwRDCRBLI
Klzr2RuAUyXaooBy4zVOvIuqnvrLrs561fTfM+VeKaGiN0jXEu9TWzxW9OK32cRUiHwY3FRFP90Z
YyR2bY2mWKb4My1nuaatB5LVIkg6Sfpip4ycflvjqwzaBKrXrm62ube81RF1EQOl26XpLoOEkNuY
CWolUXf7NsKHkjmafum6SN46fUFb0Ndffd62e0T8XphGKtrhiieYOrJ7qnZC62D+YrGYJu2Ulalx
VgXTkNGNP9ep2W9jg81n7qpqa/q0wcVQdy+SschBL+PhE3qPgRtDanvIKh9j5xR7lWQqhJVrPE2G
GX0WuU2XjrHSOjqZVTJcYMt4BIUtc5zUln2u4LLsgP5AhGjiGrYrlI6TxzA3mDXNvR+bxMe+xtGU
lZCZBtsquSucxaXwbCt2wzlMptBr0+EBC0z07LdgmoRdRviSx4SYNA+yNQNZdpOEmr42blHujJFl
epSa3q7sB39fL1Pz1pAs+uJ3sRYOjKOCWlbLFYhqjfFPwosA9nQv+BcXjPbaLav0ZxeGmh4Yfjvu
4n5xrqQOG/NmnIfcONlzFt/4een5aGTsNiiGdHSD3GRrBIMoXbaWLNXGHqw6mEyDLp3GZYOonCmO
hl0Cbn/k7d3GzU9aB2+4a2J8OtqoPQ+N3r9wx1XtNh1lc9ZFt/pR63vEfvpVZISmeiSDOWPBbWDJ
nT6bPfNARJsmTl3oL5aGXt/NvgtUtN/HskOHk4hywTEeSZtz0FGnii5WgJht7e0qPv9UJ+P0wEDH
+zYT6hI2fgugMzI/az7T0rSKXx3TIQpKkbraW/anyrK1C89UHpiC0dhk8J5bVBt9ijtrj8Dqc+SM
757Z2vultgZwu8sU4Cx5VZPyt7C3Tdzi3Ze2hOQ9Cf2YJ3MedobZfI8jFyxupoGQ8UR2mEC+1IG5
4NInvtK4g4PYhRhA8vvKcK5VDC0Zic8YloMJ683EbYQBNekko1SmNkxBhigkGubbmCVPyBAppagv
UGMYiBen4uAahPihLia50l9frvQXazHTesHAVnczc8qF0NbTL2aeP2mmg35WtvrnxHTTQ5167neo
Xw/jZHwQg4enPAUaqLlvVYFqr7UhQM257p58FS03jT5ajFFJk4vZBS7+eJIVw2v0i01IsA02iXgS
h2xW5VFMzdFW2C8zx/iUsg24KbjnN1WKQdPoeqQG2ZAEJPftIaE3p3qYH60l6XfGklQom9cowGz5
NlB/BoMY60dke/CD+oVrHZXMO4mUnWj36mGjqr7czSP4pk7z3qPYfDXg77zprS1ucYTRdNPktsbA
fWW/l2ZpYA8bEdomaXNuKjS5UG2+u6UMqAu+oXpqEzYGRcNsrpcHr4mgr1uNRduD1WbynGRPxeI+
gFFiGFrIbMdgdL41KzcCh1yfOj70uuj2aaJfE9Vbge3iYs1Q8OIjmjE/GxmIryb7NIPJf4jmZNzj
C2Vu4ppV/TAm67SdqYo70fs58CgtjvQbBurOtneW5yFL92ux2RrVLV1hzKbJZ8tbf+A2woVaAv7T
9NtI9v+PvTPpjttIu/R/6T18AoF50RvknMnkLFLUBocSJQyBKTADv/574KHaVlW7q3pdGx8fy2KS
zETEO9z73LslJ2U96bD14HnO6uILumhssO30PLb9fW12d51RXqnWsLevk8S8i6bNPPeKGhAEAymV
WHvg+w+EfqUOUlXPdm7KzPdv3EKXMEkZmjGPaENkLss9I0z1m4zjv43fv9H4/e3i97fG759JMGvb
x1/8ve2DBINzwXQdlJOOY7urwO/3vs9cSTBIYi0YWzbL4RV++8feF9yLDWDOR22JLNBjWcvd0yX/
+38R6gubHBUthF7QS3SS/0nfJ621r/uTvwKmLN2jIHqD5fPaa/6UuxEwOgKmqY2LbZvDA9ZaiIV2
45yKfFE7j9AIpomDfLRydyBCgFGYyaF78k2WdLGqxueZvg0XF7YmU3c+cgQxOCHIlHJD4idpj26Z
7FQXP8aIBG3E5zi8GMHadvky9up+lJznaoz9jaEQRJhuNiHMWkUzxZr0ZytsUdrO5VNXalSmtSRc
Cz3LrT0O7TM+U2psr7O3c9/kH8LAyOlbn9Ch/rDqTode1D/MwUyRSXrmQY+OXYZW1hePabb0ZxAk
hBF4CcKjSRfqMFhLus3ykn3h6HqnIp7woWVLd7YbFgpd23N6qGpxwfkJcdu4hpzCkSHsdpjojTBy
aiTGrDLn4wLqbSdqmzLL0c6NaPwjBrnHWpheaCFPuRbKvJTRVCBDYokS+zizVELipNZ+tO9EXWz4
wFQ7v2Tgq2OFdYQKn5RNpnYslcgDsAlOcgwPM2/mbqKKnq63vXo/yXjCPV8SN7xxWjoblS9Pmr3i
dpyTF9pW+Qm/inuabJakpVnJMGl1sBWzVUW3dTNLscurJG2IyCD/VFyGMrKWp7KxFKkM6Vj5xjeV
Tyaj9irvjYU9fptRlpdVu2wAdNg0I3anIbk52fwIy9e/DeJAGJAFtDXRtA8aZRG05yNCn+ngEWaB
yMi0vbupKLtHA3Ert0hqMCQL/aW1BjwHqXPDnFBwcFOK7Qy10MUCYOGAzXpb3RozvlsDEdU0ATHC
C8hm/lr97txXvxn5+UKrrb/+zeTvRWXnYvlf7f/NwpFP7ERbpSsZoKFQzcaHqFPFodSV78V3xAlA
Ut3DIWM9cLCpn9eakZbP/TSKvhVPxjDjnd4ZpCiwZpQxPB65FwhHaSpATFaOmK5jWs613sNsKOH7
I5h4raAYPTDqRNM2Z6WWe3Y80OSUEeP0NUGqbYy+xY/BdNd4SZSTkgSxeNR/MPKmqzJJ6GazqulT
Ys3aUMvoscwTg9gUz4E3kTFLfYmIuC9ujWyW5qbABHm3DKMLxtbwxmjT49EtQ5NcrfOcmcmR/bGx
S9EzxRsgIfNTwywByYbRTK8qzdnMOdq1vujElts8LuI7DTvwztWpT+lbo3hKgLwe+Abwcop2TcPU
YjeV+XJMZyzBLhzzl4BRBberNteGZs5aUosCsyG+OYtOie9GwFM9A+lcy7qdcfLkbE3D7BZWNKXH
Ww5OZpWpdnNorjkviWg7aiWvvNd+HR88bYeJOTh3AXk9z1GO3qqmqXQogePl7b+T0H+H3WBZyOH/
bhL6/L0sv7ft9+9/Nhr+/rd+vw19E6kTCqM/UvR+vwkD8QtnEkAy6UPs9fnnP25Cy/0Fg6FwfVvi
5fj1vvvjKrTsX7ggV6gDmiCy7NBI/wcKKNv7Jym+hAlvonZFjk8O5s9SfG9uAD2OTnky2HGYbOIZ
iWTDLjLGURKaweCBC8qT400nSU4qWo2Cs51IqqXNOOrCTpEiRm2xY45rom+w3WcqdrVzGSJu45ht
1WZsMA0jSfnMeaX1drYc650dqXmStSCVO3CYcyUxK8zI++jLujsNVhsfHDqmLRQzvTEjlYCI6vrD
PAjBvNOyYSoHU7t3GNOgACFBDo9k9dmutf9eNm1x6jkY9yJ1930LR1t0eIOGLI3vzAYKZTmn+bNM
rCFd+zzonPAuqs+J2euDHIzlTITxOr1A1/YVV3uNbKrAN4lhOI6vFcu5Tyrr/JspW8RjPzakZuXe
w9CbwVVkQLj8gmxcMJQQkWnrjovXD1uV0nxEmWgODSfxcUwBAWOdeqjqyjs1EIf3rsFNuNAG3ZVe
cI6Jo3KqSd0TUkQ1Hkl0nfPo73KkOWGvtPOESgV2jbbFRiy2fRNkU3vq28U4RsbC7FAlxhlBOCsW
qTHq49vethkyCO2SMLTTvgGwYsQwYQLv3UnT8W5iMlEO0G6KvdSWw1dtl4d6kO3VSw16rF4+u1Mx
fZsZP+/aMWPu6qn2YVE0KOPsovYiWWBr1NP8aKeZ97Wnnq/L+Yso0vZg1rSh/QBCjuIvehn8tNpz
ALofEBLUjFxeZtfYKVblaD0lm2lCseOvmyMWbf6RdrXZAyQmz12YckcmCIs3BHZcrQ07/6Ycf8RM
OffLyu1idlWUO54b+8FGAQv7KKs/Jb2ZfYKFML8TlyMQ+C2OuBoVeey+sSJ6AIkkYRok9a4mCDsE
o4P+gxnoORJueWeZQ3WFTPkpmQz07DiO9NHvK/UwVdo4+5Ax7mTRgILV5CLhsLUxhaeMYL1jbyCJ
2Dew7FDNcHGrzdJP45m5xj4rJR7zZWqsfWLX/kbSNa6jOFkc556VdLkEDmtbGxrAJpfQxqyRghSY
a+yB1S7ScJJLcW8Y2IkcoCkk3ulr48r3KtdedKOtfEoutZm/umnjPRaVg4gFdeKpTXs7koccLhms
iAE1W/ANCYbGWBzNC5fl1N63PQqib9iXaLntEjee3/WfnHrVbfh9wqAAqtYzakP0xE1v7uK8DM5j
5ckiDKKWAPgawMRjze45A187D/GxZn3cfJL5aKtpS94lLIotwbgV0PTW8VsDfkomBVWHy++9GOoF
aVe27oJJ6xRvSwLDaiPALd3q2Su8V+oMqRtWxrP5UFJKRh9ZhMXRSZcg5ITjRrQNrER07XxyHRXi
mO5xGSAbRH05rNxY0QXZV8+IZuPol4OoTk5FqGFY+X1PXNmvpP61NbavY1ysxHRCJJSJGy6sxGzG
cKY6MYQlW9v7svPsD6bvnTowRYf0gO2H0fBgpFQPHXuHYEc+GS+5QOiGYjIJAMuI1QrG6zkCfjHW
6YGzj301EV4wZWXQQmcgVzuzEGQHZXUHY1tWLgEdOrG6C7nBjthW1YBF05u8mHji0r2bViGYY7NY
EUj1srBx+B0zSI/m53z05YW6fd2sVo0WSOiCEWOn5V7LwNYnlSJHsCcnWgMG7Q7vkuUdelMmB8La
/UOVNOq+lPnNEuOVDxvTqW6mxEkuEcSyfTV2dsKiyvdWgkMKb7Ave2ASmSvPvtccHKPM1meVMtOM
3XTXxJVl7IkGFk/I5rKdK1vIgGQ9GKFrlCWm57569AcPLbfL+snJIslEygouM1j7MNeNuVWTHR+6
hrlZuCw9lMGCtNRvetZfuaOaW7aNaKa8FYkxsH8KpdDiKV7MaE/Khf8J6mf7YINl4HIoc+LDvfau
6nzQzgbizAGs87eFlhV7n7ltPfzcHJ3RseBLfVaemW7hzPtvg6mniqgAWR8zR08Xb/GWK9YcP4z1
hO9+nDPGWxbTTV0Nt8RE7Bl22Ji0xZIxTkogHWWDZe8yhlr3mN0y0h6CQ5uX9afFq7rT7A79wWxK
0JtD4cDMMdkELS0MlJFG5c5jB5Vtm0n6l9Rac8RAMm3ZL5YhTpfpaQpsJ5SIXMMYVuE9HA6gcvAA
dnYWxAeXH2Bft/jdQ3O0E47Gxf5sWRoc9UCy4jtJz92VXsf8zkKh2jsdwA9lRubRbbX1aky8ngyq
eIuaJt6TY4H2sezyW4Uk9KXnObwy527uHYfdEf7RcsM8LbthNJkeaBSHW/S+KJ6xFh/zZfiifTu9
me0keY3YV9xGkRnwRVqXSqAgmbX3AWlWhSVu2wlSyyblyb93Mm86BNJt3rEPwgkl89NipvuA73Mq
Qrvw3VPBHBL6z+pcp3f9OraxDuupEFD6KnFCRvSKzwMpU8lYmuBqcP7GbAFVUI1P3Q0EvIzEzm7i
+uqkqbhYRktXw+0PN9yw6q3NlBjrjdl9InK786FuxqzPbFIXAoNlYjtMLq2kI2jaA39OV3QqBrLC
l9gVhCKvja8mRn+xfB7qBvVxhdXwXU4MtyabsWPoiYyToGkU0mWAinPiPVlN5sMQRwKexslz6851
+vDf+v7fq++Bdvx9fT+9t3+t7X/9G39MuqxfHFKdGUsF7h8Z9f+YdFHFW2uSlo+Z0afA/3N9D1+b
PyKtF7c2Jup/jLqk84u/zsx8m372N1Lyf1Dfm8zP/jrrwoTm2JJNO3FKq9hCrs7qP/k2GRAbxO7x
yR8hmL0Ohu2FXNPffGSct+j29S4xkMZNuDkfvdG/toSyfHaHTD/hBnjSomnPPWCwUPvrKVf1xmmO
LDc6DFWW3FN2GO+954FVcyvUOrYfgVygQovb+9JzZovDNlWUBoSjmt4JsaMvb2FAiOpTmyP9Y8ul
lso6QOCt6yuKLOERSw/kZ0LCHQxdYYdRpDJ7vywxBoWwHptGf8r9snNw8ZUs/c+wRV0JviEKup2X
CLvdI8GW9bkjijVnAVAqMngpl2ZSvFJ8cuYZ6atESBi3FE4LAAGIaXY0+Qee0Nk59SnjCype3K7Z
MyWCgf3C9NSgt0nlVO9ZGfkfMZo6b7tIlAB61ySVGMB/tOu1hpQgq9mi53Z7UNjtLkRELytwNuDK
zExWOCNkoHY/iIwma6mwlW+JUT4S/UtgUJmins5LqztmxuTDTvWdN7KNIVNZcXJM2/QpRvXKm9Vn
V83E/pjJ8SWrUjDR3ZiFaL5BRI9xsoS6iJNXVHOUBDNIOvI1rpXdXJKx71/buCihwbb3FgoqiGlD
gBwkdr91UzQi5BtRObPxBNIK2cE6xZN6mQZo1XNgZmditb/G0Eh3VqT6pwWhHtW0URyo4V/wIVch
C4fxQMqOt/dleaD3fCTp+8XN5Q+URN1lId02DFR8S1nnbYq+e0P0dS6GqjyqLkXaSfw5EDAZtnPt
Xmqmh/sGHEkSF1WopHqphUEMK2sOxGPDdzct3WvhLtH9GFSke4kJRWi/GkuBOSvWCQd7sH9VY9/J
DFjcMAyoh02AMIxSk5uoz5ur3xFA6jm2OHlVmu7LaXFCwgnoOFdQYNrL4VCAU/vqJ3o6T2hwdrV2
DCa7Mz6RLP4eWVF15xjdE8uq6QmiWn5glsmxn9bpsVSuG/apcEOrmqlySqffd4ybT5wLyb5pZLCP
C4c1TWIEh8Edv1eOKk4oN6ptxNkR4q1Myw0amK8VTS8ZKmWxi2PSmWBdt5SB2E4Yjq46agNGtBjy
ncltFfpyejadktjVXL0YeXQCsEwkV4vp0umMV2eORGipKTsnGpyPAfXlh9U7zZd+8Zg54klV1Orc
ZBrgNOIPdQMmub+4pMDc97BS9daCCY3c0IVxMJBl4AA59kUM+W1gmUMsj3GUSvSPSIZG7ym3FdMw
QYwvMA4oLjW4jD0bXn8X0fKztyfDhDuNG74TJh6INKsk/tK4ARpmdbwaHyy1hNhZv/W5JlglGoZ7
uBomXC4+FnEwAKrzp2n+0DWH6i7G3XPuu7Q8gpWdx+DQ8dGaNsbsimmj+W5VSLRG98PUesTEMEYI
vaa+T34wnwt41kZi0dh86Xq8xd/bIubl08LU2CZN1hxQ1idlUMAoggSYaANXiGSqqBUWxzlzD15S
cUoQKLqpBEtyh2U4ZIBljS7Q1i4KFnJlYjKppL98nvCkvWAJmG7zzHjnkXqVS4roPlcV9HOkK4a2
bzNBdG6TkyZXGulH1PrNNpV1+lI0GbEZKDLTq2TKTHx4v1jbBeD6PYqtTzqHgUkqk4WKh2Tfsxl0
oFGs4WZANPYIesp4UnbrvUuScFhqBGRoFEGTATZKeIzHScpdVJXTHpWDuLpgIzGOdcgcuq6D0JdU
O75OuSddZmaowVMLv8J9KJbB2keacBgUOwlZPAOgYhyl6dweRxNUXhhhJOUuWfwQhEb5MFrzW9nj
yrWHIvjWyPbBowgaUSKjZbb87rM7Z1igBfN0aQ0nMHf+VqGBIr/MrDuIDMQfZUZnXObeSXCQ9SbZ
LGRi1qtwdiaUZR/ZJueBP9+mo6/uFkMM1zkN4HXOPTlQ5SQxtzGFHjyJVNmWwNMDe6JAkyTPZVkf
1mZzIJsPqIDVXYOeUwsQwQxZid2/ILzrBDrPCd0RKmhsjo+9jy5Y+WjgKnJVEBlVwVFP08GYdXBq
xBAhJZkYYrlB8W0mx3gn1uCV3sR/Q1muEW8ArMIOKFHyphkAeh/LNMugYNt2+hQYQcyiuf4xae8T
sWPVjoTkfi/aGtz3HJB5Z7NCIWc62WOUms6G0h8IP67sV/uLOeWEloyrzEJ65R0UBnGDrLzalWLO
9mPaidOC7vJo4GMJdV2iK0AKufFjxmtgCGcmT6CIZaE477T7ZVmQC5RU+bQv3RdZKXVx6ggU/8wS
K7LGGe5CRkh3PhDIl9rJZlTqR+/mwX6qly9xzVdVC0ISRndOdMXiFyEeyjj6MVB8JchgBPxOLxEp
GW0SxEu3o+0PXO6A9eEGvlWm8wOJxXe7S/N97lAwDJP9WjR9silUS0CYz5daGhtScz91P5rextbe
QhqzOURDrx2T+8rJs4dAVvVJ+HK5ISKRX4OnvvRFJLYcpnD7ISu/+nPFhdFZT2lKpvsQM9DPJp9z
3U3zr7LELl9AJjr1pDvss8FD2A4xco+FvLgBRoDhcl7szWDNX9sER8PAljMcA76HMVFqJ1CJvLRC
Ljj5oLBymwYOaZVeT0b5qGq+/YFg5zcee9WhYir9Z+05/F1smE9NH53cfBo3WLXjhx5G9L3TRdkb
wPknQl7GTZXHt7as2qPV+zF+tySrQedE/KIRM9qfkOWNm8lhmT4DnbWXyJV0VB6WwX4Y5+2i2b2k
7oDiM64karOpRFPG+xzK2qzuBnOBCbpM3tGbHP/LqFrx1ovpW1ZH3d0iLLyxw5AMx6zuLHKK3AHV
ZzaVnKw1C1EiGKBkDewycbLziRDFo/YD5xFyUCs2nJoGJYas5cYhS+BH21i4inhQY95TgESrzahx
D3VtOjwyODSrI6qOpd/0kmseUOQTpLN+w27txkcO97nFTfy1jPU5H5MI8mwF4l3H1gccbgfdWSq/
mXFmEEQAX1mFRtpPp3pkXBKmKsn6LRHv0zeR+/m2rvr2aRkbfYo4PK9DYuSHoHTvF7e84BLrPMKY
ZDUdsa1nfJzdwfuIYo9YRtl6d0HnpK8kY9hXs0+dbVOM+c5hlQdPo15QL2lElFVnVY+NZaORn/lV
3E5K+ogLI4yyXlf3mFManxQEBnXzXemn+SE2G7yQ3tjt1xHVrub7Yj7iGoeM8UlxgH2RvnKaqVeu
uP5zPk7iifl1dCQYPj0JZ6TijbR71uXATDiFpIPTA+TfSyyJZ7gMxsxcbyGeHeQKD0QiRqx8LMfO
zOCGTVJMpgonu6yJgYrFjj1Y89CBXn0VGH4+HDASR7+tgkuVZd2dHSfNp8pyGsXzV2Xd1tL4ZQqH
HB+qK9gfTUdoHe1DOz7HLO6Rpzp2H2yXoLZWu289DzvMO526sBUpmBFHORvJyF/cz7FCkrQd/Imb
1e/tgAexITlgblwWwrayXSZDKnkbvJG4jsrrn/KlnJnxJKVxZfudvjH+LvdsB3B9F8uUI3EtSeLz
s9gPbVsZftgWY/EqognHKP/rcSo4XmE0PmFqAadf6v5rWZTVasUF9tYt8aUpKUnzclhXw8VQPOMn
BB8jPHkYCdq8yapW7+eCWWgV482pjSVHc9zUzn5krfiA+rtpts7CljuDzLAbMrO/KcoF+6HMyiOB
pfG9JBZzfvS9rKnupjhheRjEk9CuAsSMXTP9KNAEzrjz+l6ifP2g3ExRpoXK06P9VHUxQGeOsZml
b9MesyApghBH8rBc8sk2Nuy5zV2+1GWDlzrhHAW4hQG7da1jl7jOq/RXKNsyxrV3bBTP4tfA9aOt
YGQW36TDkGpEx6LJdvi8RqjF/QDlikUspw9Z8jdDZ9THHovT46Q7egFTG4fFAac9dDPBI2NTnxo+
k9u+s9KbOnPSTSR770cBj/abKFeFaINViXSGon5uVRClb6aJWr+wgxFZnbsyopYFaR6o5u+snuOj
2wPqZv2bGBvNWPxlyUaxS11O513QkuTQMo18FxTWl5GRL5arHBZJLQ4VX/a8SN091HVaf04mu3gc
R9M5L3U6biQQ6K1DsCtJg0lh7WIFrqUSEdWBVi3yNXDHDUjkW9vWjPH5Hj+1VJE7pLrBZinNbBdz
11Gc6xlnZdPt+tw7IW4cthWN+yNigGDfKCHfHQC7x0I1dRgpTqYcKUfopVVySGO8wE21xkOmhcvb
2ybj1zwwhkMu7TtrSoIPsOt3A98J234h0cHK+ajNnFSVvo9vAPz5ZAICkEM97ep9HUzOTqPBBcS3
rDkuWZrsxggbHbCuhG7EUF8QqdRhFXjF0Ugja2uM3CTliGsRHTmyL0MYM7Z4y9pXkc0UK/CMu85a
5sd6TI492vzrpBCPOnDF4RqMRr7L5yT5XteufY2iNOWg1TH6bYNnt+Xg7+sMKW+Sb5aGvOYGRQ2X
zjg/MIkPbocpVjvE6e5RuamzQ5bNgdlW1TkV5r3vF/jaWmLFSS2M34kSybZlRVQHhZ32bxXM4Q2z
QbUz88gOszyw3n6ddFvjmqZbpEnxZtTtm7bYzycMxG1nImipqocPMXGx+vBNT3PRrHt9LKYMUbse
zEKco2FGDJ15sbt1l/ydSPpkN/BuhbKcPmPDvSQxod+L/iBx4XObIR9izSOqXd+VROBOlrVzfXZT
ENmiM1xNNhDtFIVFLNwNNbMpNkZJStuuIbaxjyGr31TsTPi0tN7BFMrbyIbZah7H6p75gxDb3p56
fzfUYrhtO+rtTLBO0uv4Z/Lb+hRone8WsimPmF3E97GkRcu6bDgWdtdvR0PLh6xDT6Lq5luXTN3Z
K1LWF77yzki4tkky10gZXKIhIU+dcQMM7AaTeB+n+iv9GqXYXILHsZesOJV9PahNjKP+FTVtGzLv
uVrYY14opZ5TzJYbr+m8S+LixdHTQuGIVz0i6ApdaW8023LovwSmBgw7W2GSyZfS4MjLBjDVtUv0
NdHR/it86yJkro2jQ/gDa43IeV4qRejtouSlnJOb1CjfutpryaRKnhqXfABO0v04Ux2VcV0+JZUk
ANvMEZOW9kfrEBcqYvh/tVG8TJ5v/ajrAjlQXPoAIph6UHxPBG2Gi4vbde7QcFVxRrh07UdfBqyj
pKMOA2jNYB4fNeFXaMT9CPkyA4gROyrEMYp/9KF2PjkHmCPBY8mBBUDLctj/AEEAou83SYdDmmfA
FYoUMEQi45LGE61OtOWtqr2rAop0N7jMrwmYNNZIcUWMliuJKd0NPqSfXS+S+laaQEP5F/5Ilf4P
GctHO6s4PPw0OQe1UOfZ4XI1rfFbpGpW48pQ8Y5YSSS4+G+3Tj6dl9RTPOrmS8OVtMnNriaua50F
1iUazoAMKs9011zijioPhc8K+LI3cSs5EtypGcYjpPijN+gvYDjOAAGZx6c1UubYuEYBZoMlJ88y
0965NoduP1rK23nKzc+1w/hPB6LdgBwh2YkubhPZ+qaJhwfyfz/YOvOJj2YHl0v5oO263DKY8U6l
jefSM7rkQO/CAHEpjDvEeK/IsdoLXBTiexoXml9ulYdE1PEurQrzOGU0Z43Tt6cSuhWTiw4LtXI+
UMIHD70hGMNFI5bGav6iYkwWsoOOwsoTNHNnfY2cwXwafUdt3QmjCeTHavzutN7wxNknQ9d1mg1A
lP7caIZRpCugdzDsa974BnOWNJW7RigFi6K82l0O1H+xbFCo6Rhg4oCQiL5WJOqsuR9N0kP3Kp3r
99asqrcVvUhelrEs35AZspDHvG28V8Qi3HkiN44ZF14TWtA88W1nDZIzWiRUJ1myxdSOlpj0DKuY
56/UWTxaMTFhKVLiu2q0IpjpSf/NSN0feG3mmmRzoz1rxtAPy4QE0Em9sdzUqRjZuzv9vZSJvdw2
kw+tdfSK6sAUtEAh0bFPWVa+q1mlpoe3JZ22NSY7NujLXO9THBv0C5Fxa6aNM2wcLoNjGg3Pc+x8
okJwnnQUw73Xc3fkOcA51bTI0gP/ZfTJwKmTUj7FAjV1m1h3vtlG78UE+jfD+b8xPYmkIKdJNy6j
pKi5YQHXhrobkgs1RDftYwJ74Eunbn+2S86f0O1EnR3iCIIcQyLSB0ZmYdQ0BcSHkuaG8m6savKL
3Kp5aWpbX9A2+vAfKi8QYS+Y8c11BsSXc+GNNILAukV8LZ4JpTDdra/7BUINWx4e44ihEQNqlngl
wYRWXxPYxadHswgfO7hjZXqz1HXdbLmwYNUT4EzFNIP+MmW3muO7tRLilHkrlOt9IQLX59Hus+5Y
+2SgEJCkKVp9m+TkeKUBIdednpy+7hg+CaThaDoIh66lEbzkvzqNkjiLt2UcIdVjpjY/ggGY1Mbi
QdstemLL5bU03pPkiqYELertYNU/RsrrHSuCh9mgrF9alyRi5XbAjXrSl9JIP0zxIF+zVX+6xUZa
0K875n2rK8Iy8B/6j63TcJ9yllX3+WIMr4ad9meLRJc+LNiuXZvZ6F5VbYhbUYzzQdaAAGleW+sB
ZYH3GLDjR5hvRsHFMBL5dc5Tde5af3iScmXSTbLnKa1KjtWwcPxSUjMmOLMcFJ4bImu5sXq2uWTh
NuD2bpnwrzEqgEJyaLdydvadOzq80wUYqK6Js+2k2vslbtkPsqKTO4sx1LNYvPicoYHYoFacf+Tk
B7xFZkuhtrisD5l0NKAVcXiGcZbq1951qv1ocOvGlc1lxkdqS7OT7kTcZofawGhFOnNxaaLJOw2j
6HZkWqqb2izJn2ZJLW4qCIOfICh0BPVN5Ohi6bM3YJMijpPOeKiVrm8hW/rHIjHjXTss9QHct72x
asWnxGjG7uoDYv3M9BaCVTXWz4L67qap9LjvO6p/xpkeUxojecTDNGz8ICbRgV0GRIG2uPZd8M0Y
TJQhZhEd3cTptsa8mFeIns7GyuBgpto6VYnp34NNn07j7Axn1/AgNrhRvrXhTvChCcjBc7vm3CZB
fzUaT93Azfla+pO5GyLowpk/v8dzQYqETZRP5GeMFU34KVvdzC8G9vG9RyTQrpYssA0+6IdkIPZy
QO57Um3FzKZS5SwZtC1gGyZzizAIwaVTUcuKpXlLIZ1uaBWWI/E2QEHBEvX3vlcxBzaDPN+Wjhzy
x8lJUCUlXDa4+XFOIfRRN6AWtqPD+oYZK4rnuUr2Jn60MKiWW0ct/HcRPbTWNN+NXckceFAvQSs/
WzGHNYKJXQq/ccuk5D0okYwEMQuPcUzibWvkYkvcfLWXprKPo01yc5w9Ln5Nq2A7Djw9sYRxvNxZ
SYpaItOvdauzezfGCWnII4VVdxggZXwxJtYg0jI+W0DY9mKhQp7gNB7qgYsa79J7EWT6AfDKA/bS
fA5F5XO1m2sjmOTGHaLEeYPhJzlp0jdugFt/2IbXX3+NkGk4/8OUNRiDnsD+DNgDrXcx3Qx1PUHH
16//XVv/W2trF23o362tX9P2W1W26V9Sxazf/tYfslT3F2zvEqc95ODfM3n/kKbKX1jbEB6GH8P/
1Z//j9W17f0iyOLF3cGfSM+z+Db+5NIILE8wobQl5u7/TJr6V2wruRcBNn/Ut0iRbKrRn1OwJesC
xVDfvQAea45NgaHeMcvmuMwzofQdgg+4BP8gGP4LrPm/ekGWagJvviN81/wJcKz4qWtZF87FQsuz
ZXWVHjCZYVnPfTgUoGFu//71kBn8yYTy2w/o2S6/L7YwyAN+gg8EmQtzTHr2xasS9z0LeAErI2G1
dYb08PcvhdLg55firea9Zn5PFhzYhL9oABpGT3GvTPuiitF5Z7PdHJH2pEzSZWzedpRgL57CGtZE
/88w83/xU/5mBGLQagYU/H996VGD9hBGY19amdmn0q/R0RlOuSr9Yjrsv/85TSTTP/+gfAKZDcKH
IKNlfUb+LHaYCAWGU5Tal7FyeSFQsUj1xkzADh86DxJOaWV1ckaJ3CK/aZKh/WybVU7FS+7hRkDU
uvn77+iff3xglb7rogHxXA8hxl+/IWwGbJnjyL74I9S7DTkL6UEYin/8/72WafLQMKsx+eD89IGK
YTNSYcw2zqTRvO1to/3wiJt47DNZ/2YH+L8yldff4/8xUK2fXZfYLcCZjofqSvzMnSbyoiFPq7cv
Q5T8oI8gLVWCtf/Pf3ccQrCbeTFOqZ/eTAEX0Otkbl8WruxL5g/roNgFEWYujHvDv3+xFVLyTz8S
0eCmRCTDr/BnITzxu+awgCe4ZBIS7hb/THWhFWNCmjft/3B3Hs1tK1kU/itTswcLoZEWMwsGBUqW
JVnWs7xh8Vk2ABJEzr9+viYoWaI9Dg9T9VCDpQNJdLh9+9xzz0kenHRrrmn7ZZMGbkPmU8CNwKH7
/Cc/49sVbKmCsKfKrSr04wWzomSETelWXDR0SC0NjOMUyuauc5koOSs0dQG+t1ud1KDtEBqf7zev
iR7QKREkO/vxr/ne6hXkKRzVzDSFlderd4uTebOjCnWRV6vmVlUxKKspaV6IJHMXv/9VFmqvNONx
tOjHK6pJnCzO7NS4CEyG13Wl3L8SNoR6Bwntn6h0vw71hG9qm65qY6+k83XfLN8EggWCEImyJJWE
cacoWfIQGWHy0NVIXVfcuZyfrGXZDPliecmvBBPChtPCbIoJlm2PLyNTsu2EbmE3tVThQJxy80LT
IM/y5hZRgOY2yFfMq2F2zTWKZMBgHltq1+BFgE9zUs9hyqM/kHL87SMIvXDcVdtOD+BF+FD+aaCK
fzZI5v6I/brLTQ5+mimk1g4eVAj7HluKkG1vRIPC2hI77x2JIgSIOLBw6dXybQnIvWsbbxaG1B8o
a2+S1lpofNhNlikgVNgI8htXKLuTn5te8dgZu+KxgWZJVutzG5zqaEz7cyoEGvVArYYEjZaXWKe+
09xi/5JRo+K/ZbDaoFbw/+hh0I3zWt+kDwW6qBeOJ9C32TCAOLps2msIX0q2gJLn3sMyUDaIpK9S
7UzLTT4aThI+yzvXBysMM0DrKdwaAwO/KOU7HEZ6L+HDjR26GLQhkAeIErS0+FgNTxOhJQ8tBb7u
VFkBWCzrxIgv8sLbZfM20yJ/iXxc8UiBPH3ABQv+2U4L2lsNidVrRS+UatphIxJ81FqXKbM7w6KM
WmM2ep8C5D9ExdZab6Ggot6LaOy61dz8kW4ceUJXlbnetVv9U9Kt9DNsudPbzCp2p2aNqbkdeDQg
En8BkGt8KWlIbTXtTkG590JISqlYIaJuNIIRXQWr+1bowenKMCgG5Vw+lVjX7opOZ3zcemXf5rnX
3esVGjKJK5innVW791qT5Y9brDNAq+jkXHT5SjNmDt0X92VChW3KLRvZoFXEp+w2rXbXFYwbrQtA
c/tTDoRUko4tvDS4sWWbMwBrYI7WBjXFidASLWJ/bWcvqZ1lZwoM32s0I9xLdaM3t1uEippFqCoK
Zp+wCK/SAGrJHFlTc20DGHU0E1JinlWx01KdV1e2tUxkvFSw0IR5IKo0PNUbnR9jmDb27FnBuWjF
VG5ZwV6LQ2znaFe+sgPgbc1dgaN27KQ4ccJMTg60fC1CZR92AnhIrtJtAGiLNxh04OY60RzOooL+
PcmV4VyeFlwOjVkCz/9Nhy20N9OCnblGMMhcW1IniGph5oaos2nZO8/o9LOOGpo91z1LfIyqKrpz
gLLegH+E85S6hYZPJrQXtOHUbBmEcXXuhTS1QuJsmhnqG8Dvar6y7nC/CfDzshyIG5gPtleOSplh
J3wwt93WdWfAGnAA0JuetVHX3m0RnV+UMeoJy60qecqsSdBrWqNvCrSWsJ1blTsIaVnxxREdTRK6
XV7hkkPdpm02wInllsg060ICV60mACmF0iYfLJR68hO6M6xPTWdTYqXd8hIj08w7UUHYYf+VSTCn
8TOCQlrGV/QuQvWIutz/6BkKVe64QN7W8q3TNGpXF/iP2umpk9fWA34uyNpHkEcsNK2XhtjBVGhq
0X2MwnS7gHXazSitMY0OoOtsu62jjxvkowsqBn4+36qZfSqTUSQWmzRHDCHbKYuUHFCK5+xOYGhj
mOajXhNRvrstkZc8j8BKzjcZyhCtWbafARtr6LKBQod1vPsQbCs8MFvM69EiQWcqhXoH7rumOZv9
EXTKfIXd6gwRFe1kh87eBkz3CmsslfAPaxBGY0aBYW7ZIZjybCs1iZEWQXzVi+XMJ/Ulma5zRitB
a86jAK8MQXEMg4fQXc0FRK1z8NQc8YQckf64hSK1i8v3QGyAklWUn5TSdSby1U8h5fYPbhjodDlp
zUmuULIrQ36Hi9nmDacSHnAd4f3SEmmNuozKjNqevrkEuIyu1aJMUA0pWNSKRUa2bleFdqXoG7ZE
nnNjWMRJAT0NCzMpNWk0mKMSbYtHL1MJSHHnanct5no6jTeVe5/BbfEWTokq42Ib+DBCijhVqyna
imE3000lBh4TzXUIJjGz2zA7K9BGdlAzNinuU9JETz0L5adpTQLLNoDtQJEklsIWMdG24R6VQ/RB
sQVl87sqEWz90jdhJzfIf52Z2hYVm4RlK0UJpb47Du4Pepx65HM+rUKaEesxBT0/R7gCIU8n+dIm
lYAPaSOFEtpFvog2ov68c+rUA5NWzD+w6IXd5bv5WYjeoj+NGi9A0lrb+H/mVbHeJCbqkCLwvBmy
Qmn+ATCzVN4hQxYbZ47uo0MLzjyzgCcXfl2n0H+t7gTHKTpCXFzspkiT1e8rM9vdWl7yRQ+hDkL3
frst8L4jriIzort0Zoky0R+9wvceuyCo33mlzcyx4zeLtNp67lTgbI/tiB/Itvswt5fo1mBP0tSA
kghxEMeRl0Om8gwbXfVCpHH7Js0L49ZCEgjH5B3Mu6nFLOBsCp5wr0R0ly/ohKCcm2XiLbpq4Vta
ncvbXeCksyzW0DmuKO6ilGr8iUNgdVFYCfw4c6UH0HUdA8UkH+y1Lrvane7SkHDhrkzqYI5YtnX1
5wq8811deNsbrSwRa0Jr9+O2trbeLAt9pLmx9UYoqDU8SOVt8CZDjHqpuLULg6ry8jVVkgRPFIMu
LEROLlCWoJdRFNh4USRtgxOFZBboUtP11TQQKxuRWdjXdxZkBmxCUAFIAn91qbZld1P4kI7cyqsf
yrBIERXOcxEsm6BpzBl9KtBvnRUEwyurUevk1PXLHB5dpFxu7C5+rwZQLxB7KKHAIsWqbs9KFs9V
zQn/RavS/E2ZJNVpw0F4EW3yHdVv16cwCiXOOPcJbqeQK7VglpBZKBRO7erG0ytkX6PNysT+jpD3
sG0KnKra0LxsAp0wCj8Mi40Uz/R6TntiuaLVJdbfFHYLv7l1UySunNAWBEQN1rGODdmJi/EjHsKe
OIeqAHgdWt1ZXtrBbQ43432ptfm9E6IiVDUdnYwbCJZbG4KwwKdccqw39txIapsy1KrzKcFRyJ4W
Kv6AKMRR0BcM1XXVcU+hQ97OZiZtL2911W7eq1mt0GpTIOUcGKlx4ihGZk+jJDJPYKPRHRzrgZuf
lqzdL3g+N38kUDE/1SbtwrWFTe+Jmlgl2mKYtYSzTRzaaFY5RvwFQbY0mGc++mRncKe+mD6cmXyz
Q7GiC/JiadQNtZA4RimCBqW0nQo7Q8CQ0/mtgrTOQletVQGlRjbkdi0EQzy4ZXdDKQoHX0/Yj/RS
VB9wPoyhmnnd5q0Kn1nFVCgK30agxMUUqVblxlcMZi0EQIK/kdRhU943kMmhG+xvUP83mjWHF5mv
i/Vij3HelJ+z9vZzzo7Jn3pc5N9ex0FU3ME7LYKi/d1/9OMP+sfnX0JXTVWnjeYZPHz+Ufsf86PP
CNf85vLxM5I1yNzYIKu6NL8LY3zR+z9XbIxPuEvBhTKkJxUw58tpfv6q77z/j1+tH8gf/5sf/fR+
ZM4f//VPmyLv0LfXJqC3qBtgGbd/gDmOBqGXPND/rrf/FJdRIZcf7SqvQHJdoqO/MvVHn/B16g2X
njAuE0gY9S9/tAJcd6JqaDhIXGX/9F/4Yn/8tx3w49n9360AtFT4zb8yCOvHXRDNCZdZ8Klgjp/X
v6FPbAvknia311PvUHYQ4Am6Snlh/4xt/aNHynId9vYCA3HXURH46N+RDfVy/bsIWlH+A48HTpDP
37UNjubvaxAAQ+5/U48JP8el3wiBSJXQBQGESRvL/jlaCZqGMIolTC6NgOQ8/aiPaB/gvEa75LCV
YE9owAT109z9O8qXfLkSsNuYcMMCeBa9SWH/hSMaBO6YspQwaBSEOaHznrk2DvvhaClY7oQan4YF
81hDItJzQLaDBsFwJsQEE8Fx/ftLQTVRSwcmtvrgO6Y1wC/+xWPxKKK8OhEsrLAd4XK8yOdoJzgG
ooGcmQJcav+MbhQcxxh8MHD209dtIcrQx0S2+8twYJsT5BItYWicH/IZ38GARM7Q5FjHFsA1pc10
/5Iyyr4cBcwBpWgI5VI0+eUzuqWAQJ82NEXiimA4lKGAavphOEoS6AVAOIwKDBWqfegZUUDQBRX2
gfFQGBOID6x2KWe2f16vAvzlJyRImkpQHN3786MGz78+4eCXhBlJAeE5mn+b9EjlJgEsPrbXp/b/
jUHo/tLyG+mhUCcaS5/j7nDmHwcBd8LXWIbpfA2VnL+j2gS6lJYdlBQwCvCNEMTZ84C+XQSEQv6G
zmzx9TI5rlFgkpyhBwJXZhJkF5Hfr2f/qwPBmkiVRIhSh9RpdAFRCiAPXQsGAVEFFdC1Q4ZEhHk1
Ciq3StIjLk77eOH2GemYdgS/bGiazLHoYFrowgPp3/IoLDrmxDZU9C/lipHP6EaB++4hZP/1yzOS
11yG0A2FqvKUAr1cC64UHlJVeMmHvx/dKBzYpsOiIxkQMCnUlMMR+e0ZYcPn4J4+2kQRnuHQRImL
I1w7G5mowxlwdHNyHRJJIEVAx35HjC9f4OY3ODraEzgGumOZB+Dw27igOzaMZGnkJZ/RnRHwUp2h
SaOhov/L8WA9351enxGuxhmhOaBuhx0zOnCZhE4M3RGw0IWmgbE7HAPyOcKT+quDXHScyvLpv3BM
JyVGdv02/etnhASU2BLs+tdrwLbIGdGcey4w9ItuTG9PtjQ0ZxQWmKKL4h04+9McvzohxQTo0gCt
6L9pVK9PhXHgxUEWWOiysJ9vR0eLwAFXNi30w/VDyjy+BAGacx+jB2wB5BLRNKSJ+7AIGNaXi4Bq
k4EmokTYnxfJuK5PyGsP3goEAsOyuTsdop1cXC9HQZabOBghtx9S5tEdjTqTOPhoBD5H2ZukuZ/q
Y4DZJYGgd0lVKXD3z9hgFclGZxsPS5lp0KLsDqDw/YuDphIYBGuOPofRvT/Z3eD3h3pANY2+9b6o
+M1ecCfkT3R3P1ETRhcXAZWMwXHRlfa6goLb97FFrI84HlDCwA/z6fAcWVyUd/yhe8HARwOgGheq
PiQcASogrLS10OcIBLt/xpcpSBLF0FEAR9YdbsmHktJ3cGaTfidcuQ7Xx/Gli+giDV4LwM0GE01v
1/NcvzwjbaAGkimdLsX+GV905GY7OGsUE+BFMgFxiI5HOwKN6InGIUlCNb4rk0HBcOhe0Kk5uTQV
PwHJR+9P/ZWcWSVmHIoSIzwdLG3oKGCxbhqytevpdDi6PtuUXhwOB2nbvn/GOAqyH3RopkSyaLDS
D0zMoxsUcYJivGQwPYWE/ReO6R7JBa8P1n/9BkUBynHhJx3uT9/QMmwbQXoHAfkXBapxZQqy9AIW
OGwtEBcNNj3pQB/9j3aEXAvkZeANh+N4RKvAYAAG54saSx1FB2pL/Y4nxLw8HeGsGsRMVsFX8HVk
q0DAqh64CihDGhTkyQgP+eLRPXrPWLQBV3VrdBEREoWk2g7bBZyO1NO4Gx3ujsfvr3KFNjWuFerh
WjG2iIh53OB82eAlNbTKgFT6WHBUaLCdiQyXpuwg3z+jy5dp1h5MzwBTgr4Nwg6QvH+OIqKjwluF
l+AiErR/fmMUfiF40hEi/9Wn8PM6+/d/AAAA//8=</cx:binary>
              </cx:geoCache>
            </cx:geography>
          </cx:layoutPr>
          <cx:valueColors>
            <cx:minColor>
              <a:schemeClr val="accent2"/>
            </cx:minColor>
            <cx:midColor>
              <a:schemeClr val="bg1"/>
            </cx:midColor>
            <cx:maxColor>
              <a:schemeClr val="accent6">
                <a:lumMod val="75000"/>
              </a:schemeClr>
            </cx:maxColor>
          </cx:valueColors>
          <cx:valueColorPositions count="3">
            <cx:midPosition>
              <cx:number val="0"/>
            </cx:midPosition>
          </cx:valueColorPositions>
        </cx:series>
      </cx:plotAreaRegion>
    </cx:plotArea>
    <cx:legend pos="r" align="min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tx1"/>
              </a:solidFill>
            </a:defRPr>
          </a:pPr>
          <a:endParaRPr lang="en-US" sz="900" b="0" i="0" u="none" strike="noStrike" baseline="0">
            <a:solidFill>
              <a:schemeClr val="tx1"/>
            </a:solidFill>
            <a:latin typeface="Aptos Narrow" panose="02110004020202020204"/>
          </a:endParaRPr>
        </a:p>
      </cx:txPr>
    </cx:legend>
  </cx:chart>
  <cx:spPr>
    <a:noFill/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hyperlink" Target="#Data_Prep!A1"/><Relationship Id="rId3" Type="http://schemas.openxmlformats.org/officeDocument/2006/relationships/chart" Target="../charts/chart3.xml"/><Relationship Id="rId7" Type="http://schemas.openxmlformats.org/officeDocument/2006/relationships/hyperlink" Target="#'Raw_Data'!A1"/><Relationship Id="rId2" Type="http://schemas.openxmlformats.org/officeDocument/2006/relationships/chart" Target="../charts/chart2.xml"/><Relationship Id="rId1" Type="http://schemas.openxmlformats.org/officeDocument/2006/relationships/image" Target="../media/image1.png"/><Relationship Id="rId6" Type="http://schemas.microsoft.com/office/2014/relationships/chartEx" Target="../charts/chartEx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1179407</xdr:colOff>
      <xdr:row>14</xdr:row>
      <xdr:rowOff>140970</xdr:rowOff>
    </xdr:from>
    <xdr:to>
      <xdr:col>7</xdr:col>
      <xdr:colOff>1196340</xdr:colOff>
      <xdr:row>28</xdr:row>
      <xdr:rowOff>164254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24E0436-D5F9-3383-C702-7FD801DEEC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342900</xdr:colOff>
      <xdr:row>0</xdr:row>
      <xdr:rowOff>83820</xdr:rowOff>
    </xdr:from>
    <xdr:to>
      <xdr:col>17</xdr:col>
      <xdr:colOff>60960</xdr:colOff>
      <xdr:row>3</xdr:row>
      <xdr:rowOff>76200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8C33DD16-9A84-9D60-C986-1CC8844C45FF}"/>
            </a:ext>
          </a:extLst>
        </xdr:cNvPr>
        <xdr:cNvSpPr/>
      </xdr:nvSpPr>
      <xdr:spPr>
        <a:xfrm>
          <a:off x="3558540" y="83820"/>
          <a:ext cx="7033260" cy="54102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n-IN" sz="2100"/>
        </a:p>
      </xdr:txBody>
    </xdr:sp>
    <xdr:clientData/>
  </xdr:twoCellAnchor>
  <xdr:twoCellAnchor editAs="absolute">
    <xdr:from>
      <xdr:col>3</xdr:col>
      <xdr:colOff>1693</xdr:colOff>
      <xdr:row>4</xdr:row>
      <xdr:rowOff>167216</xdr:rowOff>
    </xdr:from>
    <xdr:to>
      <xdr:col>3</xdr:col>
      <xdr:colOff>1540087</xdr:colOff>
      <xdr:row>8</xdr:row>
      <xdr:rowOff>3810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FF178F60-57B8-F119-7AE3-C7DFF7490788}"/>
            </a:ext>
          </a:extLst>
        </xdr:cNvPr>
        <xdr:cNvSpPr/>
      </xdr:nvSpPr>
      <xdr:spPr>
        <a:xfrm>
          <a:off x="2753360" y="912283"/>
          <a:ext cx="1538394" cy="420794"/>
        </a:xfrm>
        <a:prstGeom prst="rect">
          <a:avLst/>
        </a:prstGeom>
        <a:solidFill>
          <a:schemeClr val="tx2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2</xdr:col>
      <xdr:colOff>1273387</xdr:colOff>
      <xdr:row>5</xdr:row>
      <xdr:rowOff>53340</xdr:rowOff>
    </xdr:from>
    <xdr:to>
      <xdr:col>4</xdr:col>
      <xdr:colOff>130387</xdr:colOff>
      <xdr:row>6</xdr:row>
      <xdr:rowOff>143087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58F43FAF-A2A8-7D6C-2C2A-640EFC38AE44}"/>
            </a:ext>
          </a:extLst>
        </xdr:cNvPr>
        <xdr:cNvSpPr txBox="1"/>
      </xdr:nvSpPr>
      <xdr:spPr>
        <a:xfrm>
          <a:off x="2661920" y="984673"/>
          <a:ext cx="1761067" cy="27601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400" b="1">
              <a:solidFill>
                <a:schemeClr val="bg1"/>
              </a:solidFill>
              <a:latin typeface="Book Antiqua" panose="02040602050305030304" pitchFamily="18" charset="0"/>
            </a:rPr>
            <a:t>Industry</a:t>
          </a:r>
          <a:r>
            <a:rPr lang="en-IN" sz="1400" b="1" baseline="0">
              <a:solidFill>
                <a:schemeClr val="bg1"/>
              </a:solidFill>
              <a:latin typeface="Book Antiqua" panose="02040602050305030304" pitchFamily="18" charset="0"/>
            </a:rPr>
            <a:t> Filter</a:t>
          </a:r>
          <a:endParaRPr lang="en-IN" sz="1400" b="1">
            <a:solidFill>
              <a:schemeClr val="bg1"/>
            </a:solidFill>
            <a:latin typeface="Book Antiqua" panose="02040602050305030304" pitchFamily="18" charset="0"/>
          </a:endParaRPr>
        </a:p>
      </xdr:txBody>
    </xdr:sp>
    <xdr:clientData/>
  </xdr:twoCellAnchor>
  <xdr:twoCellAnchor editAs="absolute">
    <xdr:from>
      <xdr:col>2</xdr:col>
      <xdr:colOff>365760</xdr:colOff>
      <xdr:row>0</xdr:row>
      <xdr:rowOff>13547</xdr:rowOff>
    </xdr:from>
    <xdr:to>
      <xdr:col>14</xdr:col>
      <xdr:colOff>50800</xdr:colOff>
      <xdr:row>4</xdr:row>
      <xdr:rowOff>104987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59D245EC-3065-AB37-42CD-6C0FA690FFAC}"/>
            </a:ext>
          </a:extLst>
        </xdr:cNvPr>
        <xdr:cNvSpPr/>
      </xdr:nvSpPr>
      <xdr:spPr>
        <a:xfrm>
          <a:off x="1754293" y="13547"/>
          <a:ext cx="12258040" cy="836507"/>
        </a:xfrm>
        <a:prstGeom prst="rect">
          <a:avLst/>
        </a:prstGeom>
        <a:solidFill>
          <a:schemeClr val="tx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2300" b="1">
              <a:latin typeface="Book Antiqua" panose="02040602050305030304" pitchFamily="18" charset="0"/>
            </a:rPr>
            <a:t>What do </a:t>
          </a:r>
          <a:r>
            <a:rPr lang="en-IN" sz="2300" b="1">
              <a:solidFill>
                <a:schemeClr val="accent2"/>
              </a:solidFill>
              <a:latin typeface="Book Antiqua" panose="02040602050305030304" pitchFamily="18" charset="0"/>
            </a:rPr>
            <a:t>Wage</a:t>
          </a:r>
          <a:r>
            <a:rPr lang="en-IN" sz="2300" b="1">
              <a:latin typeface="Book Antiqua" panose="02040602050305030304" pitchFamily="18" charset="0"/>
            </a:rPr>
            <a:t> and</a:t>
          </a:r>
          <a:r>
            <a:rPr lang="en-IN" sz="2300" b="1" baseline="0">
              <a:latin typeface="Book Antiqua" panose="02040602050305030304" pitchFamily="18" charset="0"/>
            </a:rPr>
            <a:t> </a:t>
          </a:r>
          <a:r>
            <a:rPr lang="en-IN" sz="2300" b="1" baseline="0">
              <a:solidFill>
                <a:schemeClr val="accent6"/>
              </a:solidFill>
              <a:latin typeface="Book Antiqua" panose="02040602050305030304" pitchFamily="18" charset="0"/>
            </a:rPr>
            <a:t>Employment</a:t>
          </a:r>
          <a:r>
            <a:rPr lang="en-IN" sz="2300" b="1" baseline="0">
              <a:latin typeface="Book Antiqua" panose="02040602050305030304" pitchFamily="18" charset="0"/>
            </a:rPr>
            <a:t> figure look like in Industry?</a:t>
          </a:r>
        </a:p>
        <a:p>
          <a:pPr algn="l"/>
          <a:endParaRPr lang="en-IN" sz="1100" b="1">
            <a:solidFill>
              <a:schemeClr val="lt1"/>
            </a:solidFill>
            <a:latin typeface="Book Antiqua" panose="02040602050305030304" pitchFamily="18" charset="0"/>
          </a:endParaRPr>
        </a:p>
        <a:p>
          <a:pPr algn="l"/>
          <a:r>
            <a:rPr lang="en-IN" sz="1100" b="1" i="1">
              <a:solidFill>
                <a:schemeClr val="bg1">
                  <a:lumMod val="85000"/>
                </a:schemeClr>
              </a:solidFill>
              <a:latin typeface="+mn-lt"/>
            </a:rPr>
            <a:t>Figures in</a:t>
          </a:r>
          <a:r>
            <a:rPr lang="en-IN" sz="1100" b="1" i="1" baseline="0">
              <a:solidFill>
                <a:schemeClr val="bg1">
                  <a:lumMod val="85000"/>
                </a:schemeClr>
              </a:solidFill>
              <a:latin typeface="+mn-lt"/>
            </a:rPr>
            <a:t> Dollar </a:t>
          </a:r>
          <a:endParaRPr lang="en-IN" sz="1100" b="1" i="1">
            <a:solidFill>
              <a:schemeClr val="bg1">
                <a:lumMod val="85000"/>
              </a:schemeClr>
            </a:solidFill>
            <a:latin typeface="+mn-lt"/>
          </a:endParaRPr>
        </a:p>
      </xdr:txBody>
    </xdr:sp>
    <xdr:clientData/>
  </xdr:twoCellAnchor>
  <xdr:twoCellAnchor editAs="absolute">
    <xdr:from>
      <xdr:col>5</xdr:col>
      <xdr:colOff>0</xdr:colOff>
      <xdr:row>4</xdr:row>
      <xdr:rowOff>167216</xdr:rowOff>
    </xdr:from>
    <xdr:to>
      <xdr:col>6</xdr:col>
      <xdr:colOff>1693</xdr:colOff>
      <xdr:row>8</xdr:row>
      <xdr:rowOff>3810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82B383D2-1BC3-EBA8-072F-F2600B954406}"/>
            </a:ext>
          </a:extLst>
        </xdr:cNvPr>
        <xdr:cNvSpPr/>
      </xdr:nvSpPr>
      <xdr:spPr>
        <a:xfrm>
          <a:off x="5715000" y="912283"/>
          <a:ext cx="1737360" cy="420794"/>
        </a:xfrm>
        <a:prstGeom prst="rect">
          <a:avLst/>
        </a:prstGeom>
        <a:solidFill>
          <a:schemeClr val="tx2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4</xdr:col>
      <xdr:colOff>1334347</xdr:colOff>
      <xdr:row>5</xdr:row>
      <xdr:rowOff>53340</xdr:rowOff>
    </xdr:from>
    <xdr:to>
      <xdr:col>5</xdr:col>
      <xdr:colOff>1721064</xdr:colOff>
      <xdr:row>6</xdr:row>
      <xdr:rowOff>143087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0A907EC5-987D-4C7A-3354-0DB84A869F85}"/>
            </a:ext>
          </a:extLst>
        </xdr:cNvPr>
        <xdr:cNvSpPr txBox="1"/>
      </xdr:nvSpPr>
      <xdr:spPr>
        <a:xfrm>
          <a:off x="5626947" y="984673"/>
          <a:ext cx="1809117" cy="27601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400" b="1">
              <a:solidFill>
                <a:schemeClr val="bg1"/>
              </a:solidFill>
              <a:latin typeface="Book Antiqua" panose="02040602050305030304" pitchFamily="18" charset="0"/>
            </a:rPr>
            <a:t>Current Year</a:t>
          </a:r>
        </a:p>
      </xdr:txBody>
    </xdr:sp>
    <xdr:clientData/>
  </xdr:twoCellAnchor>
  <xdr:twoCellAnchor editAs="absolute">
    <xdr:from>
      <xdr:col>7</xdr:col>
      <xdr:colOff>0</xdr:colOff>
      <xdr:row>4</xdr:row>
      <xdr:rowOff>174836</xdr:rowOff>
    </xdr:from>
    <xdr:to>
      <xdr:col>8</xdr:col>
      <xdr:colOff>1694</xdr:colOff>
      <xdr:row>9</xdr:row>
      <xdr:rowOff>2964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F546E898-73D8-4C93-1056-D7CA21FD76C3}"/>
            </a:ext>
          </a:extLst>
        </xdr:cNvPr>
        <xdr:cNvSpPr/>
      </xdr:nvSpPr>
      <xdr:spPr>
        <a:xfrm>
          <a:off x="8568267" y="919903"/>
          <a:ext cx="1737360" cy="420794"/>
        </a:xfrm>
        <a:prstGeom prst="rect">
          <a:avLst/>
        </a:prstGeom>
        <a:solidFill>
          <a:schemeClr val="tx2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6</xdr:col>
      <xdr:colOff>1021927</xdr:colOff>
      <xdr:row>5</xdr:row>
      <xdr:rowOff>60960</xdr:rowOff>
    </xdr:from>
    <xdr:to>
      <xdr:col>7</xdr:col>
      <xdr:colOff>1721064</xdr:colOff>
      <xdr:row>6</xdr:row>
      <xdr:rowOff>150707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B3E74DB5-C449-4419-2E28-24841BC5BDDC}"/>
            </a:ext>
          </a:extLst>
        </xdr:cNvPr>
        <xdr:cNvSpPr txBox="1"/>
      </xdr:nvSpPr>
      <xdr:spPr>
        <a:xfrm>
          <a:off x="8472594" y="992293"/>
          <a:ext cx="1816737" cy="27601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400" b="1">
              <a:solidFill>
                <a:schemeClr val="bg1"/>
              </a:solidFill>
              <a:latin typeface="Book Antiqua" panose="02040602050305030304" pitchFamily="18" charset="0"/>
            </a:rPr>
            <a:t>Metric</a:t>
          </a:r>
        </a:p>
      </xdr:txBody>
    </xdr:sp>
    <xdr:clientData/>
  </xdr:twoCellAnchor>
  <xdr:twoCellAnchor editAs="absolute">
    <xdr:from>
      <xdr:col>0</xdr:col>
      <xdr:colOff>0</xdr:colOff>
      <xdr:row>4</xdr:row>
      <xdr:rowOff>114300</xdr:rowOff>
    </xdr:from>
    <xdr:to>
      <xdr:col>2</xdr:col>
      <xdr:colOff>335280</xdr:colOff>
      <xdr:row>31</xdr:row>
      <xdr:rowOff>176954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EB100EC1-7E0E-00C1-F374-D412BDC1A34F}"/>
            </a:ext>
          </a:extLst>
        </xdr:cNvPr>
        <xdr:cNvSpPr/>
      </xdr:nvSpPr>
      <xdr:spPr>
        <a:xfrm>
          <a:off x="0" y="845820"/>
          <a:ext cx="1722120" cy="4686300"/>
        </a:xfrm>
        <a:prstGeom prst="rect">
          <a:avLst/>
        </a:prstGeom>
        <a:solidFill>
          <a:schemeClr val="tx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 editAs="oneCell">
    <xdr:from>
      <xdr:col>0</xdr:col>
      <xdr:colOff>373381</xdr:colOff>
      <xdr:row>1</xdr:row>
      <xdr:rowOff>15240</xdr:rowOff>
    </xdr:from>
    <xdr:to>
      <xdr:col>2</xdr:col>
      <xdr:colOff>266701</xdr:colOff>
      <xdr:row>3</xdr:row>
      <xdr:rowOff>143369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DCB4CEF2-7DB3-65A3-4865-DBA5B1494B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3381" y="198120"/>
          <a:ext cx="1280160" cy="493889"/>
        </a:xfrm>
        <a:prstGeom prst="rect">
          <a:avLst/>
        </a:prstGeom>
      </xdr:spPr>
    </xdr:pic>
    <xdr:clientData/>
  </xdr:twoCellAnchor>
  <xdr:twoCellAnchor editAs="absolute">
    <xdr:from>
      <xdr:col>2</xdr:col>
      <xdr:colOff>594360</xdr:colOff>
      <xdr:row>10</xdr:row>
      <xdr:rowOff>103294</xdr:rowOff>
    </xdr:from>
    <xdr:to>
      <xdr:col>4</xdr:col>
      <xdr:colOff>937260</xdr:colOff>
      <xdr:row>22</xdr:row>
      <xdr:rowOff>42334</xdr:rowOff>
    </xdr:to>
    <xdr:sp macro="" textlink="">
      <xdr:nvSpPr>
        <xdr:cNvPr id="23" name="Rectangle: Rounded Corners 22">
          <a:extLst>
            <a:ext uri="{FF2B5EF4-FFF2-40B4-BE49-F238E27FC236}">
              <a16:creationId xmlns:a16="http://schemas.microsoft.com/office/drawing/2014/main" id="{9625B3C6-4356-B4B8-B9A7-EF51E6EFF662}"/>
            </a:ext>
          </a:extLst>
        </xdr:cNvPr>
        <xdr:cNvSpPr/>
      </xdr:nvSpPr>
      <xdr:spPr>
        <a:xfrm>
          <a:off x="1982893" y="1644227"/>
          <a:ext cx="3246967" cy="2174240"/>
        </a:xfrm>
        <a:prstGeom prst="roundRect">
          <a:avLst/>
        </a:prstGeom>
        <a:solidFill>
          <a:schemeClr val="bg1">
            <a:lumMod val="95000"/>
          </a:schemeClr>
        </a:solidFill>
        <a:ln>
          <a:noFill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 editAs="absolute">
    <xdr:from>
      <xdr:col>4</xdr:col>
      <xdr:colOff>1158240</xdr:colOff>
      <xdr:row>10</xdr:row>
      <xdr:rowOff>126154</xdr:rowOff>
    </xdr:from>
    <xdr:to>
      <xdr:col>6</xdr:col>
      <xdr:colOff>411480</xdr:colOff>
      <xdr:row>17</xdr:row>
      <xdr:rowOff>72813</xdr:rowOff>
    </xdr:to>
    <xdr:sp macro="" textlink="">
      <xdr:nvSpPr>
        <xdr:cNvPr id="24" name="Rectangle: Rounded Corners 23">
          <a:extLst>
            <a:ext uri="{FF2B5EF4-FFF2-40B4-BE49-F238E27FC236}">
              <a16:creationId xmlns:a16="http://schemas.microsoft.com/office/drawing/2014/main" id="{EB05CEC8-6270-B960-D56D-98023BA20F74}"/>
            </a:ext>
          </a:extLst>
        </xdr:cNvPr>
        <xdr:cNvSpPr/>
      </xdr:nvSpPr>
      <xdr:spPr>
        <a:xfrm>
          <a:off x="5450840" y="1667087"/>
          <a:ext cx="2411307" cy="1250526"/>
        </a:xfrm>
        <a:prstGeom prst="roundRect">
          <a:avLst/>
        </a:prstGeom>
        <a:solidFill>
          <a:schemeClr val="bg1">
            <a:lumMod val="95000"/>
          </a:schemeClr>
        </a:solidFill>
        <a:ln>
          <a:noFill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 editAs="absolute">
    <xdr:from>
      <xdr:col>2</xdr:col>
      <xdr:colOff>586740</xdr:colOff>
      <xdr:row>10</xdr:row>
      <xdr:rowOff>4234</xdr:rowOff>
    </xdr:from>
    <xdr:to>
      <xdr:col>4</xdr:col>
      <xdr:colOff>1028700</xdr:colOff>
      <xdr:row>22</xdr:row>
      <xdr:rowOff>57574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D81D643F-CAEA-4AA8-8696-F5FA2CC4C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4</xdr:col>
      <xdr:colOff>1074420</xdr:colOff>
      <xdr:row>10</xdr:row>
      <xdr:rowOff>141394</xdr:rowOff>
    </xdr:from>
    <xdr:to>
      <xdr:col>6</xdr:col>
      <xdr:colOff>434340</xdr:colOff>
      <xdr:row>18</xdr:row>
      <xdr:rowOff>72813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6001EE4F-21A1-4379-B1F2-72457D0D90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6</xdr:col>
      <xdr:colOff>678180</xdr:colOff>
      <xdr:row>10</xdr:row>
      <xdr:rowOff>95674</xdr:rowOff>
    </xdr:from>
    <xdr:to>
      <xdr:col>8</xdr:col>
      <xdr:colOff>548640</xdr:colOff>
      <xdr:row>21</xdr:row>
      <xdr:rowOff>152400</xdr:rowOff>
    </xdr:to>
    <xdr:sp macro="" textlink="">
      <xdr:nvSpPr>
        <xdr:cNvPr id="27" name="Rectangle: Rounded Corners 26">
          <a:extLst>
            <a:ext uri="{FF2B5EF4-FFF2-40B4-BE49-F238E27FC236}">
              <a16:creationId xmlns:a16="http://schemas.microsoft.com/office/drawing/2014/main" id="{6DC3F114-097D-B831-44B6-D1AB96F1063B}"/>
            </a:ext>
          </a:extLst>
        </xdr:cNvPr>
        <xdr:cNvSpPr/>
      </xdr:nvSpPr>
      <xdr:spPr>
        <a:xfrm>
          <a:off x="8128847" y="1636607"/>
          <a:ext cx="2723726" cy="2105660"/>
        </a:xfrm>
        <a:prstGeom prst="roundRect">
          <a:avLst/>
        </a:prstGeom>
        <a:solidFill>
          <a:schemeClr val="bg1">
            <a:lumMod val="95000"/>
          </a:schemeClr>
        </a:solidFill>
        <a:ln>
          <a:noFill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 editAs="absolute">
    <xdr:from>
      <xdr:col>4</xdr:col>
      <xdr:colOff>1181947</xdr:colOff>
      <xdr:row>18</xdr:row>
      <xdr:rowOff>11007</xdr:rowOff>
    </xdr:from>
    <xdr:to>
      <xdr:col>6</xdr:col>
      <xdr:colOff>465667</xdr:colOff>
      <xdr:row>31</xdr:row>
      <xdr:rowOff>143935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FDA46D29-49E3-3B55-C5A6-0D76DA453FB3}"/>
            </a:ext>
          </a:extLst>
        </xdr:cNvPr>
        <xdr:cNvSpPr/>
      </xdr:nvSpPr>
      <xdr:spPr>
        <a:xfrm>
          <a:off x="5474547" y="3042074"/>
          <a:ext cx="2441787" cy="2554394"/>
        </a:xfrm>
        <a:prstGeom prst="roundRect">
          <a:avLst/>
        </a:prstGeom>
        <a:solidFill>
          <a:schemeClr val="bg1">
            <a:lumMod val="95000"/>
          </a:schemeClr>
        </a:solidFill>
        <a:ln>
          <a:noFill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 editAs="absolute">
    <xdr:from>
      <xdr:col>4</xdr:col>
      <xdr:colOff>1067647</xdr:colOff>
      <xdr:row>17</xdr:row>
      <xdr:rowOff>151553</xdr:rowOff>
    </xdr:from>
    <xdr:to>
      <xdr:col>6</xdr:col>
      <xdr:colOff>358987</xdr:colOff>
      <xdr:row>26</xdr:row>
      <xdr:rowOff>132926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52F25B4-9059-486C-906B-540A2BD05E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absolute">
    <xdr:from>
      <xdr:col>4</xdr:col>
      <xdr:colOff>1166707</xdr:colOff>
      <xdr:row>24</xdr:row>
      <xdr:rowOff>59267</xdr:rowOff>
    </xdr:from>
    <xdr:to>
      <xdr:col>6</xdr:col>
      <xdr:colOff>404707</xdr:colOff>
      <xdr:row>31</xdr:row>
      <xdr:rowOff>101601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1CE18A4-85FE-41C8-857B-EBDC736D06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absolute">
    <xdr:from>
      <xdr:col>6</xdr:col>
      <xdr:colOff>685800</xdr:colOff>
      <xdr:row>10</xdr:row>
      <xdr:rowOff>110914</xdr:rowOff>
    </xdr:from>
    <xdr:to>
      <xdr:col>9</xdr:col>
      <xdr:colOff>0</xdr:colOff>
      <xdr:row>21</xdr:row>
      <xdr:rowOff>57573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0" name="Chart 9">
              <a:extLst>
                <a:ext uri="{FF2B5EF4-FFF2-40B4-BE49-F238E27FC236}">
                  <a16:creationId xmlns:a16="http://schemas.microsoft.com/office/drawing/2014/main" id="{2DA56BEB-B3A6-4A57-81B2-7A6D062539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36467" y="1651847"/>
              <a:ext cx="2777066" cy="199559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88901</xdr:colOff>
      <xdr:row>5</xdr:row>
      <xdr:rowOff>84667</xdr:rowOff>
    </xdr:from>
    <xdr:to>
      <xdr:col>2</xdr:col>
      <xdr:colOff>266701</xdr:colOff>
      <xdr:row>9</xdr:row>
      <xdr:rowOff>135467</xdr:rowOff>
    </xdr:to>
    <xdr:sp macro="" textlink="">
      <xdr:nvSpPr>
        <xdr:cNvPr id="11" name="Rectangle: Rounded Corners 10">
          <a:extLst>
            <a:ext uri="{FF2B5EF4-FFF2-40B4-BE49-F238E27FC236}">
              <a16:creationId xmlns:a16="http://schemas.microsoft.com/office/drawing/2014/main" id="{CBEBD266-79E4-5A46-CAB8-F58912B387F7}"/>
            </a:ext>
          </a:extLst>
        </xdr:cNvPr>
        <xdr:cNvSpPr/>
      </xdr:nvSpPr>
      <xdr:spPr>
        <a:xfrm>
          <a:off x="88901" y="1016000"/>
          <a:ext cx="1566333" cy="457200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143934</xdr:colOff>
      <xdr:row>5</xdr:row>
      <xdr:rowOff>143934</xdr:rowOff>
    </xdr:from>
    <xdr:to>
      <xdr:col>2</xdr:col>
      <xdr:colOff>237067</xdr:colOff>
      <xdr:row>9</xdr:row>
      <xdr:rowOff>67734</xdr:rowOff>
    </xdr:to>
    <xdr:sp macro="" textlink="">
      <xdr:nvSpPr>
        <xdr:cNvPr id="13" name="TextBox 12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C470BE02-D856-40EA-539B-89B97731F14D}"/>
            </a:ext>
          </a:extLst>
        </xdr:cNvPr>
        <xdr:cNvSpPr txBox="1"/>
      </xdr:nvSpPr>
      <xdr:spPr>
        <a:xfrm>
          <a:off x="143934" y="1075267"/>
          <a:ext cx="1481666" cy="3302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600" b="1">
              <a:solidFill>
                <a:schemeClr val="tx2"/>
              </a:solidFill>
              <a:latin typeface="Book Antiqua" panose="02040602050305030304" pitchFamily="18" charset="0"/>
            </a:rPr>
            <a:t>Raw Data</a:t>
          </a:r>
        </a:p>
      </xdr:txBody>
    </xdr:sp>
    <xdr:clientData/>
  </xdr:twoCellAnchor>
  <xdr:twoCellAnchor>
    <xdr:from>
      <xdr:col>0</xdr:col>
      <xdr:colOff>88901</xdr:colOff>
      <xdr:row>10</xdr:row>
      <xdr:rowOff>76201</xdr:rowOff>
    </xdr:from>
    <xdr:to>
      <xdr:col>2</xdr:col>
      <xdr:colOff>266701</xdr:colOff>
      <xdr:row>12</xdr:row>
      <xdr:rowOff>160867</xdr:rowOff>
    </xdr:to>
    <xdr:sp macro="" textlink="">
      <xdr:nvSpPr>
        <xdr:cNvPr id="14" name="Rectangle: Rounded Corners 13">
          <a:extLst>
            <a:ext uri="{FF2B5EF4-FFF2-40B4-BE49-F238E27FC236}">
              <a16:creationId xmlns:a16="http://schemas.microsoft.com/office/drawing/2014/main" id="{55BFD618-17D9-1066-1EA7-915DC22C9365}"/>
            </a:ext>
          </a:extLst>
        </xdr:cNvPr>
        <xdr:cNvSpPr/>
      </xdr:nvSpPr>
      <xdr:spPr>
        <a:xfrm>
          <a:off x="88901" y="1617134"/>
          <a:ext cx="1566333" cy="457200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143934</xdr:colOff>
      <xdr:row>10</xdr:row>
      <xdr:rowOff>135468</xdr:rowOff>
    </xdr:from>
    <xdr:to>
      <xdr:col>2</xdr:col>
      <xdr:colOff>237067</xdr:colOff>
      <xdr:row>12</xdr:row>
      <xdr:rowOff>93134</xdr:rowOff>
    </xdr:to>
    <xdr:sp macro="" textlink="">
      <xdr:nvSpPr>
        <xdr:cNvPr id="15" name="TextBox 14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3047E9E0-F231-9DC1-639A-6D9175DB6352}"/>
            </a:ext>
          </a:extLst>
        </xdr:cNvPr>
        <xdr:cNvSpPr txBox="1"/>
      </xdr:nvSpPr>
      <xdr:spPr>
        <a:xfrm>
          <a:off x="143934" y="1676401"/>
          <a:ext cx="1481666" cy="3302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600" b="1">
              <a:solidFill>
                <a:schemeClr val="tx2"/>
              </a:solidFill>
              <a:latin typeface="Book Antiqua" panose="02040602050305030304" pitchFamily="18" charset="0"/>
            </a:rPr>
            <a:t>Data</a:t>
          </a:r>
          <a:r>
            <a:rPr lang="en-IN" sz="1600" b="1" baseline="0">
              <a:solidFill>
                <a:schemeClr val="tx2"/>
              </a:solidFill>
              <a:latin typeface="Book Antiqua" panose="02040602050305030304" pitchFamily="18" charset="0"/>
            </a:rPr>
            <a:t> Prep</a:t>
          </a:r>
          <a:endParaRPr lang="en-IN" sz="1600" b="1">
            <a:solidFill>
              <a:schemeClr val="tx2"/>
            </a:solidFill>
            <a:latin typeface="Book Antiqua" panose="02040602050305030304" pitchFamily="18" charset="0"/>
          </a:endParaRPr>
        </a:p>
      </xdr:txBody>
    </xdr:sp>
    <xdr:clientData/>
  </xdr:twoCellAnchor>
  <xdr:twoCellAnchor>
    <xdr:from>
      <xdr:col>0</xdr:col>
      <xdr:colOff>88901</xdr:colOff>
      <xdr:row>13</xdr:row>
      <xdr:rowOff>101601</xdr:rowOff>
    </xdr:from>
    <xdr:to>
      <xdr:col>2</xdr:col>
      <xdr:colOff>266701</xdr:colOff>
      <xdr:row>16</xdr:row>
      <xdr:rowOff>1</xdr:rowOff>
    </xdr:to>
    <xdr:sp macro="" textlink="">
      <xdr:nvSpPr>
        <xdr:cNvPr id="21" name="Rectangle: Rounded Corners 20">
          <a:extLst>
            <a:ext uri="{FF2B5EF4-FFF2-40B4-BE49-F238E27FC236}">
              <a16:creationId xmlns:a16="http://schemas.microsoft.com/office/drawing/2014/main" id="{8E5BDE2E-FB6E-06E2-B943-A949882C9ACF}"/>
            </a:ext>
          </a:extLst>
        </xdr:cNvPr>
        <xdr:cNvSpPr/>
      </xdr:nvSpPr>
      <xdr:spPr>
        <a:xfrm>
          <a:off x="88901" y="2201334"/>
          <a:ext cx="1566333" cy="457200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135467</xdr:colOff>
      <xdr:row>13</xdr:row>
      <xdr:rowOff>160868</xdr:rowOff>
    </xdr:from>
    <xdr:to>
      <xdr:col>2</xdr:col>
      <xdr:colOff>228600</xdr:colOff>
      <xdr:row>15</xdr:row>
      <xdr:rowOff>118534</xdr:rowOff>
    </xdr:to>
    <xdr:sp macro="" textlink="Date_Time">
      <xdr:nvSpPr>
        <xdr:cNvPr id="28" name="TextBox 27">
          <a:extLst>
            <a:ext uri="{FF2B5EF4-FFF2-40B4-BE49-F238E27FC236}">
              <a16:creationId xmlns:a16="http://schemas.microsoft.com/office/drawing/2014/main" id="{E90238CE-BD08-8D0F-B273-BD70AE246BF2}"/>
            </a:ext>
          </a:extLst>
        </xdr:cNvPr>
        <xdr:cNvSpPr txBox="1"/>
      </xdr:nvSpPr>
      <xdr:spPr>
        <a:xfrm>
          <a:off x="135467" y="2260601"/>
          <a:ext cx="1481666" cy="3302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A89E739A-A73F-4A0E-BB21-B76892E494A8}" type="TxLink">
            <a:rPr lang="en-US" sz="1400" b="1" i="0" u="none" strike="noStrike">
              <a:solidFill>
                <a:schemeClr val="tx2"/>
              </a:solidFill>
              <a:latin typeface="Aptos Narrow"/>
            </a:rPr>
            <a:t>25-05-2026 05:57</a:t>
          </a:fld>
          <a:endParaRPr lang="en-IN" sz="1400" b="1">
            <a:solidFill>
              <a:schemeClr val="tx2"/>
            </a:solidFill>
            <a:latin typeface="Book Antiqua" panose="02040602050305030304" pitchFamily="18" charset="0"/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F00543E-77E3-4D90-94F8-5013DF5F8F1A}" name="Raw_Data" displayName="Raw_Data" ref="A1:F1919" totalsRowShown="0" headerRowDxfId="9" headerRowBorderDxfId="8" tableBorderDxfId="7" totalsRowBorderDxfId="6">
  <tableColumns count="6">
    <tableColumn id="1" xr3:uid="{0548CA91-FA84-4D4E-9460-205A80DEDFF0}" name="Year" dataDxfId="5"/>
    <tableColumn id="2" xr3:uid="{C2FC60F7-4745-42C4-B10D-7B27CCDEADBC}" name="Industry" dataDxfId="4"/>
    <tableColumn id="3" xr3:uid="{592D842D-F4DC-40C6-9DB9-C17282A4F806}" name="State" dataDxfId="3"/>
    <tableColumn id="4" xr3:uid="{FE174D0E-3F37-4552-A6C2-F5BB69A22809}" name="Establishments" dataDxfId="2"/>
    <tableColumn id="5" xr3:uid="{1DBAF287-7019-4450-92D6-7648492475C8}" name="Employees" dataDxfId="1"/>
    <tableColumn id="6" xr3:uid="{78A3BCFE-D95E-4F54-9F05-15B43FE5D8A8}" name="Avg Annual Wage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555FC-9082-4669-92FD-BE3254A56176}">
  <dimension ref="A1:F1919"/>
  <sheetViews>
    <sheetView tabSelected="1" workbookViewId="0">
      <selection activeCell="D23" sqref="D23"/>
    </sheetView>
  </sheetViews>
  <sheetFormatPr defaultRowHeight="14.4" x14ac:dyDescent="0.3"/>
  <cols>
    <col min="1" max="1" width="7.109375" customWidth="1"/>
    <col min="2" max="2" width="19.33203125" bestFit="1" customWidth="1"/>
    <col min="3" max="3" width="14" bestFit="1" customWidth="1"/>
    <col min="4" max="4" width="17.109375" customWidth="1"/>
    <col min="5" max="5" width="12.88671875" customWidth="1"/>
    <col min="6" max="6" width="18.6640625" customWidth="1"/>
  </cols>
  <sheetData>
    <row r="1" spans="1:6" ht="15.6" x14ac:dyDescent="0.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1" t="s">
        <v>5</v>
      </c>
    </row>
    <row r="2" spans="1:6" x14ac:dyDescent="0.3">
      <c r="A2" s="3">
        <v>2020</v>
      </c>
      <c r="B2" s="1" t="s">
        <v>6</v>
      </c>
      <c r="C2" s="1" t="s">
        <v>7</v>
      </c>
      <c r="D2" s="2">
        <v>1829</v>
      </c>
      <c r="E2" s="2">
        <v>18051</v>
      </c>
      <c r="F2" s="4">
        <v>58872</v>
      </c>
    </row>
    <row r="3" spans="1:6" x14ac:dyDescent="0.3">
      <c r="A3" s="3">
        <v>2020</v>
      </c>
      <c r="B3" s="1" t="s">
        <v>6</v>
      </c>
      <c r="C3" s="1" t="s">
        <v>8</v>
      </c>
      <c r="D3" s="2">
        <v>1354</v>
      </c>
      <c r="E3" s="2">
        <v>35607</v>
      </c>
      <c r="F3" s="4">
        <v>55216</v>
      </c>
    </row>
    <row r="4" spans="1:6" x14ac:dyDescent="0.3">
      <c r="A4" s="3">
        <v>2020</v>
      </c>
      <c r="B4" s="1" t="s">
        <v>6</v>
      </c>
      <c r="C4" s="1" t="s">
        <v>9</v>
      </c>
      <c r="D4" s="2">
        <v>2565</v>
      </c>
      <c r="E4" s="2">
        <v>15961</v>
      </c>
      <c r="F4" s="4">
        <v>49909</v>
      </c>
    </row>
    <row r="5" spans="1:6" x14ac:dyDescent="0.3">
      <c r="A5" s="3">
        <v>2020</v>
      </c>
      <c r="B5" s="1" t="s">
        <v>6</v>
      </c>
      <c r="C5" s="1" t="s">
        <v>10</v>
      </c>
      <c r="D5" s="2">
        <v>17651</v>
      </c>
      <c r="E5" s="2">
        <v>425665</v>
      </c>
      <c r="F5" s="4">
        <v>42534</v>
      </c>
    </row>
    <row r="6" spans="1:6" x14ac:dyDescent="0.3">
      <c r="A6" s="3">
        <v>2020</v>
      </c>
      <c r="B6" s="1" t="s">
        <v>6</v>
      </c>
      <c r="C6" s="1" t="s">
        <v>11</v>
      </c>
      <c r="D6" s="2">
        <v>3312</v>
      </c>
      <c r="E6" s="2">
        <v>41633</v>
      </c>
      <c r="F6" s="4">
        <v>91879</v>
      </c>
    </row>
    <row r="7" spans="1:6" x14ac:dyDescent="0.3">
      <c r="A7" s="3">
        <v>2020</v>
      </c>
      <c r="B7" s="1" t="s">
        <v>6</v>
      </c>
      <c r="C7" s="1" t="s">
        <v>12</v>
      </c>
      <c r="D7" s="1">
        <v>467</v>
      </c>
      <c r="E7" s="2">
        <v>5260</v>
      </c>
      <c r="F7" s="4">
        <v>43142</v>
      </c>
    </row>
    <row r="8" spans="1:6" x14ac:dyDescent="0.3">
      <c r="A8" s="3">
        <v>2020</v>
      </c>
      <c r="B8" s="1" t="s">
        <v>6</v>
      </c>
      <c r="C8" s="1" t="s">
        <v>13</v>
      </c>
      <c r="D8" s="1">
        <v>186</v>
      </c>
      <c r="E8" s="2">
        <v>1317</v>
      </c>
      <c r="F8" s="4">
        <v>43290</v>
      </c>
    </row>
    <row r="9" spans="1:6" x14ac:dyDescent="0.3">
      <c r="A9" s="3">
        <v>2020</v>
      </c>
      <c r="B9" s="1" t="s">
        <v>6</v>
      </c>
      <c r="C9" s="1" t="s">
        <v>14</v>
      </c>
      <c r="D9" s="2">
        <v>5394</v>
      </c>
      <c r="E9" s="2">
        <v>71107</v>
      </c>
      <c r="F9" s="4">
        <v>37717</v>
      </c>
    </row>
    <row r="10" spans="1:6" x14ac:dyDescent="0.3">
      <c r="A10" s="3">
        <v>2020</v>
      </c>
      <c r="B10" s="1" t="s">
        <v>6</v>
      </c>
      <c r="C10" s="1" t="s">
        <v>15</v>
      </c>
      <c r="D10" s="2">
        <v>2794</v>
      </c>
      <c r="E10" s="2">
        <v>29309</v>
      </c>
      <c r="F10" s="4">
        <v>45978</v>
      </c>
    </row>
    <row r="11" spans="1:6" x14ac:dyDescent="0.3">
      <c r="A11" s="3">
        <v>2020</v>
      </c>
      <c r="B11" s="1" t="s">
        <v>6</v>
      </c>
      <c r="C11" s="1" t="s">
        <v>16</v>
      </c>
      <c r="D11" s="2">
        <v>2531</v>
      </c>
      <c r="E11" s="2">
        <v>27020</v>
      </c>
      <c r="F11" s="4">
        <v>42820</v>
      </c>
    </row>
    <row r="12" spans="1:6" x14ac:dyDescent="0.3">
      <c r="A12" s="3">
        <v>2020</v>
      </c>
      <c r="B12" s="1" t="s">
        <v>6</v>
      </c>
      <c r="C12" s="1" t="s">
        <v>17</v>
      </c>
      <c r="D12" s="2">
        <v>2818</v>
      </c>
      <c r="E12" s="2">
        <v>24933</v>
      </c>
      <c r="F12" s="4">
        <v>52259</v>
      </c>
    </row>
    <row r="13" spans="1:6" x14ac:dyDescent="0.3">
      <c r="A13" s="3">
        <v>2020</v>
      </c>
      <c r="B13" s="1" t="s">
        <v>6</v>
      </c>
      <c r="C13" s="1" t="s">
        <v>18</v>
      </c>
      <c r="D13" s="2">
        <v>2302</v>
      </c>
      <c r="E13" s="2">
        <v>20872</v>
      </c>
      <c r="F13" s="4">
        <v>50732</v>
      </c>
    </row>
    <row r="14" spans="1:6" x14ac:dyDescent="0.3">
      <c r="A14" s="3">
        <v>2020</v>
      </c>
      <c r="B14" s="1" t="s">
        <v>6</v>
      </c>
      <c r="C14" s="1" t="s">
        <v>19</v>
      </c>
      <c r="D14" s="2">
        <v>2911</v>
      </c>
      <c r="E14" s="2">
        <v>22868</v>
      </c>
      <c r="F14" s="4">
        <v>45588</v>
      </c>
    </row>
    <row r="15" spans="1:6" x14ac:dyDescent="0.3">
      <c r="A15" s="3">
        <v>2020</v>
      </c>
      <c r="B15" s="1" t="s">
        <v>6</v>
      </c>
      <c r="C15" s="1" t="s">
        <v>20</v>
      </c>
      <c r="D15" s="2">
        <v>2613</v>
      </c>
      <c r="E15" s="2">
        <v>18607</v>
      </c>
      <c r="F15" s="4">
        <v>47721</v>
      </c>
    </row>
    <row r="16" spans="1:6" x14ac:dyDescent="0.3">
      <c r="A16" s="3">
        <v>2020</v>
      </c>
      <c r="B16" s="1" t="s">
        <v>6</v>
      </c>
      <c r="C16" s="1" t="s">
        <v>21</v>
      </c>
      <c r="D16" s="2">
        <v>1632</v>
      </c>
      <c r="E16" s="2">
        <v>16061</v>
      </c>
      <c r="F16" s="4">
        <v>54605</v>
      </c>
    </row>
    <row r="17" spans="1:6" x14ac:dyDescent="0.3">
      <c r="A17" s="3">
        <v>2020</v>
      </c>
      <c r="B17" s="1" t="s">
        <v>6</v>
      </c>
      <c r="C17" s="1" t="s">
        <v>22</v>
      </c>
      <c r="D17" s="2">
        <v>3143</v>
      </c>
      <c r="E17" s="2">
        <v>37751</v>
      </c>
      <c r="F17" s="4">
        <v>86727</v>
      </c>
    </row>
    <row r="18" spans="1:6" x14ac:dyDescent="0.3">
      <c r="A18" s="3">
        <v>2020</v>
      </c>
      <c r="B18" s="1" t="s">
        <v>6</v>
      </c>
      <c r="C18" s="1" t="s">
        <v>23</v>
      </c>
      <c r="D18" s="2">
        <v>1581</v>
      </c>
      <c r="E18" s="2">
        <v>7787</v>
      </c>
      <c r="F18" s="4">
        <v>41422</v>
      </c>
    </row>
    <row r="19" spans="1:6" x14ac:dyDescent="0.3">
      <c r="A19" s="3">
        <v>2020</v>
      </c>
      <c r="B19" s="1" t="s">
        <v>6</v>
      </c>
      <c r="C19" s="1" t="s">
        <v>24</v>
      </c>
      <c r="D19" s="1">
        <v>720</v>
      </c>
      <c r="E19" s="2">
        <v>7112</v>
      </c>
      <c r="F19" s="4">
        <v>46887</v>
      </c>
    </row>
    <row r="20" spans="1:6" x14ac:dyDescent="0.3">
      <c r="A20" s="3">
        <v>2020</v>
      </c>
      <c r="B20" s="1" t="s">
        <v>6</v>
      </c>
      <c r="C20" s="1" t="s">
        <v>25</v>
      </c>
      <c r="D20" s="1">
        <v>999</v>
      </c>
      <c r="E20" s="2">
        <v>11134</v>
      </c>
      <c r="F20" s="4">
        <v>64628</v>
      </c>
    </row>
    <row r="21" spans="1:6" x14ac:dyDescent="0.3">
      <c r="A21" s="3">
        <v>2020</v>
      </c>
      <c r="B21" s="1" t="s">
        <v>6</v>
      </c>
      <c r="C21" s="1" t="s">
        <v>26</v>
      </c>
      <c r="D21" s="2">
        <v>3574</v>
      </c>
      <c r="E21" s="2">
        <v>34897</v>
      </c>
      <c r="F21" s="4">
        <v>43309</v>
      </c>
    </row>
    <row r="22" spans="1:6" x14ac:dyDescent="0.3">
      <c r="A22" s="3">
        <v>2020</v>
      </c>
      <c r="B22" s="1" t="s">
        <v>6</v>
      </c>
      <c r="C22" s="1" t="s">
        <v>27</v>
      </c>
      <c r="D22" s="2">
        <v>3175</v>
      </c>
      <c r="E22" s="2">
        <v>28204</v>
      </c>
      <c r="F22" s="4">
        <v>51276</v>
      </c>
    </row>
    <row r="23" spans="1:6" x14ac:dyDescent="0.3">
      <c r="A23" s="3">
        <v>2020</v>
      </c>
      <c r="B23" s="1" t="s">
        <v>6</v>
      </c>
      <c r="C23" s="1" t="s">
        <v>28</v>
      </c>
      <c r="D23" s="2">
        <v>2070</v>
      </c>
      <c r="E23" s="2">
        <v>14561</v>
      </c>
      <c r="F23" s="4">
        <v>50525</v>
      </c>
    </row>
    <row r="24" spans="1:6" x14ac:dyDescent="0.3">
      <c r="A24" s="3">
        <v>2020</v>
      </c>
      <c r="B24" s="1" t="s">
        <v>6</v>
      </c>
      <c r="C24" s="1" t="s">
        <v>29</v>
      </c>
      <c r="D24" s="2">
        <v>2123</v>
      </c>
      <c r="E24" s="2">
        <v>16963</v>
      </c>
      <c r="F24" s="4">
        <v>46677</v>
      </c>
    </row>
    <row r="25" spans="1:6" x14ac:dyDescent="0.3">
      <c r="A25" s="3">
        <v>2020</v>
      </c>
      <c r="B25" s="1" t="s">
        <v>6</v>
      </c>
      <c r="C25" s="1" t="s">
        <v>30</v>
      </c>
      <c r="D25" s="2">
        <v>1847</v>
      </c>
      <c r="E25" s="2">
        <v>12449</v>
      </c>
      <c r="F25" s="4">
        <v>65945</v>
      </c>
    </row>
    <row r="26" spans="1:6" x14ac:dyDescent="0.3">
      <c r="A26" s="3">
        <v>2020</v>
      </c>
      <c r="B26" s="1" t="s">
        <v>6</v>
      </c>
      <c r="C26" s="1" t="s">
        <v>31</v>
      </c>
      <c r="D26" s="2">
        <v>2469</v>
      </c>
      <c r="E26" s="2">
        <v>16054</v>
      </c>
      <c r="F26" s="4">
        <v>44449</v>
      </c>
    </row>
    <row r="27" spans="1:6" x14ac:dyDescent="0.3">
      <c r="A27" s="3">
        <v>2020</v>
      </c>
      <c r="B27" s="1" t="s">
        <v>6</v>
      </c>
      <c r="C27" s="1" t="s">
        <v>32</v>
      </c>
      <c r="D27" s="1">
        <v>598</v>
      </c>
      <c r="E27" s="2">
        <v>19509</v>
      </c>
      <c r="F27" s="4">
        <v>88060</v>
      </c>
    </row>
    <row r="28" spans="1:6" x14ac:dyDescent="0.3">
      <c r="A28" s="3">
        <v>2020</v>
      </c>
      <c r="B28" s="1" t="s">
        <v>6</v>
      </c>
      <c r="C28" s="1" t="s">
        <v>33</v>
      </c>
      <c r="D28" s="1">
        <v>350</v>
      </c>
      <c r="E28" s="2">
        <v>2671</v>
      </c>
      <c r="F28" s="4">
        <v>48051</v>
      </c>
    </row>
    <row r="29" spans="1:6" x14ac:dyDescent="0.3">
      <c r="A29" s="3">
        <v>2020</v>
      </c>
      <c r="B29" s="1" t="s">
        <v>6</v>
      </c>
      <c r="C29" s="1" t="s">
        <v>34</v>
      </c>
      <c r="D29" s="1">
        <v>999</v>
      </c>
      <c r="E29" s="2">
        <v>11868</v>
      </c>
      <c r="F29" s="4">
        <v>44634</v>
      </c>
    </row>
    <row r="30" spans="1:6" x14ac:dyDescent="0.3">
      <c r="A30" s="3">
        <v>2020</v>
      </c>
      <c r="B30" s="1" t="s">
        <v>6</v>
      </c>
      <c r="C30" s="1" t="s">
        <v>35</v>
      </c>
      <c r="D30" s="2">
        <v>2064</v>
      </c>
      <c r="E30" s="2">
        <v>30471</v>
      </c>
      <c r="F30" s="4">
        <v>65885</v>
      </c>
    </row>
    <row r="31" spans="1:6" x14ac:dyDescent="0.3">
      <c r="A31" s="3">
        <v>2020</v>
      </c>
      <c r="B31" s="1" t="s">
        <v>6</v>
      </c>
      <c r="C31" s="1" t="s">
        <v>36</v>
      </c>
      <c r="D31" s="2">
        <v>3335</v>
      </c>
      <c r="E31" s="2">
        <v>31214</v>
      </c>
      <c r="F31" s="4">
        <v>44384</v>
      </c>
    </row>
    <row r="32" spans="1:6" x14ac:dyDescent="0.3">
      <c r="A32" s="3">
        <v>2020</v>
      </c>
      <c r="B32" s="1" t="s">
        <v>6</v>
      </c>
      <c r="C32" s="1" t="s">
        <v>37</v>
      </c>
      <c r="D32" s="2">
        <v>3428</v>
      </c>
      <c r="E32" s="2">
        <v>29560</v>
      </c>
      <c r="F32" s="4">
        <v>42720</v>
      </c>
    </row>
    <row r="33" spans="1:6" x14ac:dyDescent="0.3">
      <c r="A33" s="3">
        <v>2020</v>
      </c>
      <c r="B33" s="1" t="s">
        <v>6</v>
      </c>
      <c r="C33" s="1" t="s">
        <v>38</v>
      </c>
      <c r="D33" s="2">
        <v>1830</v>
      </c>
      <c r="E33" s="2">
        <v>19954</v>
      </c>
      <c r="F33" s="4">
        <v>92355</v>
      </c>
    </row>
    <row r="34" spans="1:6" x14ac:dyDescent="0.3">
      <c r="A34" s="3">
        <v>2020</v>
      </c>
      <c r="B34" s="1" t="s">
        <v>6</v>
      </c>
      <c r="C34" s="1" t="s">
        <v>39</v>
      </c>
      <c r="D34" s="2">
        <v>2541</v>
      </c>
      <c r="E34" s="2">
        <v>25841</v>
      </c>
      <c r="F34" s="4">
        <v>51404</v>
      </c>
    </row>
    <row r="35" spans="1:6" x14ac:dyDescent="0.3">
      <c r="A35" s="3">
        <v>2020</v>
      </c>
      <c r="B35" s="1" t="s">
        <v>6</v>
      </c>
      <c r="C35" s="1" t="s">
        <v>40</v>
      </c>
      <c r="D35" s="2">
        <v>4355</v>
      </c>
      <c r="E35" s="2">
        <v>40722</v>
      </c>
      <c r="F35" s="4">
        <v>90660</v>
      </c>
    </row>
    <row r="36" spans="1:6" x14ac:dyDescent="0.3">
      <c r="A36" s="3">
        <v>2020</v>
      </c>
      <c r="B36" s="1" t="s">
        <v>6</v>
      </c>
      <c r="C36" s="1" t="s">
        <v>41</v>
      </c>
      <c r="D36" s="2">
        <v>4739</v>
      </c>
      <c r="E36" s="2">
        <v>54360</v>
      </c>
      <c r="F36" s="4">
        <v>40689</v>
      </c>
    </row>
    <row r="37" spans="1:6" x14ac:dyDescent="0.3">
      <c r="A37" s="3">
        <v>2020</v>
      </c>
      <c r="B37" s="1" t="s">
        <v>6</v>
      </c>
      <c r="C37" s="1" t="s">
        <v>42</v>
      </c>
      <c r="D37" s="2">
        <v>3629</v>
      </c>
      <c r="E37" s="2">
        <v>47789</v>
      </c>
      <c r="F37" s="4">
        <v>61949</v>
      </c>
    </row>
    <row r="38" spans="1:6" x14ac:dyDescent="0.3">
      <c r="A38" s="3">
        <v>2020</v>
      </c>
      <c r="B38" s="1" t="s">
        <v>6</v>
      </c>
      <c r="C38" s="1" t="s">
        <v>43</v>
      </c>
      <c r="D38" s="1">
        <v>205</v>
      </c>
      <c r="E38" s="2">
        <v>1128</v>
      </c>
      <c r="F38" s="4">
        <v>42071</v>
      </c>
    </row>
    <row r="39" spans="1:6" x14ac:dyDescent="0.3">
      <c r="A39" s="3">
        <v>2020</v>
      </c>
      <c r="B39" s="1" t="s">
        <v>6</v>
      </c>
      <c r="C39" s="1" t="s">
        <v>44</v>
      </c>
      <c r="D39" s="2">
        <v>1375</v>
      </c>
      <c r="E39" s="2">
        <v>12442</v>
      </c>
      <c r="F39" s="4">
        <v>44990</v>
      </c>
    </row>
    <row r="40" spans="1:6" x14ac:dyDescent="0.3">
      <c r="A40" s="3">
        <v>2020</v>
      </c>
      <c r="B40" s="1" t="s">
        <v>6</v>
      </c>
      <c r="C40" s="1" t="s">
        <v>45</v>
      </c>
      <c r="D40" s="2">
        <v>1099</v>
      </c>
      <c r="E40" s="2">
        <v>7137</v>
      </c>
      <c r="F40" s="4">
        <v>45582</v>
      </c>
    </row>
    <row r="41" spans="1:6" x14ac:dyDescent="0.3">
      <c r="A41" s="3">
        <v>2020</v>
      </c>
      <c r="B41" s="1" t="s">
        <v>6</v>
      </c>
      <c r="C41" s="1" t="s">
        <v>46</v>
      </c>
      <c r="D41" s="2">
        <v>1130</v>
      </c>
      <c r="E41" s="2">
        <v>11134</v>
      </c>
      <c r="F41" s="4">
        <v>48930</v>
      </c>
    </row>
    <row r="42" spans="1:6" x14ac:dyDescent="0.3">
      <c r="A42" s="3">
        <v>2020</v>
      </c>
      <c r="B42" s="1" t="s">
        <v>6</v>
      </c>
      <c r="C42" s="1" t="s">
        <v>47</v>
      </c>
      <c r="D42" s="2">
        <v>19698</v>
      </c>
      <c r="E42" s="2">
        <v>249859</v>
      </c>
      <c r="F42" s="4">
        <v>117086</v>
      </c>
    </row>
    <row r="43" spans="1:6" x14ac:dyDescent="0.3">
      <c r="A43" s="3">
        <v>2020</v>
      </c>
      <c r="B43" s="1" t="s">
        <v>6</v>
      </c>
      <c r="C43" s="1" t="s">
        <v>48</v>
      </c>
      <c r="D43" s="2">
        <v>1066</v>
      </c>
      <c r="E43" s="2">
        <v>14648</v>
      </c>
      <c r="F43" s="4">
        <v>65747</v>
      </c>
    </row>
    <row r="44" spans="1:6" x14ac:dyDescent="0.3">
      <c r="A44" s="3">
        <v>2020</v>
      </c>
      <c r="B44" s="1" t="s">
        <v>6</v>
      </c>
      <c r="C44" s="1" t="s">
        <v>49</v>
      </c>
      <c r="D44" s="1">
        <v>571</v>
      </c>
      <c r="E44" s="2">
        <v>4095</v>
      </c>
      <c r="F44" s="4">
        <v>41096</v>
      </c>
    </row>
    <row r="45" spans="1:6" x14ac:dyDescent="0.3">
      <c r="A45" s="3">
        <v>2020</v>
      </c>
      <c r="B45" s="1" t="s">
        <v>6</v>
      </c>
      <c r="C45" s="1" t="s">
        <v>50</v>
      </c>
      <c r="D45" s="2">
        <v>2073</v>
      </c>
      <c r="E45" s="2">
        <v>17603</v>
      </c>
      <c r="F45" s="4">
        <v>48671</v>
      </c>
    </row>
    <row r="46" spans="1:6" x14ac:dyDescent="0.3">
      <c r="A46" s="3">
        <v>2020</v>
      </c>
      <c r="B46" s="1" t="s">
        <v>6</v>
      </c>
      <c r="C46" s="1" t="s">
        <v>51</v>
      </c>
      <c r="D46" s="2">
        <v>6971</v>
      </c>
      <c r="E46" s="2">
        <v>101358</v>
      </c>
      <c r="F46" s="4">
        <v>36964</v>
      </c>
    </row>
    <row r="47" spans="1:6" x14ac:dyDescent="0.3">
      <c r="A47" s="3">
        <v>2020</v>
      </c>
      <c r="B47" s="1" t="s">
        <v>6</v>
      </c>
      <c r="C47" s="1" t="s">
        <v>52</v>
      </c>
      <c r="D47" s="2">
        <v>1117</v>
      </c>
      <c r="E47" s="2">
        <v>18455</v>
      </c>
      <c r="F47" s="4">
        <v>78059</v>
      </c>
    </row>
    <row r="48" spans="1:6" x14ac:dyDescent="0.3">
      <c r="A48" s="3">
        <v>2020</v>
      </c>
      <c r="B48" s="1" t="s">
        <v>6</v>
      </c>
      <c r="C48" s="1" t="s">
        <v>53</v>
      </c>
      <c r="D48" s="2">
        <v>2872</v>
      </c>
      <c r="E48" s="2">
        <v>30781</v>
      </c>
      <c r="F48" s="4">
        <v>41928</v>
      </c>
    </row>
    <row r="49" spans="1:6" x14ac:dyDescent="0.3">
      <c r="A49" s="3">
        <v>2020</v>
      </c>
      <c r="B49" s="1" t="s">
        <v>6</v>
      </c>
      <c r="C49" s="1" t="s">
        <v>54</v>
      </c>
      <c r="D49" s="2">
        <v>1440</v>
      </c>
      <c r="E49" s="2">
        <v>19091</v>
      </c>
      <c r="F49" s="4">
        <v>83063</v>
      </c>
    </row>
    <row r="50" spans="1:6" x14ac:dyDescent="0.3">
      <c r="A50" s="3">
        <v>2020</v>
      </c>
      <c r="B50" s="1" t="s">
        <v>55</v>
      </c>
      <c r="C50" s="1" t="s">
        <v>7</v>
      </c>
      <c r="D50" s="2">
        <v>10335</v>
      </c>
      <c r="E50" s="2">
        <v>92772</v>
      </c>
      <c r="F50" s="4">
        <v>59279</v>
      </c>
    </row>
    <row r="51" spans="1:6" x14ac:dyDescent="0.3">
      <c r="A51" s="3">
        <v>2020</v>
      </c>
      <c r="B51" s="1" t="s">
        <v>55</v>
      </c>
      <c r="C51" s="1" t="s">
        <v>8</v>
      </c>
      <c r="D51" s="2">
        <v>14006</v>
      </c>
      <c r="E51" s="2">
        <v>173852</v>
      </c>
      <c r="F51" s="4">
        <v>63056</v>
      </c>
    </row>
    <row r="52" spans="1:6" x14ac:dyDescent="0.3">
      <c r="A52" s="3">
        <v>2020</v>
      </c>
      <c r="B52" s="1" t="s">
        <v>55</v>
      </c>
      <c r="C52" s="1" t="s">
        <v>9</v>
      </c>
      <c r="D52" s="2">
        <v>7277</v>
      </c>
      <c r="E52" s="2">
        <v>53142</v>
      </c>
      <c r="F52" s="4">
        <v>52247</v>
      </c>
    </row>
    <row r="53" spans="1:6" x14ac:dyDescent="0.3">
      <c r="A53" s="3">
        <v>2020</v>
      </c>
      <c r="B53" s="1" t="s">
        <v>55</v>
      </c>
      <c r="C53" s="1" t="s">
        <v>10</v>
      </c>
      <c r="D53" s="2">
        <v>86322</v>
      </c>
      <c r="E53" s="2">
        <v>855879</v>
      </c>
      <c r="F53" s="4">
        <v>76740</v>
      </c>
    </row>
    <row r="54" spans="1:6" x14ac:dyDescent="0.3">
      <c r="A54" s="3">
        <v>2020</v>
      </c>
      <c r="B54" s="1" t="s">
        <v>55</v>
      </c>
      <c r="C54" s="1" t="s">
        <v>11</v>
      </c>
      <c r="D54" s="2">
        <v>21025</v>
      </c>
      <c r="E54" s="2">
        <v>174730</v>
      </c>
      <c r="F54" s="4">
        <v>68209</v>
      </c>
    </row>
    <row r="55" spans="1:6" x14ac:dyDescent="0.3">
      <c r="A55" s="3">
        <v>2020</v>
      </c>
      <c r="B55" s="1" t="s">
        <v>55</v>
      </c>
      <c r="C55" s="1" t="s">
        <v>12</v>
      </c>
      <c r="D55" s="2">
        <v>9415</v>
      </c>
      <c r="E55" s="2">
        <v>56915</v>
      </c>
      <c r="F55" s="4">
        <v>75591</v>
      </c>
    </row>
    <row r="56" spans="1:6" x14ac:dyDescent="0.3">
      <c r="A56" s="3">
        <v>2020</v>
      </c>
      <c r="B56" s="1" t="s">
        <v>55</v>
      </c>
      <c r="C56" s="1" t="s">
        <v>13</v>
      </c>
      <c r="D56" s="2">
        <v>3106</v>
      </c>
      <c r="E56" s="2">
        <v>22403</v>
      </c>
      <c r="F56" s="4">
        <v>64977</v>
      </c>
    </row>
    <row r="57" spans="1:6" x14ac:dyDescent="0.3">
      <c r="A57" s="3">
        <v>2020</v>
      </c>
      <c r="B57" s="1" t="s">
        <v>55</v>
      </c>
      <c r="C57" s="1" t="s">
        <v>14</v>
      </c>
      <c r="D57" s="2">
        <v>76308</v>
      </c>
      <c r="E57" s="2">
        <v>561991</v>
      </c>
      <c r="F57" s="4">
        <v>55910</v>
      </c>
    </row>
    <row r="58" spans="1:6" x14ac:dyDescent="0.3">
      <c r="A58" s="3">
        <v>2020</v>
      </c>
      <c r="B58" s="1" t="s">
        <v>55</v>
      </c>
      <c r="C58" s="1" t="s">
        <v>15</v>
      </c>
      <c r="D58" s="2">
        <v>22906</v>
      </c>
      <c r="E58" s="2">
        <v>200710</v>
      </c>
      <c r="F58" s="4">
        <v>66214</v>
      </c>
    </row>
    <row r="59" spans="1:6" x14ac:dyDescent="0.3">
      <c r="A59" s="3">
        <v>2020</v>
      </c>
      <c r="B59" s="1" t="s">
        <v>55</v>
      </c>
      <c r="C59" s="1" t="s">
        <v>16</v>
      </c>
      <c r="D59" s="2">
        <v>9159</v>
      </c>
      <c r="E59" s="2">
        <v>53385</v>
      </c>
      <c r="F59" s="4">
        <v>48649</v>
      </c>
    </row>
    <row r="60" spans="1:6" x14ac:dyDescent="0.3">
      <c r="A60" s="3">
        <v>2020</v>
      </c>
      <c r="B60" s="1" t="s">
        <v>55</v>
      </c>
      <c r="C60" s="1" t="s">
        <v>17</v>
      </c>
      <c r="D60" s="2">
        <v>32538</v>
      </c>
      <c r="E60" s="2">
        <v>216664</v>
      </c>
      <c r="F60" s="4">
        <v>76581</v>
      </c>
    </row>
    <row r="61" spans="1:6" x14ac:dyDescent="0.3">
      <c r="A61" s="3">
        <v>2020</v>
      </c>
      <c r="B61" s="1" t="s">
        <v>55</v>
      </c>
      <c r="C61" s="1" t="s">
        <v>18</v>
      </c>
      <c r="D61" s="2">
        <v>15617</v>
      </c>
      <c r="E61" s="2">
        <v>144001</v>
      </c>
      <c r="F61" s="4">
        <v>62619</v>
      </c>
    </row>
    <row r="62" spans="1:6" x14ac:dyDescent="0.3">
      <c r="A62" s="3">
        <v>2020</v>
      </c>
      <c r="B62" s="1" t="s">
        <v>55</v>
      </c>
      <c r="C62" s="1" t="s">
        <v>19</v>
      </c>
      <c r="D62" s="2">
        <v>9434</v>
      </c>
      <c r="E62" s="2">
        <v>76561</v>
      </c>
      <c r="F62" s="4">
        <v>61831</v>
      </c>
    </row>
    <row r="63" spans="1:6" x14ac:dyDescent="0.3">
      <c r="A63" s="3">
        <v>2020</v>
      </c>
      <c r="B63" s="1" t="s">
        <v>55</v>
      </c>
      <c r="C63" s="1" t="s">
        <v>20</v>
      </c>
      <c r="D63" s="2">
        <v>7355</v>
      </c>
      <c r="E63" s="2">
        <v>63118</v>
      </c>
      <c r="F63" s="4">
        <v>59126</v>
      </c>
    </row>
    <row r="64" spans="1:6" x14ac:dyDescent="0.3">
      <c r="A64" s="3">
        <v>2020</v>
      </c>
      <c r="B64" s="1" t="s">
        <v>55</v>
      </c>
      <c r="C64" s="1" t="s">
        <v>21</v>
      </c>
      <c r="D64" s="2">
        <v>9832</v>
      </c>
      <c r="E64" s="2">
        <v>77924</v>
      </c>
      <c r="F64" s="4">
        <v>58484</v>
      </c>
    </row>
    <row r="65" spans="1:6" x14ac:dyDescent="0.3">
      <c r="A65" s="3">
        <v>2020</v>
      </c>
      <c r="B65" s="1" t="s">
        <v>55</v>
      </c>
      <c r="C65" s="1" t="s">
        <v>22</v>
      </c>
      <c r="D65" s="2">
        <v>11349</v>
      </c>
      <c r="E65" s="2">
        <v>121521</v>
      </c>
      <c r="F65" s="4">
        <v>65354</v>
      </c>
    </row>
    <row r="66" spans="1:6" x14ac:dyDescent="0.3">
      <c r="A66" s="3">
        <v>2020</v>
      </c>
      <c r="B66" s="1" t="s">
        <v>55</v>
      </c>
      <c r="C66" s="1" t="s">
        <v>23</v>
      </c>
      <c r="D66" s="2">
        <v>5732</v>
      </c>
      <c r="E66" s="2">
        <v>30344</v>
      </c>
      <c r="F66" s="4">
        <v>55607</v>
      </c>
    </row>
    <row r="67" spans="1:6" x14ac:dyDescent="0.3">
      <c r="A67" s="3">
        <v>2020</v>
      </c>
      <c r="B67" s="1" t="s">
        <v>55</v>
      </c>
      <c r="C67" s="1" t="s">
        <v>24</v>
      </c>
      <c r="D67" s="2">
        <v>16346</v>
      </c>
      <c r="E67" s="2">
        <v>160039</v>
      </c>
      <c r="F67" s="4">
        <v>70642</v>
      </c>
    </row>
    <row r="68" spans="1:6" x14ac:dyDescent="0.3">
      <c r="A68" s="3">
        <v>2020</v>
      </c>
      <c r="B68" s="1" t="s">
        <v>55</v>
      </c>
      <c r="C68" s="1" t="s">
        <v>25</v>
      </c>
      <c r="D68" s="2">
        <v>21102</v>
      </c>
      <c r="E68" s="2">
        <v>152366</v>
      </c>
      <c r="F68" s="4">
        <v>84958</v>
      </c>
    </row>
    <row r="69" spans="1:6" x14ac:dyDescent="0.3">
      <c r="A69" s="3">
        <v>2020</v>
      </c>
      <c r="B69" s="1" t="s">
        <v>55</v>
      </c>
      <c r="C69" s="1" t="s">
        <v>26</v>
      </c>
      <c r="D69" s="2">
        <v>21646</v>
      </c>
      <c r="E69" s="2">
        <v>164028</v>
      </c>
      <c r="F69" s="4">
        <v>67631</v>
      </c>
    </row>
    <row r="70" spans="1:6" x14ac:dyDescent="0.3">
      <c r="A70" s="3">
        <v>2020</v>
      </c>
      <c r="B70" s="1" t="s">
        <v>55</v>
      </c>
      <c r="C70" s="1" t="s">
        <v>27</v>
      </c>
      <c r="D70" s="2">
        <v>16952</v>
      </c>
      <c r="E70" s="2">
        <v>123866</v>
      </c>
      <c r="F70" s="4">
        <v>72942</v>
      </c>
    </row>
    <row r="71" spans="1:6" x14ac:dyDescent="0.3">
      <c r="A71" s="3">
        <v>2020</v>
      </c>
      <c r="B71" s="1" t="s">
        <v>55</v>
      </c>
      <c r="C71" s="1" t="s">
        <v>28</v>
      </c>
      <c r="D71" s="2">
        <v>5839</v>
      </c>
      <c r="E71" s="2">
        <v>43888</v>
      </c>
      <c r="F71" s="4">
        <v>53779</v>
      </c>
    </row>
    <row r="72" spans="1:6" x14ac:dyDescent="0.3">
      <c r="A72" s="3">
        <v>2020</v>
      </c>
      <c r="B72" s="1" t="s">
        <v>55</v>
      </c>
      <c r="C72" s="1" t="s">
        <v>29</v>
      </c>
      <c r="D72" s="2">
        <v>15735</v>
      </c>
      <c r="E72" s="2">
        <v>126375</v>
      </c>
      <c r="F72" s="4">
        <v>64664</v>
      </c>
    </row>
    <row r="73" spans="1:6" x14ac:dyDescent="0.3">
      <c r="A73" s="3">
        <v>2020</v>
      </c>
      <c r="B73" s="1" t="s">
        <v>55</v>
      </c>
      <c r="C73" s="1" t="s">
        <v>30</v>
      </c>
      <c r="D73" s="2">
        <v>6813</v>
      </c>
      <c r="E73" s="2">
        <v>30793</v>
      </c>
      <c r="F73" s="4">
        <v>55897</v>
      </c>
    </row>
    <row r="74" spans="1:6" x14ac:dyDescent="0.3">
      <c r="A74" s="3">
        <v>2020</v>
      </c>
      <c r="B74" s="1" t="s">
        <v>55</v>
      </c>
      <c r="C74" s="1" t="s">
        <v>31</v>
      </c>
      <c r="D74" s="2">
        <v>7000</v>
      </c>
      <c r="E74" s="2">
        <v>55249</v>
      </c>
      <c r="F74" s="4">
        <v>56548</v>
      </c>
    </row>
    <row r="75" spans="1:6" x14ac:dyDescent="0.3">
      <c r="A75" s="3">
        <v>2020</v>
      </c>
      <c r="B75" s="1" t="s">
        <v>55</v>
      </c>
      <c r="C75" s="1" t="s">
        <v>32</v>
      </c>
      <c r="D75" s="2">
        <v>5757</v>
      </c>
      <c r="E75" s="2">
        <v>93450</v>
      </c>
      <c r="F75" s="4">
        <v>67902</v>
      </c>
    </row>
    <row r="76" spans="1:6" x14ac:dyDescent="0.3">
      <c r="A76" s="3">
        <v>2020</v>
      </c>
      <c r="B76" s="1" t="s">
        <v>55</v>
      </c>
      <c r="C76" s="1" t="s">
        <v>33</v>
      </c>
      <c r="D76" s="2">
        <v>4901</v>
      </c>
      <c r="E76" s="2">
        <v>27866</v>
      </c>
      <c r="F76" s="4">
        <v>68870</v>
      </c>
    </row>
    <row r="77" spans="1:6" x14ac:dyDescent="0.3">
      <c r="A77" s="3">
        <v>2020</v>
      </c>
      <c r="B77" s="1" t="s">
        <v>55</v>
      </c>
      <c r="C77" s="1" t="s">
        <v>34</v>
      </c>
      <c r="D77" s="2">
        <v>22711</v>
      </c>
      <c r="E77" s="2">
        <v>151469</v>
      </c>
      <c r="F77" s="4">
        <v>77924</v>
      </c>
    </row>
    <row r="78" spans="1:6" x14ac:dyDescent="0.3">
      <c r="A78" s="3">
        <v>2020</v>
      </c>
      <c r="B78" s="1" t="s">
        <v>55</v>
      </c>
      <c r="C78" s="1" t="s">
        <v>35</v>
      </c>
      <c r="D78" s="2">
        <v>5485</v>
      </c>
      <c r="E78" s="2">
        <v>48577</v>
      </c>
      <c r="F78" s="4">
        <v>53439</v>
      </c>
    </row>
    <row r="79" spans="1:6" x14ac:dyDescent="0.3">
      <c r="A79" s="3">
        <v>2020</v>
      </c>
      <c r="B79" s="1" t="s">
        <v>55</v>
      </c>
      <c r="C79" s="1" t="s">
        <v>36</v>
      </c>
      <c r="D79" s="2">
        <v>50929</v>
      </c>
      <c r="E79" s="2">
        <v>361821</v>
      </c>
      <c r="F79" s="4">
        <v>78199</v>
      </c>
    </row>
    <row r="80" spans="1:6" x14ac:dyDescent="0.3">
      <c r="A80" s="3">
        <v>2020</v>
      </c>
      <c r="B80" s="1" t="s">
        <v>55</v>
      </c>
      <c r="C80" s="1" t="s">
        <v>37</v>
      </c>
      <c r="D80" s="2">
        <v>29231</v>
      </c>
      <c r="E80" s="2">
        <v>229369</v>
      </c>
      <c r="F80" s="4">
        <v>59177</v>
      </c>
    </row>
    <row r="81" spans="1:6" x14ac:dyDescent="0.3">
      <c r="A81" s="3">
        <v>2020</v>
      </c>
      <c r="B81" s="1" t="s">
        <v>55</v>
      </c>
      <c r="C81" s="1" t="s">
        <v>38</v>
      </c>
      <c r="D81" s="2">
        <v>3669</v>
      </c>
      <c r="E81" s="2">
        <v>25364</v>
      </c>
      <c r="F81" s="4">
        <v>66729</v>
      </c>
    </row>
    <row r="82" spans="1:6" x14ac:dyDescent="0.3">
      <c r="A82" s="3">
        <v>2020</v>
      </c>
      <c r="B82" s="1" t="s">
        <v>55</v>
      </c>
      <c r="C82" s="1" t="s">
        <v>39</v>
      </c>
      <c r="D82" s="2">
        <v>23650</v>
      </c>
      <c r="E82" s="2">
        <v>218531</v>
      </c>
      <c r="F82" s="4">
        <v>65104</v>
      </c>
    </row>
    <row r="83" spans="1:6" x14ac:dyDescent="0.3">
      <c r="A83" s="3">
        <v>2020</v>
      </c>
      <c r="B83" s="1" t="s">
        <v>55</v>
      </c>
      <c r="C83" s="1" t="s">
        <v>40</v>
      </c>
      <c r="D83" s="2">
        <v>9855</v>
      </c>
      <c r="E83" s="2">
        <v>78772</v>
      </c>
      <c r="F83" s="4">
        <v>55099</v>
      </c>
    </row>
    <row r="84" spans="1:6" x14ac:dyDescent="0.3">
      <c r="A84" s="3">
        <v>2020</v>
      </c>
      <c r="B84" s="1" t="s">
        <v>55</v>
      </c>
      <c r="C84" s="1" t="s">
        <v>41</v>
      </c>
      <c r="D84" s="2">
        <v>14899</v>
      </c>
      <c r="E84" s="2">
        <v>107568</v>
      </c>
      <c r="F84" s="4">
        <v>66876</v>
      </c>
    </row>
    <row r="85" spans="1:6" x14ac:dyDescent="0.3">
      <c r="A85" s="3">
        <v>2020</v>
      </c>
      <c r="B85" s="1" t="s">
        <v>55</v>
      </c>
      <c r="C85" s="1" t="s">
        <v>42</v>
      </c>
      <c r="D85" s="2">
        <v>29345</v>
      </c>
      <c r="E85" s="2">
        <v>241570</v>
      </c>
      <c r="F85" s="4">
        <v>70639</v>
      </c>
    </row>
    <row r="86" spans="1:6" x14ac:dyDescent="0.3">
      <c r="A86" s="3">
        <v>2020</v>
      </c>
      <c r="B86" s="1" t="s">
        <v>55</v>
      </c>
      <c r="C86" s="1" t="s">
        <v>43</v>
      </c>
      <c r="D86" s="2">
        <v>3878</v>
      </c>
      <c r="E86" s="2">
        <v>18924</v>
      </c>
      <c r="F86" s="4">
        <v>66955</v>
      </c>
    </row>
    <row r="87" spans="1:6" x14ac:dyDescent="0.3">
      <c r="A87" s="3">
        <v>2020</v>
      </c>
      <c r="B87" s="1" t="s">
        <v>55</v>
      </c>
      <c r="C87" s="1" t="s">
        <v>44</v>
      </c>
      <c r="D87" s="2">
        <v>13348</v>
      </c>
      <c r="E87" s="2">
        <v>103647</v>
      </c>
      <c r="F87" s="4">
        <v>57906</v>
      </c>
    </row>
    <row r="88" spans="1:6" x14ac:dyDescent="0.3">
      <c r="A88" s="3">
        <v>2020</v>
      </c>
      <c r="B88" s="1" t="s">
        <v>55</v>
      </c>
      <c r="C88" s="1" t="s">
        <v>45</v>
      </c>
      <c r="D88" s="2">
        <v>3954</v>
      </c>
      <c r="E88" s="2">
        <v>24410</v>
      </c>
      <c r="F88" s="4">
        <v>54005</v>
      </c>
    </row>
    <row r="89" spans="1:6" x14ac:dyDescent="0.3">
      <c r="A89" s="3">
        <v>2020</v>
      </c>
      <c r="B89" s="1" t="s">
        <v>55</v>
      </c>
      <c r="C89" s="1" t="s">
        <v>46</v>
      </c>
      <c r="D89" s="2">
        <v>12894</v>
      </c>
      <c r="E89" s="2">
        <v>130050</v>
      </c>
      <c r="F89" s="4">
        <v>62259</v>
      </c>
    </row>
    <row r="90" spans="1:6" x14ac:dyDescent="0.3">
      <c r="A90" s="3">
        <v>2020</v>
      </c>
      <c r="B90" s="1" t="s">
        <v>55</v>
      </c>
      <c r="C90" s="1" t="s">
        <v>47</v>
      </c>
      <c r="D90" s="2">
        <v>55014</v>
      </c>
      <c r="E90" s="2">
        <v>737125</v>
      </c>
      <c r="F90" s="4">
        <v>68929</v>
      </c>
    </row>
    <row r="91" spans="1:6" x14ac:dyDescent="0.3">
      <c r="A91" s="3">
        <v>2020</v>
      </c>
      <c r="B91" s="1" t="s">
        <v>55</v>
      </c>
      <c r="C91" s="1" t="s">
        <v>48</v>
      </c>
      <c r="D91" s="2">
        <v>12932</v>
      </c>
      <c r="E91" s="2">
        <v>115416</v>
      </c>
      <c r="F91" s="4">
        <v>57474</v>
      </c>
    </row>
    <row r="92" spans="1:6" x14ac:dyDescent="0.3">
      <c r="A92" s="3">
        <v>2020</v>
      </c>
      <c r="B92" s="1" t="s">
        <v>55</v>
      </c>
      <c r="C92" s="1" t="s">
        <v>49</v>
      </c>
      <c r="D92" s="2">
        <v>2839</v>
      </c>
      <c r="E92" s="2">
        <v>14269</v>
      </c>
      <c r="F92" s="4">
        <v>55130</v>
      </c>
    </row>
    <row r="93" spans="1:6" x14ac:dyDescent="0.3">
      <c r="A93" s="3">
        <v>2020</v>
      </c>
      <c r="B93" s="1" t="s">
        <v>55</v>
      </c>
      <c r="C93" s="1" t="s">
        <v>50</v>
      </c>
      <c r="D93" s="2">
        <v>21412</v>
      </c>
      <c r="E93" s="2">
        <v>201137</v>
      </c>
      <c r="F93" s="4">
        <v>63521</v>
      </c>
    </row>
    <row r="94" spans="1:6" x14ac:dyDescent="0.3">
      <c r="A94" s="3">
        <v>2020</v>
      </c>
      <c r="B94" s="1" t="s">
        <v>55</v>
      </c>
      <c r="C94" s="1" t="s">
        <v>51</v>
      </c>
      <c r="D94" s="2">
        <v>27072</v>
      </c>
      <c r="E94" s="2">
        <v>199964</v>
      </c>
      <c r="F94" s="4">
        <v>69827</v>
      </c>
    </row>
    <row r="95" spans="1:6" x14ac:dyDescent="0.3">
      <c r="A95" s="3">
        <v>2020</v>
      </c>
      <c r="B95" s="1" t="s">
        <v>55</v>
      </c>
      <c r="C95" s="1" t="s">
        <v>52</v>
      </c>
      <c r="D95" s="2">
        <v>4300</v>
      </c>
      <c r="E95" s="2">
        <v>29583</v>
      </c>
      <c r="F95" s="4">
        <v>60489</v>
      </c>
    </row>
    <row r="96" spans="1:6" x14ac:dyDescent="0.3">
      <c r="A96" s="3">
        <v>2020</v>
      </c>
      <c r="B96" s="1" t="s">
        <v>55</v>
      </c>
      <c r="C96" s="1" t="s">
        <v>53</v>
      </c>
      <c r="D96" s="2">
        <v>14760</v>
      </c>
      <c r="E96" s="2">
        <v>123846</v>
      </c>
      <c r="F96" s="4">
        <v>66423</v>
      </c>
    </row>
    <row r="97" spans="1:6" x14ac:dyDescent="0.3">
      <c r="A97" s="3">
        <v>2020</v>
      </c>
      <c r="B97" s="1" t="s">
        <v>55</v>
      </c>
      <c r="C97" s="1" t="s">
        <v>54</v>
      </c>
      <c r="D97" s="2">
        <v>3478</v>
      </c>
      <c r="E97" s="2">
        <v>21200</v>
      </c>
      <c r="F97" s="4">
        <v>56640</v>
      </c>
    </row>
    <row r="98" spans="1:6" x14ac:dyDescent="0.3">
      <c r="A98" s="3">
        <v>2020</v>
      </c>
      <c r="B98" s="1" t="s">
        <v>56</v>
      </c>
      <c r="C98" s="1" t="s">
        <v>7</v>
      </c>
      <c r="D98" s="2">
        <v>5773</v>
      </c>
      <c r="E98" s="2">
        <v>258328</v>
      </c>
      <c r="F98" s="4">
        <v>60387</v>
      </c>
    </row>
    <row r="99" spans="1:6" x14ac:dyDescent="0.3">
      <c r="A99" s="3">
        <v>2020</v>
      </c>
      <c r="B99" s="1" t="s">
        <v>56</v>
      </c>
      <c r="C99" s="1" t="s">
        <v>8</v>
      </c>
      <c r="D99" s="2">
        <v>5213</v>
      </c>
      <c r="E99" s="2">
        <v>177110</v>
      </c>
      <c r="F99" s="4">
        <v>82375</v>
      </c>
    </row>
    <row r="100" spans="1:6" x14ac:dyDescent="0.3">
      <c r="A100" s="3">
        <v>2020</v>
      </c>
      <c r="B100" s="1" t="s">
        <v>56</v>
      </c>
      <c r="C100" s="1" t="s">
        <v>9</v>
      </c>
      <c r="D100" s="2">
        <v>2961</v>
      </c>
      <c r="E100" s="2">
        <v>154922</v>
      </c>
      <c r="F100" s="4">
        <v>51570</v>
      </c>
    </row>
    <row r="101" spans="1:6" x14ac:dyDescent="0.3">
      <c r="A101" s="3">
        <v>2020</v>
      </c>
      <c r="B101" s="1" t="s">
        <v>56</v>
      </c>
      <c r="C101" s="1" t="s">
        <v>10</v>
      </c>
      <c r="D101" s="2">
        <v>44156</v>
      </c>
      <c r="E101" s="2">
        <v>1263780</v>
      </c>
      <c r="F101" s="4">
        <v>109888</v>
      </c>
    </row>
    <row r="102" spans="1:6" x14ac:dyDescent="0.3">
      <c r="A102" s="3">
        <v>2020</v>
      </c>
      <c r="B102" s="1" t="s">
        <v>56</v>
      </c>
      <c r="C102" s="1" t="s">
        <v>11</v>
      </c>
      <c r="D102" s="2">
        <v>5888</v>
      </c>
      <c r="E102" s="2">
        <v>146473</v>
      </c>
      <c r="F102" s="4">
        <v>77207</v>
      </c>
    </row>
    <row r="103" spans="1:6" x14ac:dyDescent="0.3">
      <c r="A103" s="3">
        <v>2020</v>
      </c>
      <c r="B103" s="1" t="s">
        <v>56</v>
      </c>
      <c r="C103" s="1" t="s">
        <v>12</v>
      </c>
      <c r="D103" s="2">
        <v>4386</v>
      </c>
      <c r="E103" s="2">
        <v>153812</v>
      </c>
      <c r="F103" s="4">
        <v>87706</v>
      </c>
    </row>
    <row r="104" spans="1:6" x14ac:dyDescent="0.3">
      <c r="A104" s="3">
        <v>2020</v>
      </c>
      <c r="B104" s="1" t="s">
        <v>56</v>
      </c>
      <c r="C104" s="1" t="s">
        <v>13</v>
      </c>
      <c r="D104" s="1">
        <v>678</v>
      </c>
      <c r="E104" s="2">
        <v>25520</v>
      </c>
      <c r="F104" s="4">
        <v>68049</v>
      </c>
    </row>
    <row r="105" spans="1:6" x14ac:dyDescent="0.3">
      <c r="A105" s="3">
        <v>2020</v>
      </c>
      <c r="B105" s="1" t="s">
        <v>56</v>
      </c>
      <c r="C105" s="1" t="s">
        <v>14</v>
      </c>
      <c r="D105" s="2">
        <v>21275</v>
      </c>
      <c r="E105" s="2">
        <v>376070</v>
      </c>
      <c r="F105" s="4">
        <v>66758</v>
      </c>
    </row>
    <row r="106" spans="1:6" x14ac:dyDescent="0.3">
      <c r="A106" s="3">
        <v>2020</v>
      </c>
      <c r="B106" s="1" t="s">
        <v>56</v>
      </c>
      <c r="C106" s="1" t="s">
        <v>15</v>
      </c>
      <c r="D106" s="2">
        <v>10646</v>
      </c>
      <c r="E106" s="2">
        <v>382938</v>
      </c>
      <c r="F106" s="4">
        <v>60184</v>
      </c>
    </row>
    <row r="107" spans="1:6" x14ac:dyDescent="0.3">
      <c r="A107" s="3">
        <v>2020</v>
      </c>
      <c r="B107" s="1" t="s">
        <v>56</v>
      </c>
      <c r="C107" s="1" t="s">
        <v>16</v>
      </c>
      <c r="D107" s="2">
        <v>2886</v>
      </c>
      <c r="E107" s="2">
        <v>67700</v>
      </c>
      <c r="F107" s="4">
        <v>65603</v>
      </c>
    </row>
    <row r="108" spans="1:6" x14ac:dyDescent="0.3">
      <c r="A108" s="3">
        <v>2020</v>
      </c>
      <c r="B108" s="1" t="s">
        <v>56</v>
      </c>
      <c r="C108" s="1" t="s">
        <v>17</v>
      </c>
      <c r="D108" s="2">
        <v>18033</v>
      </c>
      <c r="E108" s="2">
        <v>554712</v>
      </c>
      <c r="F108" s="4">
        <v>74855</v>
      </c>
    </row>
    <row r="109" spans="1:6" x14ac:dyDescent="0.3">
      <c r="A109" s="3">
        <v>2020</v>
      </c>
      <c r="B109" s="1" t="s">
        <v>56</v>
      </c>
      <c r="C109" s="1" t="s">
        <v>18</v>
      </c>
      <c r="D109" s="2">
        <v>9255</v>
      </c>
      <c r="E109" s="2">
        <v>504460</v>
      </c>
      <c r="F109" s="4">
        <v>65092</v>
      </c>
    </row>
    <row r="110" spans="1:6" x14ac:dyDescent="0.3">
      <c r="A110" s="3">
        <v>2020</v>
      </c>
      <c r="B110" s="1" t="s">
        <v>56</v>
      </c>
      <c r="C110" s="1" t="s">
        <v>19</v>
      </c>
      <c r="D110" s="2">
        <v>4099</v>
      </c>
      <c r="E110" s="2">
        <v>216615</v>
      </c>
      <c r="F110" s="4">
        <v>63103</v>
      </c>
    </row>
    <row r="111" spans="1:6" x14ac:dyDescent="0.3">
      <c r="A111" s="3">
        <v>2020</v>
      </c>
      <c r="B111" s="1" t="s">
        <v>56</v>
      </c>
      <c r="C111" s="1" t="s">
        <v>20</v>
      </c>
      <c r="D111" s="2">
        <v>3109</v>
      </c>
      <c r="E111" s="2">
        <v>158784</v>
      </c>
      <c r="F111" s="4">
        <v>62958</v>
      </c>
    </row>
    <row r="112" spans="1:6" x14ac:dyDescent="0.3">
      <c r="A112" s="3">
        <v>2020</v>
      </c>
      <c r="B112" s="1" t="s">
        <v>56</v>
      </c>
      <c r="C112" s="1" t="s">
        <v>21</v>
      </c>
      <c r="D112" s="2">
        <v>4978</v>
      </c>
      <c r="E112" s="2">
        <v>235564</v>
      </c>
      <c r="F112" s="4">
        <v>62902</v>
      </c>
    </row>
    <row r="113" spans="1:6" x14ac:dyDescent="0.3">
      <c r="A113" s="3">
        <v>2020</v>
      </c>
      <c r="B113" s="1" t="s">
        <v>56</v>
      </c>
      <c r="C113" s="1" t="s">
        <v>22</v>
      </c>
      <c r="D113" s="2">
        <v>4501</v>
      </c>
      <c r="E113" s="2">
        <v>131430</v>
      </c>
      <c r="F113" s="4">
        <v>78183</v>
      </c>
    </row>
    <row r="114" spans="1:6" x14ac:dyDescent="0.3">
      <c r="A114" s="3">
        <v>2020</v>
      </c>
      <c r="B114" s="1" t="s">
        <v>56</v>
      </c>
      <c r="C114" s="1" t="s">
        <v>23</v>
      </c>
      <c r="D114" s="2">
        <v>1863</v>
      </c>
      <c r="E114" s="2">
        <v>50166</v>
      </c>
      <c r="F114" s="4">
        <v>61682</v>
      </c>
    </row>
    <row r="115" spans="1:6" x14ac:dyDescent="0.3">
      <c r="A115" s="3">
        <v>2020</v>
      </c>
      <c r="B115" s="1" t="s">
        <v>56</v>
      </c>
      <c r="C115" s="1" t="s">
        <v>24</v>
      </c>
      <c r="D115" s="2">
        <v>4168</v>
      </c>
      <c r="E115" s="2">
        <v>108500</v>
      </c>
      <c r="F115" s="4">
        <v>85426</v>
      </c>
    </row>
    <row r="116" spans="1:6" x14ac:dyDescent="0.3">
      <c r="A116" s="3">
        <v>2020</v>
      </c>
      <c r="B116" s="1" t="s">
        <v>56</v>
      </c>
      <c r="C116" s="1" t="s">
        <v>25</v>
      </c>
      <c r="D116" s="2">
        <v>6616</v>
      </c>
      <c r="E116" s="2">
        <v>229741</v>
      </c>
      <c r="F116" s="4">
        <v>96190</v>
      </c>
    </row>
    <row r="117" spans="1:6" x14ac:dyDescent="0.3">
      <c r="A117" s="3">
        <v>2020</v>
      </c>
      <c r="B117" s="1" t="s">
        <v>56</v>
      </c>
      <c r="C117" s="1" t="s">
        <v>26</v>
      </c>
      <c r="D117" s="2">
        <v>17437</v>
      </c>
      <c r="E117" s="2">
        <v>554767</v>
      </c>
      <c r="F117" s="4">
        <v>70769</v>
      </c>
    </row>
    <row r="118" spans="1:6" x14ac:dyDescent="0.3">
      <c r="A118" s="3">
        <v>2020</v>
      </c>
      <c r="B118" s="1" t="s">
        <v>56</v>
      </c>
      <c r="C118" s="1" t="s">
        <v>27</v>
      </c>
      <c r="D118" s="2">
        <v>8284</v>
      </c>
      <c r="E118" s="2">
        <v>309006</v>
      </c>
      <c r="F118" s="4">
        <v>70870</v>
      </c>
    </row>
    <row r="119" spans="1:6" x14ac:dyDescent="0.3">
      <c r="A119" s="3">
        <v>2020</v>
      </c>
      <c r="B119" s="1" t="s">
        <v>56</v>
      </c>
      <c r="C119" s="1" t="s">
        <v>28</v>
      </c>
      <c r="D119" s="2">
        <v>2375</v>
      </c>
      <c r="E119" s="2">
        <v>139480</v>
      </c>
      <c r="F119" s="4">
        <v>51918</v>
      </c>
    </row>
    <row r="120" spans="1:6" x14ac:dyDescent="0.3">
      <c r="A120" s="3">
        <v>2020</v>
      </c>
      <c r="B120" s="1" t="s">
        <v>56</v>
      </c>
      <c r="C120" s="1" t="s">
        <v>29</v>
      </c>
      <c r="D120" s="2">
        <v>6859</v>
      </c>
      <c r="E120" s="2">
        <v>266452</v>
      </c>
      <c r="F120" s="4">
        <v>61836</v>
      </c>
    </row>
    <row r="121" spans="1:6" x14ac:dyDescent="0.3">
      <c r="A121" s="3">
        <v>2020</v>
      </c>
      <c r="B121" s="1" t="s">
        <v>56</v>
      </c>
      <c r="C121" s="1" t="s">
        <v>30</v>
      </c>
      <c r="D121" s="2">
        <v>1672</v>
      </c>
      <c r="E121" s="2">
        <v>20421</v>
      </c>
      <c r="F121" s="4">
        <v>54178</v>
      </c>
    </row>
    <row r="122" spans="1:6" x14ac:dyDescent="0.3">
      <c r="A122" s="3">
        <v>2020</v>
      </c>
      <c r="B122" s="1" t="s">
        <v>56</v>
      </c>
      <c r="C122" s="1" t="s">
        <v>31</v>
      </c>
      <c r="D122" s="2">
        <v>1949</v>
      </c>
      <c r="E122" s="2">
        <v>97530</v>
      </c>
      <c r="F122" s="4">
        <v>56492</v>
      </c>
    </row>
    <row r="123" spans="1:6" x14ac:dyDescent="0.3">
      <c r="A123" s="3">
        <v>2020</v>
      </c>
      <c r="B123" s="1" t="s">
        <v>56</v>
      </c>
      <c r="C123" s="1" t="s">
        <v>32</v>
      </c>
      <c r="D123" s="2">
        <v>2054</v>
      </c>
      <c r="E123" s="2">
        <v>55673</v>
      </c>
      <c r="F123" s="4">
        <v>66821</v>
      </c>
    </row>
    <row r="124" spans="1:6" x14ac:dyDescent="0.3">
      <c r="A124" s="3">
        <v>2020</v>
      </c>
      <c r="B124" s="1" t="s">
        <v>56</v>
      </c>
      <c r="C124" s="1" t="s">
        <v>33</v>
      </c>
      <c r="D124" s="2">
        <v>2001</v>
      </c>
      <c r="E124" s="2">
        <v>67282</v>
      </c>
      <c r="F124" s="4">
        <v>77769</v>
      </c>
    </row>
    <row r="125" spans="1:6" x14ac:dyDescent="0.3">
      <c r="A125" s="3">
        <v>2020</v>
      </c>
      <c r="B125" s="1" t="s">
        <v>56</v>
      </c>
      <c r="C125" s="1" t="s">
        <v>34</v>
      </c>
      <c r="D125" s="2">
        <v>8964</v>
      </c>
      <c r="E125" s="2">
        <v>235850</v>
      </c>
      <c r="F125" s="4">
        <v>86277</v>
      </c>
    </row>
    <row r="126" spans="1:6" x14ac:dyDescent="0.3">
      <c r="A126" s="3">
        <v>2020</v>
      </c>
      <c r="B126" s="1" t="s">
        <v>56</v>
      </c>
      <c r="C126" s="1" t="s">
        <v>35</v>
      </c>
      <c r="D126" s="2">
        <v>1776</v>
      </c>
      <c r="E126" s="2">
        <v>27201</v>
      </c>
      <c r="F126" s="4">
        <v>58794</v>
      </c>
    </row>
    <row r="127" spans="1:6" x14ac:dyDescent="0.3">
      <c r="A127" s="3">
        <v>2020</v>
      </c>
      <c r="B127" s="1" t="s">
        <v>56</v>
      </c>
      <c r="C127" s="1" t="s">
        <v>36</v>
      </c>
      <c r="D127" s="2">
        <v>16292</v>
      </c>
      <c r="E127" s="2">
        <v>399337</v>
      </c>
      <c r="F127" s="4">
        <v>73103</v>
      </c>
    </row>
    <row r="128" spans="1:6" x14ac:dyDescent="0.3">
      <c r="A128" s="3">
        <v>2020</v>
      </c>
      <c r="B128" s="1" t="s">
        <v>56</v>
      </c>
      <c r="C128" s="1" t="s">
        <v>37</v>
      </c>
      <c r="D128" s="2">
        <v>10303</v>
      </c>
      <c r="E128" s="2">
        <v>452637</v>
      </c>
      <c r="F128" s="4">
        <v>63281</v>
      </c>
    </row>
    <row r="129" spans="1:6" x14ac:dyDescent="0.3">
      <c r="A129" s="3">
        <v>2020</v>
      </c>
      <c r="B129" s="1" t="s">
        <v>56</v>
      </c>
      <c r="C129" s="1" t="s">
        <v>38</v>
      </c>
      <c r="D129" s="1">
        <v>799</v>
      </c>
      <c r="E129" s="2">
        <v>25259</v>
      </c>
      <c r="F129" s="4">
        <v>57695</v>
      </c>
    </row>
    <row r="130" spans="1:6" x14ac:dyDescent="0.3">
      <c r="A130" s="3">
        <v>2020</v>
      </c>
      <c r="B130" s="1" t="s">
        <v>56</v>
      </c>
      <c r="C130" s="1" t="s">
        <v>39</v>
      </c>
      <c r="D130" s="2">
        <v>15453</v>
      </c>
      <c r="E130" s="2">
        <v>653028</v>
      </c>
      <c r="F130" s="4">
        <v>64995</v>
      </c>
    </row>
    <row r="131" spans="1:6" x14ac:dyDescent="0.3">
      <c r="A131" s="3">
        <v>2020</v>
      </c>
      <c r="B131" s="1" t="s">
        <v>56</v>
      </c>
      <c r="C131" s="1" t="s">
        <v>40</v>
      </c>
      <c r="D131" s="2">
        <v>4178</v>
      </c>
      <c r="E131" s="2">
        <v>131206</v>
      </c>
      <c r="F131" s="4">
        <v>60915</v>
      </c>
    </row>
    <row r="132" spans="1:6" x14ac:dyDescent="0.3">
      <c r="A132" s="3">
        <v>2020</v>
      </c>
      <c r="B132" s="1" t="s">
        <v>56</v>
      </c>
      <c r="C132" s="1" t="s">
        <v>41</v>
      </c>
      <c r="D132" s="2">
        <v>6354</v>
      </c>
      <c r="E132" s="2">
        <v>184947</v>
      </c>
      <c r="F132" s="4">
        <v>74927</v>
      </c>
    </row>
    <row r="133" spans="1:6" x14ac:dyDescent="0.3">
      <c r="A133" s="3">
        <v>2020</v>
      </c>
      <c r="B133" s="1" t="s">
        <v>56</v>
      </c>
      <c r="C133" s="1" t="s">
        <v>42</v>
      </c>
      <c r="D133" s="2">
        <v>14363</v>
      </c>
      <c r="E133" s="2">
        <v>537402</v>
      </c>
      <c r="F133" s="4">
        <v>66931</v>
      </c>
    </row>
    <row r="134" spans="1:6" x14ac:dyDescent="0.3">
      <c r="A134" s="3">
        <v>2020</v>
      </c>
      <c r="B134" s="1" t="s">
        <v>56</v>
      </c>
      <c r="C134" s="1" t="s">
        <v>43</v>
      </c>
      <c r="D134" s="2">
        <v>1516</v>
      </c>
      <c r="E134" s="2">
        <v>37411</v>
      </c>
      <c r="F134" s="4">
        <v>63645</v>
      </c>
    </row>
    <row r="135" spans="1:6" x14ac:dyDescent="0.3">
      <c r="A135" s="3">
        <v>2020</v>
      </c>
      <c r="B135" s="1" t="s">
        <v>56</v>
      </c>
      <c r="C135" s="1" t="s">
        <v>44</v>
      </c>
      <c r="D135" s="2">
        <v>6655</v>
      </c>
      <c r="E135" s="2">
        <v>244395</v>
      </c>
      <c r="F135" s="4">
        <v>61779</v>
      </c>
    </row>
    <row r="136" spans="1:6" x14ac:dyDescent="0.3">
      <c r="A136" s="3">
        <v>2020</v>
      </c>
      <c r="B136" s="1" t="s">
        <v>56</v>
      </c>
      <c r="C136" s="1" t="s">
        <v>45</v>
      </c>
      <c r="D136" s="2">
        <v>1072</v>
      </c>
      <c r="E136" s="2">
        <v>43135</v>
      </c>
      <c r="F136" s="4">
        <v>53285</v>
      </c>
    </row>
    <row r="137" spans="1:6" x14ac:dyDescent="0.3">
      <c r="A137" s="3">
        <v>2020</v>
      </c>
      <c r="B137" s="1" t="s">
        <v>56</v>
      </c>
      <c r="C137" s="1" t="s">
        <v>46</v>
      </c>
      <c r="D137" s="2">
        <v>7620</v>
      </c>
      <c r="E137" s="2">
        <v>334972</v>
      </c>
      <c r="F137" s="4">
        <v>63122</v>
      </c>
    </row>
    <row r="138" spans="1:6" x14ac:dyDescent="0.3">
      <c r="A138" s="3">
        <v>2020</v>
      </c>
      <c r="B138" s="1" t="s">
        <v>56</v>
      </c>
      <c r="C138" s="1" t="s">
        <v>47</v>
      </c>
      <c r="D138" s="2">
        <v>26257</v>
      </c>
      <c r="E138" s="2">
        <v>867807</v>
      </c>
      <c r="F138" s="4">
        <v>81206</v>
      </c>
    </row>
    <row r="139" spans="1:6" x14ac:dyDescent="0.3">
      <c r="A139" s="3">
        <v>2020</v>
      </c>
      <c r="B139" s="1" t="s">
        <v>56</v>
      </c>
      <c r="C139" s="1" t="s">
        <v>48</v>
      </c>
      <c r="D139" s="2">
        <v>4616</v>
      </c>
      <c r="E139" s="2">
        <v>135571</v>
      </c>
      <c r="F139" s="4">
        <v>61796</v>
      </c>
    </row>
    <row r="140" spans="1:6" x14ac:dyDescent="0.3">
      <c r="A140" s="3">
        <v>2020</v>
      </c>
      <c r="B140" s="1" t="s">
        <v>56</v>
      </c>
      <c r="C140" s="1" t="s">
        <v>49</v>
      </c>
      <c r="D140" s="2">
        <v>1107</v>
      </c>
      <c r="E140" s="2">
        <v>28176</v>
      </c>
      <c r="F140" s="4">
        <v>62352</v>
      </c>
    </row>
    <row r="141" spans="1:6" x14ac:dyDescent="0.3">
      <c r="A141" s="3">
        <v>2020</v>
      </c>
      <c r="B141" s="1" t="s">
        <v>56</v>
      </c>
      <c r="C141" s="1" t="s">
        <v>50</v>
      </c>
      <c r="D141" s="2">
        <v>7023</v>
      </c>
      <c r="E141" s="2">
        <v>232300</v>
      </c>
      <c r="F141" s="4">
        <v>63958</v>
      </c>
    </row>
    <row r="142" spans="1:6" x14ac:dyDescent="0.3">
      <c r="A142" s="3">
        <v>2020</v>
      </c>
      <c r="B142" s="1" t="s">
        <v>56</v>
      </c>
      <c r="C142" s="1" t="s">
        <v>51</v>
      </c>
      <c r="D142" s="2">
        <v>7882</v>
      </c>
      <c r="E142" s="2">
        <v>268553</v>
      </c>
      <c r="F142" s="4">
        <v>82000</v>
      </c>
    </row>
    <row r="143" spans="1:6" x14ac:dyDescent="0.3">
      <c r="A143" s="3">
        <v>2020</v>
      </c>
      <c r="B143" s="1" t="s">
        <v>56</v>
      </c>
      <c r="C143" s="1" t="s">
        <v>52</v>
      </c>
      <c r="D143" s="2">
        <v>1261</v>
      </c>
      <c r="E143" s="2">
        <v>44429</v>
      </c>
      <c r="F143" s="4">
        <v>62359</v>
      </c>
    </row>
    <row r="144" spans="1:6" x14ac:dyDescent="0.3">
      <c r="A144" s="3">
        <v>2020</v>
      </c>
      <c r="B144" s="1" t="s">
        <v>56</v>
      </c>
      <c r="C144" s="1" t="s">
        <v>53</v>
      </c>
      <c r="D144" s="2">
        <v>9214</v>
      </c>
      <c r="E144" s="2">
        <v>458262</v>
      </c>
      <c r="F144" s="4">
        <v>61039</v>
      </c>
    </row>
    <row r="145" spans="1:6" x14ac:dyDescent="0.3">
      <c r="A145" s="3">
        <v>2020</v>
      </c>
      <c r="B145" s="1" t="s">
        <v>56</v>
      </c>
      <c r="C145" s="1" t="s">
        <v>54</v>
      </c>
      <c r="D145" s="1">
        <v>620</v>
      </c>
      <c r="E145" s="2">
        <v>9580</v>
      </c>
      <c r="F145" s="4">
        <v>70308</v>
      </c>
    </row>
    <row r="146" spans="1:6" x14ac:dyDescent="0.3">
      <c r="A146" s="3">
        <v>2020</v>
      </c>
      <c r="B146" s="1" t="s">
        <v>57</v>
      </c>
      <c r="C146" s="1" t="s">
        <v>7</v>
      </c>
      <c r="D146" s="2">
        <v>32424</v>
      </c>
      <c r="E146" s="2">
        <v>372620</v>
      </c>
      <c r="F146" s="4">
        <v>45853</v>
      </c>
    </row>
    <row r="147" spans="1:6" x14ac:dyDescent="0.3">
      <c r="A147" s="3">
        <v>2020</v>
      </c>
      <c r="B147" s="1" t="s">
        <v>57</v>
      </c>
      <c r="C147" s="1" t="s">
        <v>8</v>
      </c>
      <c r="D147" s="2">
        <v>33859</v>
      </c>
      <c r="E147" s="2">
        <v>546143</v>
      </c>
      <c r="F147" s="4">
        <v>51498</v>
      </c>
    </row>
    <row r="148" spans="1:6" x14ac:dyDescent="0.3">
      <c r="A148" s="3">
        <v>2020</v>
      </c>
      <c r="B148" s="1" t="s">
        <v>57</v>
      </c>
      <c r="C148" s="1" t="s">
        <v>9</v>
      </c>
      <c r="D148" s="2">
        <v>21836</v>
      </c>
      <c r="E148" s="2">
        <v>244074</v>
      </c>
      <c r="F148" s="4">
        <v>45673</v>
      </c>
    </row>
    <row r="149" spans="1:6" x14ac:dyDescent="0.3">
      <c r="A149" s="3">
        <v>2020</v>
      </c>
      <c r="B149" s="1" t="s">
        <v>57</v>
      </c>
      <c r="C149" s="1" t="s">
        <v>10</v>
      </c>
      <c r="D149" s="2">
        <v>200632</v>
      </c>
      <c r="E149" s="2">
        <v>2888684</v>
      </c>
      <c r="F149" s="4">
        <v>58800</v>
      </c>
    </row>
    <row r="150" spans="1:6" x14ac:dyDescent="0.3">
      <c r="A150" s="3">
        <v>2020</v>
      </c>
      <c r="B150" s="1" t="s">
        <v>57</v>
      </c>
      <c r="C150" s="1" t="s">
        <v>11</v>
      </c>
      <c r="D150" s="2">
        <v>36421</v>
      </c>
      <c r="E150" s="2">
        <v>465887</v>
      </c>
      <c r="F150" s="4">
        <v>55719</v>
      </c>
    </row>
    <row r="151" spans="1:6" x14ac:dyDescent="0.3">
      <c r="A151" s="3">
        <v>2020</v>
      </c>
      <c r="B151" s="1" t="s">
        <v>57</v>
      </c>
      <c r="C151" s="1" t="s">
        <v>12</v>
      </c>
      <c r="D151" s="2">
        <v>24725</v>
      </c>
      <c r="E151" s="2">
        <v>276491</v>
      </c>
      <c r="F151" s="4">
        <v>55859</v>
      </c>
    </row>
    <row r="152" spans="1:6" x14ac:dyDescent="0.3">
      <c r="A152" s="3">
        <v>2020</v>
      </c>
      <c r="B152" s="1" t="s">
        <v>57</v>
      </c>
      <c r="C152" s="1" t="s">
        <v>13</v>
      </c>
      <c r="D152" s="2">
        <v>7050</v>
      </c>
      <c r="E152" s="2">
        <v>76267</v>
      </c>
      <c r="F152" s="4">
        <v>45667</v>
      </c>
    </row>
    <row r="153" spans="1:6" x14ac:dyDescent="0.3">
      <c r="A153" s="3">
        <v>2020</v>
      </c>
      <c r="B153" s="1" t="s">
        <v>57</v>
      </c>
      <c r="C153" s="1" t="s">
        <v>14</v>
      </c>
      <c r="D153" s="2">
        <v>142700</v>
      </c>
      <c r="E153" s="2">
        <v>1739110</v>
      </c>
      <c r="F153" s="4">
        <v>49391</v>
      </c>
    </row>
    <row r="154" spans="1:6" x14ac:dyDescent="0.3">
      <c r="A154" s="3">
        <v>2020</v>
      </c>
      <c r="B154" s="1" t="s">
        <v>57</v>
      </c>
      <c r="C154" s="1" t="s">
        <v>15</v>
      </c>
      <c r="D154" s="2">
        <v>64380</v>
      </c>
      <c r="E154" s="2">
        <v>913981</v>
      </c>
      <c r="F154" s="4">
        <v>52104</v>
      </c>
    </row>
    <row r="155" spans="1:6" x14ac:dyDescent="0.3">
      <c r="A155" s="3">
        <v>2020</v>
      </c>
      <c r="B155" s="1" t="s">
        <v>57</v>
      </c>
      <c r="C155" s="1" t="s">
        <v>16</v>
      </c>
      <c r="D155" s="2">
        <v>12742</v>
      </c>
      <c r="E155" s="2">
        <v>143264</v>
      </c>
      <c r="F155" s="4">
        <v>44610</v>
      </c>
    </row>
    <row r="156" spans="1:6" x14ac:dyDescent="0.3">
      <c r="A156" s="3">
        <v>2020</v>
      </c>
      <c r="B156" s="1" t="s">
        <v>57</v>
      </c>
      <c r="C156" s="1" t="s">
        <v>17</v>
      </c>
      <c r="D156" s="2">
        <v>78196</v>
      </c>
      <c r="E156" s="2">
        <v>1140749</v>
      </c>
      <c r="F156" s="4">
        <v>55780</v>
      </c>
    </row>
    <row r="157" spans="1:6" x14ac:dyDescent="0.3">
      <c r="A157" s="3">
        <v>2020</v>
      </c>
      <c r="B157" s="1" t="s">
        <v>57</v>
      </c>
      <c r="C157" s="1" t="s">
        <v>18</v>
      </c>
      <c r="D157" s="2">
        <v>40846</v>
      </c>
      <c r="E157" s="2">
        <v>583686</v>
      </c>
      <c r="F157" s="4">
        <v>45931</v>
      </c>
    </row>
    <row r="158" spans="1:6" x14ac:dyDescent="0.3">
      <c r="A158" s="3">
        <v>2020</v>
      </c>
      <c r="B158" s="1" t="s">
        <v>57</v>
      </c>
      <c r="C158" s="1" t="s">
        <v>19</v>
      </c>
      <c r="D158" s="2">
        <v>23479</v>
      </c>
      <c r="E158" s="2">
        <v>298376</v>
      </c>
      <c r="F158" s="4">
        <v>44146</v>
      </c>
    </row>
    <row r="159" spans="1:6" x14ac:dyDescent="0.3">
      <c r="A159" s="3">
        <v>2020</v>
      </c>
      <c r="B159" s="1" t="s">
        <v>57</v>
      </c>
      <c r="C159" s="1" t="s">
        <v>20</v>
      </c>
      <c r="D159" s="2">
        <v>19497</v>
      </c>
      <c r="E159" s="2">
        <v>255575</v>
      </c>
      <c r="F159" s="4">
        <v>46012</v>
      </c>
    </row>
    <row r="160" spans="1:6" x14ac:dyDescent="0.3">
      <c r="A160" s="3">
        <v>2020</v>
      </c>
      <c r="B160" s="1" t="s">
        <v>57</v>
      </c>
      <c r="C160" s="1" t="s">
        <v>21</v>
      </c>
      <c r="D160" s="2">
        <v>28266</v>
      </c>
      <c r="E160" s="2">
        <v>393361</v>
      </c>
      <c r="F160" s="4">
        <v>46839</v>
      </c>
    </row>
    <row r="161" spans="1:6" x14ac:dyDescent="0.3">
      <c r="A161" s="3">
        <v>2020</v>
      </c>
      <c r="B161" s="1" t="s">
        <v>57</v>
      </c>
      <c r="C161" s="1" t="s">
        <v>22</v>
      </c>
      <c r="D161" s="2">
        <v>31210</v>
      </c>
      <c r="E161" s="2">
        <v>358336</v>
      </c>
      <c r="F161" s="4">
        <v>46029</v>
      </c>
    </row>
    <row r="162" spans="1:6" x14ac:dyDescent="0.3">
      <c r="A162" s="3">
        <v>2020</v>
      </c>
      <c r="B162" s="1" t="s">
        <v>57</v>
      </c>
      <c r="C162" s="1" t="s">
        <v>23</v>
      </c>
      <c r="D162" s="2">
        <v>10546</v>
      </c>
      <c r="E162" s="2">
        <v>111483</v>
      </c>
      <c r="F162" s="4">
        <v>43084</v>
      </c>
    </row>
    <row r="163" spans="1:6" x14ac:dyDescent="0.3">
      <c r="A163" s="3">
        <v>2020</v>
      </c>
      <c r="B163" s="1" t="s">
        <v>57</v>
      </c>
      <c r="C163" s="1" t="s">
        <v>24</v>
      </c>
      <c r="D163" s="2">
        <v>31685</v>
      </c>
      <c r="E163" s="2">
        <v>441680</v>
      </c>
      <c r="F163" s="4">
        <v>50800</v>
      </c>
    </row>
    <row r="164" spans="1:6" x14ac:dyDescent="0.3">
      <c r="A164" s="3">
        <v>2020</v>
      </c>
      <c r="B164" s="1" t="s">
        <v>57</v>
      </c>
      <c r="C164" s="1" t="s">
        <v>25</v>
      </c>
      <c r="D164" s="2">
        <v>40751</v>
      </c>
      <c r="E164" s="2">
        <v>526726</v>
      </c>
      <c r="F164" s="4">
        <v>61082</v>
      </c>
    </row>
    <row r="165" spans="1:6" x14ac:dyDescent="0.3">
      <c r="A165" s="3">
        <v>2020</v>
      </c>
      <c r="B165" s="1" t="s">
        <v>57</v>
      </c>
      <c r="C165" s="1" t="s">
        <v>26</v>
      </c>
      <c r="D165" s="2">
        <v>55149</v>
      </c>
      <c r="E165" s="2">
        <v>745824</v>
      </c>
      <c r="F165" s="4">
        <v>51869</v>
      </c>
    </row>
    <row r="166" spans="1:6" x14ac:dyDescent="0.3">
      <c r="A166" s="3">
        <v>2020</v>
      </c>
      <c r="B166" s="1" t="s">
        <v>57</v>
      </c>
      <c r="C166" s="1" t="s">
        <v>27</v>
      </c>
      <c r="D166" s="2">
        <v>37255</v>
      </c>
      <c r="E166" s="2">
        <v>499190</v>
      </c>
      <c r="F166" s="4">
        <v>53843</v>
      </c>
    </row>
    <row r="167" spans="1:6" x14ac:dyDescent="0.3">
      <c r="A167" s="3">
        <v>2020</v>
      </c>
      <c r="B167" s="1" t="s">
        <v>57</v>
      </c>
      <c r="C167" s="1" t="s">
        <v>28</v>
      </c>
      <c r="D167" s="2">
        <v>19589</v>
      </c>
      <c r="E167" s="2">
        <v>226629</v>
      </c>
      <c r="F167" s="4">
        <v>40176</v>
      </c>
    </row>
    <row r="168" spans="1:6" x14ac:dyDescent="0.3">
      <c r="A168" s="3">
        <v>2020</v>
      </c>
      <c r="B168" s="1" t="s">
        <v>57</v>
      </c>
      <c r="C168" s="1" t="s">
        <v>29</v>
      </c>
      <c r="D168" s="2">
        <v>39646</v>
      </c>
      <c r="E168" s="2">
        <v>519916</v>
      </c>
      <c r="F168" s="4">
        <v>46520</v>
      </c>
    </row>
    <row r="169" spans="1:6" x14ac:dyDescent="0.3">
      <c r="A169" s="3">
        <v>2020</v>
      </c>
      <c r="B169" s="1" t="s">
        <v>57</v>
      </c>
      <c r="C169" s="1" t="s">
        <v>30</v>
      </c>
      <c r="D169" s="2">
        <v>9323</v>
      </c>
      <c r="E169" s="2">
        <v>89315</v>
      </c>
      <c r="F169" s="4">
        <v>43996</v>
      </c>
    </row>
    <row r="170" spans="1:6" x14ac:dyDescent="0.3">
      <c r="A170" s="3">
        <v>2020</v>
      </c>
      <c r="B170" s="1" t="s">
        <v>57</v>
      </c>
      <c r="C170" s="1" t="s">
        <v>31</v>
      </c>
      <c r="D170" s="2">
        <v>14748</v>
      </c>
      <c r="E170" s="2">
        <v>182745</v>
      </c>
      <c r="F170" s="4">
        <v>44095</v>
      </c>
    </row>
    <row r="171" spans="1:6" x14ac:dyDescent="0.3">
      <c r="A171" s="3">
        <v>2020</v>
      </c>
      <c r="B171" s="1" t="s">
        <v>57</v>
      </c>
      <c r="C171" s="1" t="s">
        <v>32</v>
      </c>
      <c r="D171" s="2">
        <v>15481</v>
      </c>
      <c r="E171" s="2">
        <v>252623</v>
      </c>
      <c r="F171" s="4">
        <v>48334</v>
      </c>
    </row>
    <row r="172" spans="1:6" x14ac:dyDescent="0.3">
      <c r="A172" s="3">
        <v>2020</v>
      </c>
      <c r="B172" s="1" t="s">
        <v>57</v>
      </c>
      <c r="C172" s="1" t="s">
        <v>33</v>
      </c>
      <c r="D172" s="2">
        <v>12460</v>
      </c>
      <c r="E172" s="2">
        <v>133196</v>
      </c>
      <c r="F172" s="4">
        <v>54425</v>
      </c>
    </row>
    <row r="173" spans="1:6" x14ac:dyDescent="0.3">
      <c r="A173" s="3">
        <v>2020</v>
      </c>
      <c r="B173" s="1" t="s">
        <v>57</v>
      </c>
      <c r="C173" s="1" t="s">
        <v>34</v>
      </c>
      <c r="D173" s="2">
        <v>54606</v>
      </c>
      <c r="E173" s="2">
        <v>820259</v>
      </c>
      <c r="F173" s="4">
        <v>58675</v>
      </c>
    </row>
    <row r="174" spans="1:6" x14ac:dyDescent="0.3">
      <c r="A174" s="3">
        <v>2020</v>
      </c>
      <c r="B174" s="1" t="s">
        <v>57</v>
      </c>
      <c r="C174" s="1" t="s">
        <v>35</v>
      </c>
      <c r="D174" s="2">
        <v>10949</v>
      </c>
      <c r="E174" s="2">
        <v>130261</v>
      </c>
      <c r="F174" s="4">
        <v>41086</v>
      </c>
    </row>
    <row r="175" spans="1:6" x14ac:dyDescent="0.3">
      <c r="A175" s="3">
        <v>2020</v>
      </c>
      <c r="B175" s="1" t="s">
        <v>57</v>
      </c>
      <c r="C175" s="1" t="s">
        <v>36</v>
      </c>
      <c r="D175" s="2">
        <v>118946</v>
      </c>
      <c r="E175" s="2">
        <v>1366746</v>
      </c>
      <c r="F175" s="4">
        <v>57939</v>
      </c>
    </row>
    <row r="176" spans="1:6" x14ac:dyDescent="0.3">
      <c r="A176" s="3">
        <v>2020</v>
      </c>
      <c r="B176" s="1" t="s">
        <v>57</v>
      </c>
      <c r="C176" s="1" t="s">
        <v>37</v>
      </c>
      <c r="D176" s="2">
        <v>63455</v>
      </c>
      <c r="E176" s="2">
        <v>844765</v>
      </c>
      <c r="F176" s="4">
        <v>47171</v>
      </c>
    </row>
    <row r="177" spans="1:6" x14ac:dyDescent="0.3">
      <c r="A177" s="3">
        <v>2020</v>
      </c>
      <c r="B177" s="1" t="s">
        <v>57</v>
      </c>
      <c r="C177" s="1" t="s">
        <v>38</v>
      </c>
      <c r="D177" s="2">
        <v>7745</v>
      </c>
      <c r="E177" s="2">
        <v>86570</v>
      </c>
      <c r="F177" s="4">
        <v>52657</v>
      </c>
    </row>
    <row r="178" spans="1:6" x14ac:dyDescent="0.3">
      <c r="A178" s="3">
        <v>2020</v>
      </c>
      <c r="B178" s="1" t="s">
        <v>57</v>
      </c>
      <c r="C178" s="1" t="s">
        <v>39</v>
      </c>
      <c r="D178" s="2">
        <v>68987</v>
      </c>
      <c r="E178" s="2">
        <v>998325</v>
      </c>
      <c r="F178" s="4">
        <v>48088</v>
      </c>
    </row>
    <row r="179" spans="1:6" x14ac:dyDescent="0.3">
      <c r="A179" s="3">
        <v>2020</v>
      </c>
      <c r="B179" s="1" t="s">
        <v>57</v>
      </c>
      <c r="C179" s="1" t="s">
        <v>40</v>
      </c>
      <c r="D179" s="2">
        <v>23912</v>
      </c>
      <c r="E179" s="2">
        <v>301828</v>
      </c>
      <c r="F179" s="4">
        <v>43388</v>
      </c>
    </row>
    <row r="180" spans="1:6" x14ac:dyDescent="0.3">
      <c r="A180" s="3">
        <v>2020</v>
      </c>
      <c r="B180" s="1" t="s">
        <v>57</v>
      </c>
      <c r="C180" s="1" t="s">
        <v>41</v>
      </c>
      <c r="D180" s="2">
        <v>26241</v>
      </c>
      <c r="E180" s="2">
        <v>346783</v>
      </c>
      <c r="F180" s="4">
        <v>49251</v>
      </c>
    </row>
    <row r="181" spans="1:6" x14ac:dyDescent="0.3">
      <c r="A181" s="3">
        <v>2020</v>
      </c>
      <c r="B181" s="1" t="s">
        <v>57</v>
      </c>
      <c r="C181" s="1" t="s">
        <v>42</v>
      </c>
      <c r="D181" s="2">
        <v>73985</v>
      </c>
      <c r="E181" s="2">
        <v>1054388</v>
      </c>
      <c r="F181" s="4">
        <v>49535</v>
      </c>
    </row>
    <row r="182" spans="1:6" x14ac:dyDescent="0.3">
      <c r="A182" s="3">
        <v>2020</v>
      </c>
      <c r="B182" s="1" t="s">
        <v>57</v>
      </c>
      <c r="C182" s="1" t="s">
        <v>43</v>
      </c>
      <c r="D182" s="2">
        <v>7816</v>
      </c>
      <c r="E182" s="2">
        <v>70764</v>
      </c>
      <c r="F182" s="4">
        <v>49493</v>
      </c>
    </row>
    <row r="183" spans="1:6" x14ac:dyDescent="0.3">
      <c r="A183" s="3">
        <v>2020</v>
      </c>
      <c r="B183" s="1" t="s">
        <v>57</v>
      </c>
      <c r="C183" s="1" t="s">
        <v>44</v>
      </c>
      <c r="D183" s="2">
        <v>31674</v>
      </c>
      <c r="E183" s="2">
        <v>400537</v>
      </c>
      <c r="F183" s="4">
        <v>43717</v>
      </c>
    </row>
    <row r="184" spans="1:6" x14ac:dyDescent="0.3">
      <c r="A184" s="3">
        <v>2020</v>
      </c>
      <c r="B184" s="1" t="s">
        <v>57</v>
      </c>
      <c r="C184" s="1" t="s">
        <v>45</v>
      </c>
      <c r="D184" s="2">
        <v>8068</v>
      </c>
      <c r="E184" s="2">
        <v>83179</v>
      </c>
      <c r="F184" s="4">
        <v>44162</v>
      </c>
    </row>
    <row r="185" spans="1:6" x14ac:dyDescent="0.3">
      <c r="A185" s="3">
        <v>2020</v>
      </c>
      <c r="B185" s="1" t="s">
        <v>57</v>
      </c>
      <c r="C185" s="1" t="s">
        <v>46</v>
      </c>
      <c r="D185" s="2">
        <v>40806</v>
      </c>
      <c r="E185" s="2">
        <v>627005</v>
      </c>
      <c r="F185" s="4">
        <v>50111</v>
      </c>
    </row>
    <row r="186" spans="1:6" x14ac:dyDescent="0.3">
      <c r="A186" s="3">
        <v>2020</v>
      </c>
      <c r="B186" s="1" t="s">
        <v>57</v>
      </c>
      <c r="C186" s="1" t="s">
        <v>47</v>
      </c>
      <c r="D186" s="2">
        <v>152438</v>
      </c>
      <c r="E186" s="2">
        <v>2453267</v>
      </c>
      <c r="F186" s="4">
        <v>56485</v>
      </c>
    </row>
    <row r="187" spans="1:6" x14ac:dyDescent="0.3">
      <c r="A187" s="3">
        <v>2020</v>
      </c>
      <c r="B187" s="1" t="s">
        <v>57</v>
      </c>
      <c r="C187" s="1" t="s">
        <v>48</v>
      </c>
      <c r="D187" s="2">
        <v>20535</v>
      </c>
      <c r="E187" s="2">
        <v>288623</v>
      </c>
      <c r="F187" s="4">
        <v>49353</v>
      </c>
    </row>
    <row r="188" spans="1:6" x14ac:dyDescent="0.3">
      <c r="A188" s="3">
        <v>2020</v>
      </c>
      <c r="B188" s="1" t="s">
        <v>57</v>
      </c>
      <c r="C188" s="1" t="s">
        <v>49</v>
      </c>
      <c r="D188" s="2">
        <v>5003</v>
      </c>
      <c r="E188" s="2">
        <v>49851</v>
      </c>
      <c r="F188" s="4">
        <v>45701</v>
      </c>
    </row>
    <row r="189" spans="1:6" x14ac:dyDescent="0.3">
      <c r="A189" s="3">
        <v>2020</v>
      </c>
      <c r="B189" s="1" t="s">
        <v>57</v>
      </c>
      <c r="C189" s="1" t="s">
        <v>50</v>
      </c>
      <c r="D189" s="2">
        <v>42564</v>
      </c>
      <c r="E189" s="2">
        <v>627729</v>
      </c>
      <c r="F189" s="4">
        <v>48371</v>
      </c>
    </row>
    <row r="190" spans="1:6" x14ac:dyDescent="0.3">
      <c r="A190" s="3">
        <v>2020</v>
      </c>
      <c r="B190" s="1" t="s">
        <v>57</v>
      </c>
      <c r="C190" s="1" t="s">
        <v>51</v>
      </c>
      <c r="D190" s="2">
        <v>38688</v>
      </c>
      <c r="E190" s="2">
        <v>615415</v>
      </c>
      <c r="F190" s="4">
        <v>74160</v>
      </c>
    </row>
    <row r="191" spans="1:6" x14ac:dyDescent="0.3">
      <c r="A191" s="3">
        <v>2020</v>
      </c>
      <c r="B191" s="1" t="s">
        <v>57</v>
      </c>
      <c r="C191" s="1" t="s">
        <v>52</v>
      </c>
      <c r="D191" s="2">
        <v>10611</v>
      </c>
      <c r="E191" s="2">
        <v>118677</v>
      </c>
      <c r="F191" s="4">
        <v>42085</v>
      </c>
    </row>
    <row r="192" spans="1:6" x14ac:dyDescent="0.3">
      <c r="A192" s="3">
        <v>2020</v>
      </c>
      <c r="B192" s="1" t="s">
        <v>57</v>
      </c>
      <c r="C192" s="1" t="s">
        <v>53</v>
      </c>
      <c r="D192" s="2">
        <v>35812</v>
      </c>
      <c r="E192" s="2">
        <v>517930</v>
      </c>
      <c r="F192" s="4">
        <v>45165</v>
      </c>
    </row>
    <row r="193" spans="1:6" x14ac:dyDescent="0.3">
      <c r="A193" s="3">
        <v>2020</v>
      </c>
      <c r="B193" s="1" t="s">
        <v>57</v>
      </c>
      <c r="C193" s="1" t="s">
        <v>54</v>
      </c>
      <c r="D193" s="2">
        <v>4840</v>
      </c>
      <c r="E193" s="2">
        <v>48509</v>
      </c>
      <c r="F193" s="4">
        <v>44879</v>
      </c>
    </row>
    <row r="194" spans="1:6" x14ac:dyDescent="0.3">
      <c r="A194" s="3">
        <v>2020</v>
      </c>
      <c r="B194" s="1" t="s">
        <v>58</v>
      </c>
      <c r="C194" s="1" t="s">
        <v>7</v>
      </c>
      <c r="D194" s="2">
        <v>2566</v>
      </c>
      <c r="E194" s="2">
        <v>19310</v>
      </c>
      <c r="F194" s="4">
        <v>69393</v>
      </c>
    </row>
    <row r="195" spans="1:6" x14ac:dyDescent="0.3">
      <c r="A195" s="3">
        <v>2020</v>
      </c>
      <c r="B195" s="1" t="s">
        <v>58</v>
      </c>
      <c r="C195" s="1" t="s">
        <v>8</v>
      </c>
      <c r="D195" s="2">
        <v>4017</v>
      </c>
      <c r="E195" s="2">
        <v>45513</v>
      </c>
      <c r="F195" s="4">
        <v>90871</v>
      </c>
    </row>
    <row r="196" spans="1:6" x14ac:dyDescent="0.3">
      <c r="A196" s="3">
        <v>2020</v>
      </c>
      <c r="B196" s="1" t="s">
        <v>58</v>
      </c>
      <c r="C196" s="1" t="s">
        <v>9</v>
      </c>
      <c r="D196" s="2">
        <v>1536</v>
      </c>
      <c r="E196" s="2">
        <v>11509</v>
      </c>
      <c r="F196" s="4">
        <v>69820</v>
      </c>
    </row>
    <row r="197" spans="1:6" x14ac:dyDescent="0.3">
      <c r="A197" s="3">
        <v>2020</v>
      </c>
      <c r="B197" s="1" t="s">
        <v>58</v>
      </c>
      <c r="C197" s="1" t="s">
        <v>10</v>
      </c>
      <c r="D197" s="2">
        <v>29491</v>
      </c>
      <c r="E197" s="2">
        <v>527549</v>
      </c>
      <c r="F197" s="4">
        <v>217892</v>
      </c>
    </row>
    <row r="198" spans="1:6" x14ac:dyDescent="0.3">
      <c r="A198" s="3">
        <v>2020</v>
      </c>
      <c r="B198" s="1" t="s">
        <v>58</v>
      </c>
      <c r="C198" s="1" t="s">
        <v>11</v>
      </c>
      <c r="D198" s="2">
        <v>4548</v>
      </c>
      <c r="E198" s="2">
        <v>74867</v>
      </c>
      <c r="F198" s="4">
        <v>123495</v>
      </c>
    </row>
    <row r="199" spans="1:6" x14ac:dyDescent="0.3">
      <c r="A199" s="3">
        <v>2020</v>
      </c>
      <c r="B199" s="1" t="s">
        <v>58</v>
      </c>
      <c r="C199" s="1" t="s">
        <v>12</v>
      </c>
      <c r="D199" s="2">
        <v>2880</v>
      </c>
      <c r="E199" s="2">
        <v>29237</v>
      </c>
      <c r="F199" s="4">
        <v>138917</v>
      </c>
    </row>
    <row r="200" spans="1:6" x14ac:dyDescent="0.3">
      <c r="A200" s="3">
        <v>2020</v>
      </c>
      <c r="B200" s="1" t="s">
        <v>58</v>
      </c>
      <c r="C200" s="1" t="s">
        <v>13</v>
      </c>
      <c r="D200" s="1">
        <v>549</v>
      </c>
      <c r="E200" s="2">
        <v>3622</v>
      </c>
      <c r="F200" s="4">
        <v>78966</v>
      </c>
    </row>
    <row r="201" spans="1:6" x14ac:dyDescent="0.3">
      <c r="A201" s="3">
        <v>2020</v>
      </c>
      <c r="B201" s="1" t="s">
        <v>58</v>
      </c>
      <c r="C201" s="1" t="s">
        <v>14</v>
      </c>
      <c r="D201" s="2">
        <v>12659</v>
      </c>
      <c r="E201" s="2">
        <v>130298</v>
      </c>
      <c r="F201" s="4">
        <v>93350</v>
      </c>
    </row>
    <row r="202" spans="1:6" x14ac:dyDescent="0.3">
      <c r="A202" s="3">
        <v>2020</v>
      </c>
      <c r="B202" s="1" t="s">
        <v>58</v>
      </c>
      <c r="C202" s="1" t="s">
        <v>15</v>
      </c>
      <c r="D202" s="2">
        <v>6010</v>
      </c>
      <c r="E202" s="2">
        <v>109190</v>
      </c>
      <c r="F202" s="4">
        <v>108735</v>
      </c>
    </row>
    <row r="203" spans="1:6" x14ac:dyDescent="0.3">
      <c r="A203" s="3">
        <v>2020</v>
      </c>
      <c r="B203" s="1" t="s">
        <v>58</v>
      </c>
      <c r="C203" s="1" t="s">
        <v>16</v>
      </c>
      <c r="D203" s="2">
        <v>1385</v>
      </c>
      <c r="E203" s="2">
        <v>7346</v>
      </c>
      <c r="F203" s="4">
        <v>64408</v>
      </c>
    </row>
    <row r="204" spans="1:6" x14ac:dyDescent="0.3">
      <c r="A204" s="3">
        <v>2020</v>
      </c>
      <c r="B204" s="1" t="s">
        <v>58</v>
      </c>
      <c r="C204" s="1" t="s">
        <v>17</v>
      </c>
      <c r="D204" s="2">
        <v>7162</v>
      </c>
      <c r="E204" s="2">
        <v>87520</v>
      </c>
      <c r="F204" s="4">
        <v>110059</v>
      </c>
    </row>
    <row r="205" spans="1:6" x14ac:dyDescent="0.3">
      <c r="A205" s="3">
        <v>2020</v>
      </c>
      <c r="B205" s="1" t="s">
        <v>58</v>
      </c>
      <c r="C205" s="1" t="s">
        <v>18</v>
      </c>
      <c r="D205" s="2">
        <v>2521</v>
      </c>
      <c r="E205" s="2">
        <v>26075</v>
      </c>
      <c r="F205" s="4">
        <v>67191</v>
      </c>
    </row>
    <row r="206" spans="1:6" x14ac:dyDescent="0.3">
      <c r="A206" s="3">
        <v>2020</v>
      </c>
      <c r="B206" s="1" t="s">
        <v>58</v>
      </c>
      <c r="C206" s="1" t="s">
        <v>19</v>
      </c>
      <c r="D206" s="2">
        <v>1811</v>
      </c>
      <c r="E206" s="2">
        <v>19135</v>
      </c>
      <c r="F206" s="4">
        <v>66858</v>
      </c>
    </row>
    <row r="207" spans="1:6" x14ac:dyDescent="0.3">
      <c r="A207" s="3">
        <v>2020</v>
      </c>
      <c r="B207" s="1" t="s">
        <v>58</v>
      </c>
      <c r="C207" s="1" t="s">
        <v>20</v>
      </c>
      <c r="D207" s="2">
        <v>1561</v>
      </c>
      <c r="E207" s="2">
        <v>16734</v>
      </c>
      <c r="F207" s="4">
        <v>73749</v>
      </c>
    </row>
    <row r="208" spans="1:6" x14ac:dyDescent="0.3">
      <c r="A208" s="3">
        <v>2020</v>
      </c>
      <c r="B208" s="1" t="s">
        <v>58</v>
      </c>
      <c r="C208" s="1" t="s">
        <v>21</v>
      </c>
      <c r="D208" s="2">
        <v>2111</v>
      </c>
      <c r="E208" s="2">
        <v>20268</v>
      </c>
      <c r="F208" s="4">
        <v>63462</v>
      </c>
    </row>
    <row r="209" spans="1:6" x14ac:dyDescent="0.3">
      <c r="A209" s="3">
        <v>2020</v>
      </c>
      <c r="B209" s="1" t="s">
        <v>58</v>
      </c>
      <c r="C209" s="1" t="s">
        <v>22</v>
      </c>
      <c r="D209" s="2">
        <v>1935</v>
      </c>
      <c r="E209" s="2">
        <v>18712</v>
      </c>
      <c r="F209" s="4">
        <v>65700</v>
      </c>
    </row>
    <row r="210" spans="1:6" x14ac:dyDescent="0.3">
      <c r="A210" s="3">
        <v>2020</v>
      </c>
      <c r="B210" s="1" t="s">
        <v>58</v>
      </c>
      <c r="C210" s="1" t="s">
        <v>23</v>
      </c>
      <c r="D210" s="1">
        <v>916</v>
      </c>
      <c r="E210" s="2">
        <v>6415</v>
      </c>
      <c r="F210" s="4">
        <v>64265</v>
      </c>
    </row>
    <row r="211" spans="1:6" x14ac:dyDescent="0.3">
      <c r="A211" s="3">
        <v>2020</v>
      </c>
      <c r="B211" s="1" t="s">
        <v>58</v>
      </c>
      <c r="C211" s="1" t="s">
        <v>24</v>
      </c>
      <c r="D211" s="2">
        <v>2855</v>
      </c>
      <c r="E211" s="2">
        <v>33029</v>
      </c>
      <c r="F211" s="4">
        <v>110569</v>
      </c>
    </row>
    <row r="212" spans="1:6" x14ac:dyDescent="0.3">
      <c r="A212" s="3">
        <v>2020</v>
      </c>
      <c r="B212" s="1" t="s">
        <v>58</v>
      </c>
      <c r="C212" s="1" t="s">
        <v>25</v>
      </c>
      <c r="D212" s="2">
        <v>6073</v>
      </c>
      <c r="E212" s="2">
        <v>89231</v>
      </c>
      <c r="F212" s="4">
        <v>146746</v>
      </c>
    </row>
    <row r="213" spans="1:6" x14ac:dyDescent="0.3">
      <c r="A213" s="3">
        <v>2020</v>
      </c>
      <c r="B213" s="1" t="s">
        <v>58</v>
      </c>
      <c r="C213" s="1" t="s">
        <v>26</v>
      </c>
      <c r="D213" s="2">
        <v>7671</v>
      </c>
      <c r="E213" s="2">
        <v>50511</v>
      </c>
      <c r="F213" s="4">
        <v>88745</v>
      </c>
    </row>
    <row r="214" spans="1:6" x14ac:dyDescent="0.3">
      <c r="A214" s="3">
        <v>2020</v>
      </c>
      <c r="B214" s="1" t="s">
        <v>58</v>
      </c>
      <c r="C214" s="1" t="s">
        <v>27</v>
      </c>
      <c r="D214" s="2">
        <v>4304</v>
      </c>
      <c r="E214" s="2">
        <v>43145</v>
      </c>
      <c r="F214" s="4">
        <v>92292</v>
      </c>
    </row>
    <row r="215" spans="1:6" x14ac:dyDescent="0.3">
      <c r="A215" s="3">
        <v>2020</v>
      </c>
      <c r="B215" s="1" t="s">
        <v>58</v>
      </c>
      <c r="C215" s="1" t="s">
        <v>28</v>
      </c>
      <c r="D215" s="1">
        <v>964</v>
      </c>
      <c r="E215" s="2">
        <v>9629</v>
      </c>
      <c r="F215" s="4">
        <v>54301</v>
      </c>
    </row>
    <row r="216" spans="1:6" x14ac:dyDescent="0.3">
      <c r="A216" s="3">
        <v>2020</v>
      </c>
      <c r="B216" s="1" t="s">
        <v>58</v>
      </c>
      <c r="C216" s="1" t="s">
        <v>29</v>
      </c>
      <c r="D216" s="2">
        <v>3562</v>
      </c>
      <c r="E216" s="2">
        <v>43675</v>
      </c>
      <c r="F216" s="4">
        <v>89327</v>
      </c>
    </row>
    <row r="217" spans="1:6" x14ac:dyDescent="0.3">
      <c r="A217" s="3">
        <v>2020</v>
      </c>
      <c r="B217" s="1" t="s">
        <v>58</v>
      </c>
      <c r="C217" s="1" t="s">
        <v>30</v>
      </c>
      <c r="D217" s="1">
        <v>856</v>
      </c>
      <c r="E217" s="2">
        <v>5797</v>
      </c>
      <c r="F217" s="4">
        <v>65673</v>
      </c>
    </row>
    <row r="218" spans="1:6" x14ac:dyDescent="0.3">
      <c r="A218" s="3">
        <v>2020</v>
      </c>
      <c r="B218" s="1" t="s">
        <v>58</v>
      </c>
      <c r="C218" s="1" t="s">
        <v>31</v>
      </c>
      <c r="D218" s="2">
        <v>1071</v>
      </c>
      <c r="E218" s="2">
        <v>16165</v>
      </c>
      <c r="F218" s="4">
        <v>76361</v>
      </c>
    </row>
    <row r="219" spans="1:6" x14ac:dyDescent="0.3">
      <c r="A219" s="3">
        <v>2020</v>
      </c>
      <c r="B219" s="1" t="s">
        <v>58</v>
      </c>
      <c r="C219" s="1" t="s">
        <v>32</v>
      </c>
      <c r="D219" s="2">
        <v>1609</v>
      </c>
      <c r="E219" s="2">
        <v>13306</v>
      </c>
      <c r="F219" s="4">
        <v>88353</v>
      </c>
    </row>
    <row r="220" spans="1:6" x14ac:dyDescent="0.3">
      <c r="A220" s="3">
        <v>2020</v>
      </c>
      <c r="B220" s="1" t="s">
        <v>58</v>
      </c>
      <c r="C220" s="1" t="s">
        <v>33</v>
      </c>
      <c r="D220" s="2">
        <v>1168</v>
      </c>
      <c r="E220" s="2">
        <v>11735</v>
      </c>
      <c r="F220" s="4">
        <v>107194</v>
      </c>
    </row>
    <row r="221" spans="1:6" x14ac:dyDescent="0.3">
      <c r="A221" s="3">
        <v>2020</v>
      </c>
      <c r="B221" s="1" t="s">
        <v>58</v>
      </c>
      <c r="C221" s="1" t="s">
        <v>34</v>
      </c>
      <c r="D221" s="2">
        <v>3965</v>
      </c>
      <c r="E221" s="2">
        <v>67885</v>
      </c>
      <c r="F221" s="4">
        <v>130541</v>
      </c>
    </row>
    <row r="222" spans="1:6" x14ac:dyDescent="0.3">
      <c r="A222" s="3">
        <v>2020</v>
      </c>
      <c r="B222" s="1" t="s">
        <v>58</v>
      </c>
      <c r="C222" s="1" t="s">
        <v>35</v>
      </c>
      <c r="D222" s="2">
        <v>1108</v>
      </c>
      <c r="E222" s="2">
        <v>9076</v>
      </c>
      <c r="F222" s="4">
        <v>62393</v>
      </c>
    </row>
    <row r="223" spans="1:6" x14ac:dyDescent="0.3">
      <c r="A223" s="3">
        <v>2020</v>
      </c>
      <c r="B223" s="1" t="s">
        <v>58</v>
      </c>
      <c r="C223" s="1" t="s">
        <v>36</v>
      </c>
      <c r="D223" s="2">
        <v>14380</v>
      </c>
      <c r="E223" s="2">
        <v>267749</v>
      </c>
      <c r="F223" s="4">
        <v>154357</v>
      </c>
    </row>
    <row r="224" spans="1:6" x14ac:dyDescent="0.3">
      <c r="A224" s="3">
        <v>2020</v>
      </c>
      <c r="B224" s="1" t="s">
        <v>58</v>
      </c>
      <c r="C224" s="1" t="s">
        <v>37</v>
      </c>
      <c r="D224" s="2">
        <v>6302</v>
      </c>
      <c r="E224" s="2">
        <v>73440</v>
      </c>
      <c r="F224" s="4">
        <v>96207</v>
      </c>
    </row>
    <row r="225" spans="1:6" x14ac:dyDescent="0.3">
      <c r="A225" s="3">
        <v>2020</v>
      </c>
      <c r="B225" s="1" t="s">
        <v>58</v>
      </c>
      <c r="C225" s="1" t="s">
        <v>38</v>
      </c>
      <c r="D225" s="1">
        <v>417</v>
      </c>
      <c r="E225" s="2">
        <v>5780</v>
      </c>
      <c r="F225" s="4">
        <v>79624</v>
      </c>
    </row>
    <row r="226" spans="1:6" x14ac:dyDescent="0.3">
      <c r="A226" s="3">
        <v>2020</v>
      </c>
      <c r="B226" s="1" t="s">
        <v>58</v>
      </c>
      <c r="C226" s="1" t="s">
        <v>39</v>
      </c>
      <c r="D226" s="2">
        <v>5303</v>
      </c>
      <c r="E226" s="2">
        <v>63865</v>
      </c>
      <c r="F226" s="4">
        <v>80052</v>
      </c>
    </row>
    <row r="227" spans="1:6" x14ac:dyDescent="0.3">
      <c r="A227" s="3">
        <v>2020</v>
      </c>
      <c r="B227" s="1" t="s">
        <v>58</v>
      </c>
      <c r="C227" s="1" t="s">
        <v>40</v>
      </c>
      <c r="D227" s="2">
        <v>1572</v>
      </c>
      <c r="E227" s="2">
        <v>18256</v>
      </c>
      <c r="F227" s="4">
        <v>63710</v>
      </c>
    </row>
    <row r="228" spans="1:6" x14ac:dyDescent="0.3">
      <c r="A228" s="3">
        <v>2020</v>
      </c>
      <c r="B228" s="1" t="s">
        <v>58</v>
      </c>
      <c r="C228" s="1" t="s">
        <v>41</v>
      </c>
      <c r="D228" s="2">
        <v>4605</v>
      </c>
      <c r="E228" s="2">
        <v>33218</v>
      </c>
      <c r="F228" s="4">
        <v>101737</v>
      </c>
    </row>
    <row r="229" spans="1:6" x14ac:dyDescent="0.3">
      <c r="A229" s="3">
        <v>2020</v>
      </c>
      <c r="B229" s="1" t="s">
        <v>58</v>
      </c>
      <c r="C229" s="1" t="s">
        <v>42</v>
      </c>
      <c r="D229" s="2">
        <v>5891</v>
      </c>
      <c r="E229" s="2">
        <v>82872</v>
      </c>
      <c r="F229" s="4">
        <v>107388</v>
      </c>
    </row>
    <row r="230" spans="1:6" x14ac:dyDescent="0.3">
      <c r="A230" s="3">
        <v>2020</v>
      </c>
      <c r="B230" s="1" t="s">
        <v>58</v>
      </c>
      <c r="C230" s="1" t="s">
        <v>43</v>
      </c>
      <c r="D230" s="1">
        <v>762</v>
      </c>
      <c r="E230" s="2">
        <v>5243</v>
      </c>
      <c r="F230" s="4">
        <v>87286</v>
      </c>
    </row>
    <row r="231" spans="1:6" x14ac:dyDescent="0.3">
      <c r="A231" s="3">
        <v>2020</v>
      </c>
      <c r="B231" s="1" t="s">
        <v>58</v>
      </c>
      <c r="C231" s="1" t="s">
        <v>44</v>
      </c>
      <c r="D231" s="2">
        <v>3216</v>
      </c>
      <c r="E231" s="2">
        <v>24744</v>
      </c>
      <c r="F231" s="4">
        <v>73562</v>
      </c>
    </row>
    <row r="232" spans="1:6" x14ac:dyDescent="0.3">
      <c r="A232" s="3">
        <v>2020</v>
      </c>
      <c r="B232" s="1" t="s">
        <v>58</v>
      </c>
      <c r="C232" s="1" t="s">
        <v>45</v>
      </c>
      <c r="D232" s="1">
        <v>606</v>
      </c>
      <c r="E232" s="2">
        <v>5074</v>
      </c>
      <c r="F232" s="4">
        <v>58069</v>
      </c>
    </row>
    <row r="233" spans="1:6" x14ac:dyDescent="0.3">
      <c r="A233" s="3">
        <v>2020</v>
      </c>
      <c r="B233" s="1" t="s">
        <v>58</v>
      </c>
      <c r="C233" s="1" t="s">
        <v>46</v>
      </c>
      <c r="D233" s="2">
        <v>4525</v>
      </c>
      <c r="E233" s="2">
        <v>42929</v>
      </c>
      <c r="F233" s="4">
        <v>81293</v>
      </c>
    </row>
    <row r="234" spans="1:6" x14ac:dyDescent="0.3">
      <c r="A234" s="3">
        <v>2020</v>
      </c>
      <c r="B234" s="1" t="s">
        <v>58</v>
      </c>
      <c r="C234" s="1" t="s">
        <v>47</v>
      </c>
      <c r="D234" s="2">
        <v>11822</v>
      </c>
      <c r="E234" s="2">
        <v>198521</v>
      </c>
      <c r="F234" s="4">
        <v>102835</v>
      </c>
    </row>
    <row r="235" spans="1:6" x14ac:dyDescent="0.3">
      <c r="A235" s="3">
        <v>2020</v>
      </c>
      <c r="B235" s="1" t="s">
        <v>58</v>
      </c>
      <c r="C235" s="1" t="s">
        <v>48</v>
      </c>
      <c r="D235" s="2">
        <v>3177</v>
      </c>
      <c r="E235" s="2">
        <v>37222</v>
      </c>
      <c r="F235" s="4">
        <v>96974</v>
      </c>
    </row>
    <row r="236" spans="1:6" x14ac:dyDescent="0.3">
      <c r="A236" s="3">
        <v>2020</v>
      </c>
      <c r="B236" s="1" t="s">
        <v>58</v>
      </c>
      <c r="C236" s="1" t="s">
        <v>49</v>
      </c>
      <c r="D236" s="1">
        <v>584</v>
      </c>
      <c r="E236" s="2">
        <v>3961</v>
      </c>
      <c r="F236" s="4">
        <v>68605</v>
      </c>
    </row>
    <row r="237" spans="1:6" x14ac:dyDescent="0.3">
      <c r="A237" s="3">
        <v>2020</v>
      </c>
      <c r="B237" s="1" t="s">
        <v>58</v>
      </c>
      <c r="C237" s="1" t="s">
        <v>50</v>
      </c>
      <c r="D237" s="2">
        <v>4875</v>
      </c>
      <c r="E237" s="2">
        <v>64840</v>
      </c>
      <c r="F237" s="4">
        <v>117848</v>
      </c>
    </row>
    <row r="238" spans="1:6" x14ac:dyDescent="0.3">
      <c r="A238" s="3">
        <v>2020</v>
      </c>
      <c r="B238" s="1" t="s">
        <v>58</v>
      </c>
      <c r="C238" s="1" t="s">
        <v>51</v>
      </c>
      <c r="D238" s="2">
        <v>5419</v>
      </c>
      <c r="E238" s="2">
        <v>148556</v>
      </c>
      <c r="F238" s="4">
        <v>242273</v>
      </c>
    </row>
    <row r="239" spans="1:6" x14ac:dyDescent="0.3">
      <c r="A239" s="3">
        <v>2020</v>
      </c>
      <c r="B239" s="1" t="s">
        <v>58</v>
      </c>
      <c r="C239" s="1" t="s">
        <v>52</v>
      </c>
      <c r="D239" s="1">
        <v>825</v>
      </c>
      <c r="E239" s="2">
        <v>7215</v>
      </c>
      <c r="F239" s="4">
        <v>58063</v>
      </c>
    </row>
    <row r="240" spans="1:6" x14ac:dyDescent="0.3">
      <c r="A240" s="3">
        <v>2020</v>
      </c>
      <c r="B240" s="1" t="s">
        <v>58</v>
      </c>
      <c r="C240" s="1" t="s">
        <v>53</v>
      </c>
      <c r="D240" s="2">
        <v>2400</v>
      </c>
      <c r="E240" s="2">
        <v>44846</v>
      </c>
      <c r="F240" s="4">
        <v>88336</v>
      </c>
    </row>
    <row r="241" spans="1:6" x14ac:dyDescent="0.3">
      <c r="A241" s="3">
        <v>2020</v>
      </c>
      <c r="B241" s="1" t="s">
        <v>58</v>
      </c>
      <c r="C241" s="1" t="s">
        <v>54</v>
      </c>
      <c r="D241" s="1">
        <v>428</v>
      </c>
      <c r="E241" s="2">
        <v>3000</v>
      </c>
      <c r="F241" s="4">
        <v>54299</v>
      </c>
    </row>
    <row r="242" spans="1:6" x14ac:dyDescent="0.3">
      <c r="A242" s="3">
        <v>2020</v>
      </c>
      <c r="B242" s="1" t="s">
        <v>59</v>
      </c>
      <c r="C242" s="1" t="s">
        <v>7</v>
      </c>
      <c r="D242" s="2">
        <v>13880</v>
      </c>
      <c r="E242" s="2">
        <v>94715</v>
      </c>
      <c r="F242" s="4">
        <v>75982</v>
      </c>
    </row>
    <row r="243" spans="1:6" x14ac:dyDescent="0.3">
      <c r="A243" s="3">
        <v>2020</v>
      </c>
      <c r="B243" s="1" t="s">
        <v>59</v>
      </c>
      <c r="C243" s="1" t="s">
        <v>8</v>
      </c>
      <c r="D243" s="2">
        <v>20707</v>
      </c>
      <c r="E243" s="2">
        <v>225922</v>
      </c>
      <c r="F243" s="4">
        <v>82956</v>
      </c>
    </row>
    <row r="244" spans="1:6" x14ac:dyDescent="0.3">
      <c r="A244" s="3">
        <v>2020</v>
      </c>
      <c r="B244" s="1" t="s">
        <v>59</v>
      </c>
      <c r="C244" s="1" t="s">
        <v>9</v>
      </c>
      <c r="D244" s="2">
        <v>8906</v>
      </c>
      <c r="E244" s="2">
        <v>51950</v>
      </c>
      <c r="F244" s="4">
        <v>65321</v>
      </c>
    </row>
    <row r="245" spans="1:6" x14ac:dyDescent="0.3">
      <c r="A245" s="3">
        <v>2020</v>
      </c>
      <c r="B245" s="1" t="s">
        <v>59</v>
      </c>
      <c r="C245" s="1" t="s">
        <v>10</v>
      </c>
      <c r="D245" s="2">
        <v>112775</v>
      </c>
      <c r="E245" s="2">
        <v>817007</v>
      </c>
      <c r="F245" s="4">
        <v>124107</v>
      </c>
    </row>
    <row r="246" spans="1:6" x14ac:dyDescent="0.3">
      <c r="A246" s="3">
        <v>2020</v>
      </c>
      <c r="B246" s="1" t="s">
        <v>59</v>
      </c>
      <c r="C246" s="1" t="s">
        <v>11</v>
      </c>
      <c r="D246" s="2">
        <v>25139</v>
      </c>
      <c r="E246" s="2">
        <v>165271</v>
      </c>
      <c r="F246" s="4">
        <v>97276</v>
      </c>
    </row>
    <row r="247" spans="1:6" x14ac:dyDescent="0.3">
      <c r="A247" s="3">
        <v>2020</v>
      </c>
      <c r="B247" s="1" t="s">
        <v>59</v>
      </c>
      <c r="C247" s="1" t="s">
        <v>12</v>
      </c>
      <c r="D247" s="2">
        <v>11223</v>
      </c>
      <c r="E247" s="2">
        <v>118168</v>
      </c>
      <c r="F247" s="4">
        <v>165086</v>
      </c>
    </row>
    <row r="248" spans="1:6" x14ac:dyDescent="0.3">
      <c r="A248" s="3">
        <v>2020</v>
      </c>
      <c r="B248" s="1" t="s">
        <v>59</v>
      </c>
      <c r="C248" s="1" t="s">
        <v>13</v>
      </c>
      <c r="D248" s="2">
        <v>3005</v>
      </c>
      <c r="E248" s="2">
        <v>47390</v>
      </c>
      <c r="F248" s="4">
        <v>103154</v>
      </c>
    </row>
    <row r="249" spans="1:6" x14ac:dyDescent="0.3">
      <c r="A249" s="3">
        <v>2020</v>
      </c>
      <c r="B249" s="1" t="s">
        <v>59</v>
      </c>
      <c r="C249" s="1" t="s">
        <v>14</v>
      </c>
      <c r="D249" s="2">
        <v>80956</v>
      </c>
      <c r="E249" s="2">
        <v>586706</v>
      </c>
      <c r="F249" s="4">
        <v>84307</v>
      </c>
    </row>
    <row r="250" spans="1:6" x14ac:dyDescent="0.3">
      <c r="A250" s="3">
        <v>2020</v>
      </c>
      <c r="B250" s="1" t="s">
        <v>59</v>
      </c>
      <c r="C250" s="1" t="s">
        <v>15</v>
      </c>
      <c r="D250" s="2">
        <v>28810</v>
      </c>
      <c r="E250" s="2">
        <v>242175</v>
      </c>
      <c r="F250" s="4">
        <v>93145</v>
      </c>
    </row>
    <row r="251" spans="1:6" x14ac:dyDescent="0.3">
      <c r="A251" s="3">
        <v>2020</v>
      </c>
      <c r="B251" s="1" t="s">
        <v>59</v>
      </c>
      <c r="C251" s="1" t="s">
        <v>16</v>
      </c>
      <c r="D251" s="2">
        <v>6508</v>
      </c>
      <c r="E251" s="2">
        <v>34249</v>
      </c>
      <c r="F251" s="4">
        <v>68833</v>
      </c>
    </row>
    <row r="252" spans="1:6" x14ac:dyDescent="0.3">
      <c r="A252" s="3">
        <v>2020</v>
      </c>
      <c r="B252" s="1" t="s">
        <v>59</v>
      </c>
      <c r="C252" s="1" t="s">
        <v>17</v>
      </c>
      <c r="D252" s="2">
        <v>33063</v>
      </c>
      <c r="E252" s="2">
        <v>376539</v>
      </c>
      <c r="F252" s="4">
        <v>121634</v>
      </c>
    </row>
    <row r="253" spans="1:6" x14ac:dyDescent="0.3">
      <c r="A253" s="3">
        <v>2020</v>
      </c>
      <c r="B253" s="1" t="s">
        <v>59</v>
      </c>
      <c r="C253" s="1" t="s">
        <v>18</v>
      </c>
      <c r="D253" s="2">
        <v>17574</v>
      </c>
      <c r="E253" s="2">
        <v>133449</v>
      </c>
      <c r="F253" s="4">
        <v>72283</v>
      </c>
    </row>
    <row r="254" spans="1:6" x14ac:dyDescent="0.3">
      <c r="A254" s="3">
        <v>2020</v>
      </c>
      <c r="B254" s="1" t="s">
        <v>59</v>
      </c>
      <c r="C254" s="1" t="s">
        <v>19</v>
      </c>
      <c r="D254" s="2">
        <v>10731</v>
      </c>
      <c r="E254" s="2">
        <v>109283</v>
      </c>
      <c r="F254" s="4">
        <v>81131</v>
      </c>
    </row>
    <row r="255" spans="1:6" x14ac:dyDescent="0.3">
      <c r="A255" s="3">
        <v>2020</v>
      </c>
      <c r="B255" s="1" t="s">
        <v>59</v>
      </c>
      <c r="C255" s="1" t="s">
        <v>20</v>
      </c>
      <c r="D255" s="2">
        <v>8752</v>
      </c>
      <c r="E255" s="2">
        <v>73310</v>
      </c>
      <c r="F255" s="4">
        <v>75889</v>
      </c>
    </row>
    <row r="256" spans="1:6" x14ac:dyDescent="0.3">
      <c r="A256" s="3">
        <v>2020</v>
      </c>
      <c r="B256" s="1" t="s">
        <v>59</v>
      </c>
      <c r="C256" s="1" t="s">
        <v>21</v>
      </c>
      <c r="D256" s="2">
        <v>11729</v>
      </c>
      <c r="E256" s="2">
        <v>92079</v>
      </c>
      <c r="F256" s="4">
        <v>75177</v>
      </c>
    </row>
    <row r="257" spans="1:6" x14ac:dyDescent="0.3">
      <c r="A257" s="3">
        <v>2020</v>
      </c>
      <c r="B257" s="1" t="s">
        <v>59</v>
      </c>
      <c r="C257" s="1" t="s">
        <v>22</v>
      </c>
      <c r="D257" s="2">
        <v>14229</v>
      </c>
      <c r="E257" s="2">
        <v>81149</v>
      </c>
      <c r="F257" s="4">
        <v>69409</v>
      </c>
    </row>
    <row r="258" spans="1:6" x14ac:dyDescent="0.3">
      <c r="A258" s="3">
        <v>2020</v>
      </c>
      <c r="B258" s="1" t="s">
        <v>59</v>
      </c>
      <c r="C258" s="1" t="s">
        <v>23</v>
      </c>
      <c r="D258" s="2">
        <v>3926</v>
      </c>
      <c r="E258" s="2">
        <v>30107</v>
      </c>
      <c r="F258" s="4">
        <v>75870</v>
      </c>
    </row>
    <row r="259" spans="1:6" x14ac:dyDescent="0.3">
      <c r="A259" s="3">
        <v>2020</v>
      </c>
      <c r="B259" s="1" t="s">
        <v>59</v>
      </c>
      <c r="C259" s="1" t="s">
        <v>24</v>
      </c>
      <c r="D259" s="2">
        <v>15692</v>
      </c>
      <c r="E259" s="2">
        <v>129771</v>
      </c>
      <c r="F259" s="4">
        <v>110159</v>
      </c>
    </row>
    <row r="260" spans="1:6" x14ac:dyDescent="0.3">
      <c r="A260" s="3">
        <v>2020</v>
      </c>
      <c r="B260" s="1" t="s">
        <v>59</v>
      </c>
      <c r="C260" s="1" t="s">
        <v>25</v>
      </c>
      <c r="D260" s="2">
        <v>18137</v>
      </c>
      <c r="E260" s="2">
        <v>212062</v>
      </c>
      <c r="F260" s="4">
        <v>159120</v>
      </c>
    </row>
    <row r="261" spans="1:6" x14ac:dyDescent="0.3">
      <c r="A261" s="3">
        <v>2020</v>
      </c>
      <c r="B261" s="1" t="s">
        <v>59</v>
      </c>
      <c r="C261" s="1" t="s">
        <v>26</v>
      </c>
      <c r="D261" s="2">
        <v>20626</v>
      </c>
      <c r="E261" s="2">
        <v>207448</v>
      </c>
      <c r="F261" s="4">
        <v>81720</v>
      </c>
    </row>
    <row r="262" spans="1:6" x14ac:dyDescent="0.3">
      <c r="A262" s="3">
        <v>2020</v>
      </c>
      <c r="B262" s="1" t="s">
        <v>59</v>
      </c>
      <c r="C262" s="1" t="s">
        <v>27</v>
      </c>
      <c r="D262" s="2">
        <v>16134</v>
      </c>
      <c r="E262" s="2">
        <v>179728</v>
      </c>
      <c r="F262" s="4">
        <v>104989</v>
      </c>
    </row>
    <row r="263" spans="1:6" x14ac:dyDescent="0.3">
      <c r="A263" s="3">
        <v>2020</v>
      </c>
      <c r="B263" s="1" t="s">
        <v>59</v>
      </c>
      <c r="C263" s="1" t="s">
        <v>28</v>
      </c>
      <c r="D263" s="2">
        <v>7984</v>
      </c>
      <c r="E263" s="2">
        <v>41912</v>
      </c>
      <c r="F263" s="4">
        <v>59263</v>
      </c>
    </row>
    <row r="264" spans="1:6" x14ac:dyDescent="0.3">
      <c r="A264" s="3">
        <v>2020</v>
      </c>
      <c r="B264" s="1" t="s">
        <v>59</v>
      </c>
      <c r="C264" s="1" t="s">
        <v>29</v>
      </c>
      <c r="D264" s="2">
        <v>18815</v>
      </c>
      <c r="E264" s="2">
        <v>165564</v>
      </c>
      <c r="F264" s="4">
        <v>82664</v>
      </c>
    </row>
    <row r="265" spans="1:6" x14ac:dyDescent="0.3">
      <c r="A265" s="3">
        <v>2020</v>
      </c>
      <c r="B265" s="1" t="s">
        <v>59</v>
      </c>
      <c r="C265" s="1" t="s">
        <v>30</v>
      </c>
      <c r="D265" s="2">
        <v>4557</v>
      </c>
      <c r="E265" s="2">
        <v>21986</v>
      </c>
      <c r="F265" s="4">
        <v>67330</v>
      </c>
    </row>
    <row r="266" spans="1:6" x14ac:dyDescent="0.3">
      <c r="A266" s="3">
        <v>2020</v>
      </c>
      <c r="B266" s="1" t="s">
        <v>59</v>
      </c>
      <c r="C266" s="1" t="s">
        <v>31</v>
      </c>
      <c r="D266" s="2">
        <v>7000</v>
      </c>
      <c r="E266" s="2">
        <v>66588</v>
      </c>
      <c r="F266" s="4">
        <v>74942</v>
      </c>
    </row>
    <row r="267" spans="1:6" x14ac:dyDescent="0.3">
      <c r="A267" s="3">
        <v>2020</v>
      </c>
      <c r="B267" s="1" t="s">
        <v>59</v>
      </c>
      <c r="C267" s="1" t="s">
        <v>32</v>
      </c>
      <c r="D267" s="2">
        <v>9293</v>
      </c>
      <c r="E267" s="2">
        <v>62325</v>
      </c>
      <c r="F267" s="4">
        <v>79236</v>
      </c>
    </row>
    <row r="268" spans="1:6" x14ac:dyDescent="0.3">
      <c r="A268" s="3">
        <v>2020</v>
      </c>
      <c r="B268" s="1" t="s">
        <v>59</v>
      </c>
      <c r="C268" s="1" t="s">
        <v>33</v>
      </c>
      <c r="D268" s="2">
        <v>3946</v>
      </c>
      <c r="E268" s="2">
        <v>33027</v>
      </c>
      <c r="F268" s="4">
        <v>109751</v>
      </c>
    </row>
    <row r="269" spans="1:6" x14ac:dyDescent="0.3">
      <c r="A269" s="3">
        <v>2020</v>
      </c>
      <c r="B269" s="1" t="s">
        <v>59</v>
      </c>
      <c r="C269" s="1" t="s">
        <v>34</v>
      </c>
      <c r="D269" s="2">
        <v>20469</v>
      </c>
      <c r="E269" s="2">
        <v>235676</v>
      </c>
      <c r="F269" s="4">
        <v>127870</v>
      </c>
    </row>
    <row r="270" spans="1:6" x14ac:dyDescent="0.3">
      <c r="A270" s="3">
        <v>2020</v>
      </c>
      <c r="B270" s="1" t="s">
        <v>59</v>
      </c>
      <c r="C270" s="1" t="s">
        <v>35</v>
      </c>
      <c r="D270" s="2">
        <v>5600</v>
      </c>
      <c r="E270" s="2">
        <v>32608</v>
      </c>
      <c r="F270" s="4">
        <v>62343</v>
      </c>
    </row>
    <row r="271" spans="1:6" x14ac:dyDescent="0.3">
      <c r="A271" s="3">
        <v>2020</v>
      </c>
      <c r="B271" s="1" t="s">
        <v>59</v>
      </c>
      <c r="C271" s="1" t="s">
        <v>36</v>
      </c>
      <c r="D271" s="2">
        <v>63948</v>
      </c>
      <c r="E271" s="2">
        <v>700031</v>
      </c>
      <c r="F271" s="4">
        <v>207014</v>
      </c>
    </row>
    <row r="272" spans="1:6" x14ac:dyDescent="0.3">
      <c r="A272" s="3">
        <v>2020</v>
      </c>
      <c r="B272" s="1" t="s">
        <v>59</v>
      </c>
      <c r="C272" s="1" t="s">
        <v>37</v>
      </c>
      <c r="D272" s="2">
        <v>30275</v>
      </c>
      <c r="E272" s="2">
        <v>251672</v>
      </c>
      <c r="F272" s="4">
        <v>97234</v>
      </c>
    </row>
    <row r="273" spans="1:6" x14ac:dyDescent="0.3">
      <c r="A273" s="3">
        <v>2020</v>
      </c>
      <c r="B273" s="1" t="s">
        <v>59</v>
      </c>
      <c r="C273" s="1" t="s">
        <v>38</v>
      </c>
      <c r="D273" s="2">
        <v>3042</v>
      </c>
      <c r="E273" s="2">
        <v>22496</v>
      </c>
      <c r="F273" s="4">
        <v>69243</v>
      </c>
    </row>
    <row r="274" spans="1:6" x14ac:dyDescent="0.3">
      <c r="A274" s="3">
        <v>2020</v>
      </c>
      <c r="B274" s="1" t="s">
        <v>59</v>
      </c>
      <c r="C274" s="1" t="s">
        <v>39</v>
      </c>
      <c r="D274" s="2">
        <v>29307</v>
      </c>
      <c r="E274" s="2">
        <v>287990</v>
      </c>
      <c r="F274" s="4">
        <v>82336</v>
      </c>
    </row>
    <row r="275" spans="1:6" x14ac:dyDescent="0.3">
      <c r="A275" s="3">
        <v>2020</v>
      </c>
      <c r="B275" s="1" t="s">
        <v>59</v>
      </c>
      <c r="C275" s="1" t="s">
        <v>40</v>
      </c>
      <c r="D275" s="2">
        <v>11701</v>
      </c>
      <c r="E275" s="2">
        <v>74614</v>
      </c>
      <c r="F275" s="4">
        <v>64030</v>
      </c>
    </row>
    <row r="276" spans="1:6" x14ac:dyDescent="0.3">
      <c r="A276" s="3">
        <v>2020</v>
      </c>
      <c r="B276" s="1" t="s">
        <v>59</v>
      </c>
      <c r="C276" s="1" t="s">
        <v>41</v>
      </c>
      <c r="D276" s="2">
        <v>13352</v>
      </c>
      <c r="E276" s="2">
        <v>83937</v>
      </c>
      <c r="F276" s="4">
        <v>80727</v>
      </c>
    </row>
    <row r="277" spans="1:6" x14ac:dyDescent="0.3">
      <c r="A277" s="3">
        <v>2020</v>
      </c>
      <c r="B277" s="1" t="s">
        <v>59</v>
      </c>
      <c r="C277" s="1" t="s">
        <v>42</v>
      </c>
      <c r="D277" s="2">
        <v>29714</v>
      </c>
      <c r="E277" s="2">
        <v>325571</v>
      </c>
      <c r="F277" s="4">
        <v>97231</v>
      </c>
    </row>
    <row r="278" spans="1:6" x14ac:dyDescent="0.3">
      <c r="A278" s="3">
        <v>2020</v>
      </c>
      <c r="B278" s="1" t="s">
        <v>59</v>
      </c>
      <c r="C278" s="1" t="s">
        <v>43</v>
      </c>
      <c r="D278" s="2">
        <v>3038</v>
      </c>
      <c r="E278" s="2">
        <v>31304</v>
      </c>
      <c r="F278" s="4">
        <v>100316</v>
      </c>
    </row>
    <row r="279" spans="1:6" x14ac:dyDescent="0.3">
      <c r="A279" s="3">
        <v>2020</v>
      </c>
      <c r="B279" s="1" t="s">
        <v>59</v>
      </c>
      <c r="C279" s="1" t="s">
        <v>44</v>
      </c>
      <c r="D279" s="2">
        <v>15078</v>
      </c>
      <c r="E279" s="2">
        <v>101637</v>
      </c>
      <c r="F279" s="4">
        <v>71361</v>
      </c>
    </row>
    <row r="280" spans="1:6" x14ac:dyDescent="0.3">
      <c r="A280" s="3">
        <v>2020</v>
      </c>
      <c r="B280" s="1" t="s">
        <v>59</v>
      </c>
      <c r="C280" s="1" t="s">
        <v>45</v>
      </c>
      <c r="D280" s="2">
        <v>3397</v>
      </c>
      <c r="E280" s="2">
        <v>27809</v>
      </c>
      <c r="F280" s="4">
        <v>69345</v>
      </c>
    </row>
    <row r="281" spans="1:6" x14ac:dyDescent="0.3">
      <c r="A281" s="3">
        <v>2020</v>
      </c>
      <c r="B281" s="1" t="s">
        <v>59</v>
      </c>
      <c r="C281" s="1" t="s">
        <v>46</v>
      </c>
      <c r="D281" s="2">
        <v>16893</v>
      </c>
      <c r="E281" s="2">
        <v>155926</v>
      </c>
      <c r="F281" s="4">
        <v>85116</v>
      </c>
    </row>
    <row r="282" spans="1:6" x14ac:dyDescent="0.3">
      <c r="A282" s="3">
        <v>2020</v>
      </c>
      <c r="B282" s="1" t="s">
        <v>59</v>
      </c>
      <c r="C282" s="1" t="s">
        <v>47</v>
      </c>
      <c r="D282" s="2">
        <v>78940</v>
      </c>
      <c r="E282" s="2">
        <v>778554</v>
      </c>
      <c r="F282" s="4">
        <v>92477</v>
      </c>
    </row>
    <row r="283" spans="1:6" x14ac:dyDescent="0.3">
      <c r="A283" s="3">
        <v>2020</v>
      </c>
      <c r="B283" s="1" t="s">
        <v>59</v>
      </c>
      <c r="C283" s="1" t="s">
        <v>48</v>
      </c>
      <c r="D283" s="2">
        <v>12580</v>
      </c>
      <c r="E283" s="2">
        <v>93379</v>
      </c>
      <c r="F283" s="4">
        <v>79806</v>
      </c>
    </row>
    <row r="284" spans="1:6" x14ac:dyDescent="0.3">
      <c r="A284" s="3">
        <v>2020</v>
      </c>
      <c r="B284" s="1" t="s">
        <v>59</v>
      </c>
      <c r="C284" s="1" t="s">
        <v>49</v>
      </c>
      <c r="D284" s="2">
        <v>1719</v>
      </c>
      <c r="E284" s="2">
        <v>11578</v>
      </c>
      <c r="F284" s="4">
        <v>80135</v>
      </c>
    </row>
    <row r="285" spans="1:6" x14ac:dyDescent="0.3">
      <c r="A285" s="3">
        <v>2020</v>
      </c>
      <c r="B285" s="1" t="s">
        <v>59</v>
      </c>
      <c r="C285" s="1" t="s">
        <v>50</v>
      </c>
      <c r="D285" s="2">
        <v>22750</v>
      </c>
      <c r="E285" s="2">
        <v>195671</v>
      </c>
      <c r="F285" s="4">
        <v>97246</v>
      </c>
    </row>
    <row r="286" spans="1:6" x14ac:dyDescent="0.3">
      <c r="A286" s="3">
        <v>2020</v>
      </c>
      <c r="B286" s="1" t="s">
        <v>59</v>
      </c>
      <c r="C286" s="1" t="s">
        <v>51</v>
      </c>
      <c r="D286" s="2">
        <v>18828</v>
      </c>
      <c r="E286" s="2">
        <v>147772</v>
      </c>
      <c r="F286" s="4">
        <v>95674</v>
      </c>
    </row>
    <row r="287" spans="1:6" x14ac:dyDescent="0.3">
      <c r="A287" s="3">
        <v>2020</v>
      </c>
      <c r="B287" s="1" t="s">
        <v>59</v>
      </c>
      <c r="C287" s="1" t="s">
        <v>52</v>
      </c>
      <c r="D287" s="2">
        <v>4042</v>
      </c>
      <c r="E287" s="2">
        <v>24190</v>
      </c>
      <c r="F287" s="4">
        <v>56764</v>
      </c>
    </row>
    <row r="288" spans="1:6" x14ac:dyDescent="0.3">
      <c r="A288" s="3">
        <v>2020</v>
      </c>
      <c r="B288" s="1" t="s">
        <v>59</v>
      </c>
      <c r="C288" s="1" t="s">
        <v>53</v>
      </c>
      <c r="D288" s="2">
        <v>14688</v>
      </c>
      <c r="E288" s="2">
        <v>148829</v>
      </c>
      <c r="F288" s="4">
        <v>80470</v>
      </c>
    </row>
    <row r="289" spans="1:6" x14ac:dyDescent="0.3">
      <c r="A289" s="3">
        <v>2020</v>
      </c>
      <c r="B289" s="1" t="s">
        <v>59</v>
      </c>
      <c r="C289" s="1" t="s">
        <v>54</v>
      </c>
      <c r="D289" s="2">
        <v>2353</v>
      </c>
      <c r="E289" s="2">
        <v>10919</v>
      </c>
      <c r="F289" s="4">
        <v>64480</v>
      </c>
    </row>
    <row r="290" spans="1:6" x14ac:dyDescent="0.3">
      <c r="A290" s="3">
        <v>2020</v>
      </c>
      <c r="B290" s="1" t="s">
        <v>60</v>
      </c>
      <c r="C290" s="1" t="s">
        <v>7</v>
      </c>
      <c r="D290" s="2">
        <v>22875</v>
      </c>
      <c r="E290" s="2">
        <v>242419</v>
      </c>
      <c r="F290" s="4">
        <v>62111</v>
      </c>
    </row>
    <row r="291" spans="1:6" x14ac:dyDescent="0.3">
      <c r="A291" s="3">
        <v>2020</v>
      </c>
      <c r="B291" s="1" t="s">
        <v>60</v>
      </c>
      <c r="C291" s="1" t="s">
        <v>8</v>
      </c>
      <c r="D291" s="2">
        <v>40867</v>
      </c>
      <c r="E291" s="2">
        <v>431379</v>
      </c>
      <c r="F291" s="4">
        <v>63180</v>
      </c>
    </row>
    <row r="292" spans="1:6" x14ac:dyDescent="0.3">
      <c r="A292" s="3">
        <v>2020</v>
      </c>
      <c r="B292" s="1" t="s">
        <v>60</v>
      </c>
      <c r="C292" s="1" t="s">
        <v>9</v>
      </c>
      <c r="D292" s="2">
        <v>15490</v>
      </c>
      <c r="E292" s="2">
        <v>139300</v>
      </c>
      <c r="F292" s="4">
        <v>68067</v>
      </c>
    </row>
    <row r="293" spans="1:6" x14ac:dyDescent="0.3">
      <c r="A293" s="3">
        <v>2020</v>
      </c>
      <c r="B293" s="1" t="s">
        <v>60</v>
      </c>
      <c r="C293" s="1" t="s">
        <v>10</v>
      </c>
      <c r="D293" s="2">
        <v>221985</v>
      </c>
      <c r="E293" s="2">
        <v>2600604</v>
      </c>
      <c r="F293" s="4">
        <v>106486</v>
      </c>
    </row>
    <row r="294" spans="1:6" x14ac:dyDescent="0.3">
      <c r="A294" s="3">
        <v>2020</v>
      </c>
      <c r="B294" s="1" t="s">
        <v>60</v>
      </c>
      <c r="C294" s="1" t="s">
        <v>11</v>
      </c>
      <c r="D294" s="2">
        <v>58286</v>
      </c>
      <c r="E294" s="2">
        <v>430367</v>
      </c>
      <c r="F294" s="4">
        <v>90744</v>
      </c>
    </row>
    <row r="295" spans="1:6" x14ac:dyDescent="0.3">
      <c r="A295" s="3">
        <v>2020</v>
      </c>
      <c r="B295" s="1" t="s">
        <v>60</v>
      </c>
      <c r="C295" s="1" t="s">
        <v>12</v>
      </c>
      <c r="D295" s="2">
        <v>24131</v>
      </c>
      <c r="E295" s="2">
        <v>206629</v>
      </c>
      <c r="F295" s="4">
        <v>95714</v>
      </c>
    </row>
    <row r="296" spans="1:6" x14ac:dyDescent="0.3">
      <c r="A296" s="3">
        <v>2020</v>
      </c>
      <c r="B296" s="1" t="s">
        <v>60</v>
      </c>
      <c r="C296" s="1" t="s">
        <v>13</v>
      </c>
      <c r="D296" s="2">
        <v>9766</v>
      </c>
      <c r="E296" s="2">
        <v>61669</v>
      </c>
      <c r="F296" s="4">
        <v>85651</v>
      </c>
    </row>
    <row r="297" spans="1:6" x14ac:dyDescent="0.3">
      <c r="A297" s="3">
        <v>2020</v>
      </c>
      <c r="B297" s="1" t="s">
        <v>60</v>
      </c>
      <c r="C297" s="1" t="s">
        <v>14</v>
      </c>
      <c r="D297" s="2">
        <v>179893</v>
      </c>
      <c r="E297" s="2">
        <v>1358317</v>
      </c>
      <c r="F297" s="4">
        <v>68223</v>
      </c>
    </row>
    <row r="298" spans="1:6" x14ac:dyDescent="0.3">
      <c r="A298" s="3">
        <v>2020</v>
      </c>
      <c r="B298" s="1" t="s">
        <v>60</v>
      </c>
      <c r="C298" s="1" t="s">
        <v>15</v>
      </c>
      <c r="D298" s="2">
        <v>60683</v>
      </c>
      <c r="E298" s="2">
        <v>692452</v>
      </c>
      <c r="F298" s="4">
        <v>76331</v>
      </c>
    </row>
    <row r="299" spans="1:6" x14ac:dyDescent="0.3">
      <c r="A299" s="3">
        <v>2020</v>
      </c>
      <c r="B299" s="1" t="s">
        <v>60</v>
      </c>
      <c r="C299" s="1" t="s">
        <v>16</v>
      </c>
      <c r="D299" s="2">
        <v>12911</v>
      </c>
      <c r="E299" s="2">
        <v>97097</v>
      </c>
      <c r="F299" s="4">
        <v>59743</v>
      </c>
    </row>
    <row r="300" spans="1:6" x14ac:dyDescent="0.3">
      <c r="A300" s="3">
        <v>2020</v>
      </c>
      <c r="B300" s="1" t="s">
        <v>60</v>
      </c>
      <c r="C300" s="1" t="s">
        <v>17</v>
      </c>
      <c r="D300" s="2">
        <v>75904</v>
      </c>
      <c r="E300" s="2">
        <v>892150</v>
      </c>
      <c r="F300" s="4">
        <v>83889</v>
      </c>
    </row>
    <row r="301" spans="1:6" x14ac:dyDescent="0.3">
      <c r="A301" s="3">
        <v>2020</v>
      </c>
      <c r="B301" s="1" t="s">
        <v>60</v>
      </c>
      <c r="C301" s="1" t="s">
        <v>18</v>
      </c>
      <c r="D301" s="2">
        <v>32143</v>
      </c>
      <c r="E301" s="2">
        <v>326745</v>
      </c>
      <c r="F301" s="4">
        <v>58578</v>
      </c>
    </row>
    <row r="302" spans="1:6" x14ac:dyDescent="0.3">
      <c r="A302" s="3">
        <v>2020</v>
      </c>
      <c r="B302" s="1" t="s">
        <v>60</v>
      </c>
      <c r="C302" s="1" t="s">
        <v>19</v>
      </c>
      <c r="D302" s="2">
        <v>16706</v>
      </c>
      <c r="E302" s="2">
        <v>134822</v>
      </c>
      <c r="F302" s="4">
        <v>61793</v>
      </c>
    </row>
    <row r="303" spans="1:6" x14ac:dyDescent="0.3">
      <c r="A303" s="3">
        <v>2020</v>
      </c>
      <c r="B303" s="1" t="s">
        <v>60</v>
      </c>
      <c r="C303" s="1" t="s">
        <v>20</v>
      </c>
      <c r="D303" s="2">
        <v>16823</v>
      </c>
      <c r="E303" s="2">
        <v>168813</v>
      </c>
      <c r="F303" s="4">
        <v>69538</v>
      </c>
    </row>
    <row r="304" spans="1:6" x14ac:dyDescent="0.3">
      <c r="A304" s="3">
        <v>2020</v>
      </c>
      <c r="B304" s="1" t="s">
        <v>60</v>
      </c>
      <c r="C304" s="1" t="s">
        <v>21</v>
      </c>
      <c r="D304" s="2">
        <v>22329</v>
      </c>
      <c r="E304" s="2">
        <v>207575</v>
      </c>
      <c r="F304" s="4">
        <v>55987</v>
      </c>
    </row>
    <row r="305" spans="1:6" x14ac:dyDescent="0.3">
      <c r="A305" s="3">
        <v>2020</v>
      </c>
      <c r="B305" s="1" t="s">
        <v>60</v>
      </c>
      <c r="C305" s="1" t="s">
        <v>22</v>
      </c>
      <c r="D305" s="2">
        <v>26262</v>
      </c>
      <c r="E305" s="2">
        <v>204729</v>
      </c>
      <c r="F305" s="4">
        <v>60136</v>
      </c>
    </row>
    <row r="306" spans="1:6" x14ac:dyDescent="0.3">
      <c r="A306" s="3">
        <v>2020</v>
      </c>
      <c r="B306" s="1" t="s">
        <v>60</v>
      </c>
      <c r="C306" s="1" t="s">
        <v>23</v>
      </c>
      <c r="D306" s="2">
        <v>11267</v>
      </c>
      <c r="E306" s="2">
        <v>68952</v>
      </c>
      <c r="F306" s="4">
        <v>66178</v>
      </c>
    </row>
    <row r="307" spans="1:6" x14ac:dyDescent="0.3">
      <c r="A307" s="3">
        <v>2020</v>
      </c>
      <c r="B307" s="1" t="s">
        <v>60</v>
      </c>
      <c r="C307" s="1" t="s">
        <v>24</v>
      </c>
      <c r="D307" s="2">
        <v>44172</v>
      </c>
      <c r="E307" s="2">
        <v>441860</v>
      </c>
      <c r="F307" s="4">
        <v>88391</v>
      </c>
    </row>
    <row r="308" spans="1:6" x14ac:dyDescent="0.3">
      <c r="A308" s="3">
        <v>2020</v>
      </c>
      <c r="B308" s="1" t="s">
        <v>60</v>
      </c>
      <c r="C308" s="1" t="s">
        <v>25</v>
      </c>
      <c r="D308" s="2">
        <v>48428</v>
      </c>
      <c r="E308" s="2">
        <v>583792</v>
      </c>
      <c r="F308" s="4">
        <v>124638</v>
      </c>
    </row>
    <row r="309" spans="1:6" x14ac:dyDescent="0.3">
      <c r="A309" s="3">
        <v>2020</v>
      </c>
      <c r="B309" s="1" t="s">
        <v>60</v>
      </c>
      <c r="C309" s="1" t="s">
        <v>26</v>
      </c>
      <c r="D309" s="2">
        <v>46269</v>
      </c>
      <c r="E309" s="2">
        <v>599657</v>
      </c>
      <c r="F309" s="4">
        <v>76432</v>
      </c>
    </row>
    <row r="310" spans="1:6" x14ac:dyDescent="0.3">
      <c r="A310" s="3">
        <v>2020</v>
      </c>
      <c r="B310" s="1" t="s">
        <v>60</v>
      </c>
      <c r="C310" s="1" t="s">
        <v>27</v>
      </c>
      <c r="D310" s="2">
        <v>33603</v>
      </c>
      <c r="E310" s="2">
        <v>361183</v>
      </c>
      <c r="F310" s="4">
        <v>91033</v>
      </c>
    </row>
    <row r="311" spans="1:6" x14ac:dyDescent="0.3">
      <c r="A311" s="3">
        <v>2020</v>
      </c>
      <c r="B311" s="1" t="s">
        <v>60</v>
      </c>
      <c r="C311" s="1" t="s">
        <v>28</v>
      </c>
      <c r="D311" s="2">
        <v>12692</v>
      </c>
      <c r="E311" s="2">
        <v>107758</v>
      </c>
      <c r="F311" s="4">
        <v>45573</v>
      </c>
    </row>
    <row r="312" spans="1:6" x14ac:dyDescent="0.3">
      <c r="A312" s="3">
        <v>2020</v>
      </c>
      <c r="B312" s="1" t="s">
        <v>60</v>
      </c>
      <c r="C312" s="1" t="s">
        <v>29</v>
      </c>
      <c r="D312" s="2">
        <v>36089</v>
      </c>
      <c r="E312" s="2">
        <v>365657</v>
      </c>
      <c r="F312" s="4">
        <v>72666</v>
      </c>
    </row>
    <row r="313" spans="1:6" x14ac:dyDescent="0.3">
      <c r="A313" s="3">
        <v>2020</v>
      </c>
      <c r="B313" s="1" t="s">
        <v>60</v>
      </c>
      <c r="C313" s="1" t="s">
        <v>30</v>
      </c>
      <c r="D313" s="2">
        <v>10331</v>
      </c>
      <c r="E313" s="2">
        <v>43549</v>
      </c>
      <c r="F313" s="4">
        <v>59785</v>
      </c>
    </row>
    <row r="314" spans="1:6" x14ac:dyDescent="0.3">
      <c r="A314" s="3">
        <v>2020</v>
      </c>
      <c r="B314" s="1" t="s">
        <v>60</v>
      </c>
      <c r="C314" s="1" t="s">
        <v>31</v>
      </c>
      <c r="D314" s="2">
        <v>11809</v>
      </c>
      <c r="E314" s="2">
        <v>117288</v>
      </c>
      <c r="F314" s="4">
        <v>65292</v>
      </c>
    </row>
    <row r="315" spans="1:6" x14ac:dyDescent="0.3">
      <c r="A315" s="3">
        <v>2020</v>
      </c>
      <c r="B315" s="1" t="s">
        <v>60</v>
      </c>
      <c r="C315" s="1" t="s">
        <v>32</v>
      </c>
      <c r="D315" s="2">
        <v>20046</v>
      </c>
      <c r="E315" s="2">
        <v>179092</v>
      </c>
      <c r="F315" s="4">
        <v>67081</v>
      </c>
    </row>
    <row r="316" spans="1:6" x14ac:dyDescent="0.3">
      <c r="A316" s="3">
        <v>2020</v>
      </c>
      <c r="B316" s="1" t="s">
        <v>60</v>
      </c>
      <c r="C316" s="1" t="s">
        <v>33</v>
      </c>
      <c r="D316" s="2">
        <v>13616</v>
      </c>
      <c r="E316" s="2">
        <v>81639</v>
      </c>
      <c r="F316" s="4">
        <v>88167</v>
      </c>
    </row>
    <row r="317" spans="1:6" x14ac:dyDescent="0.3">
      <c r="A317" s="3">
        <v>2020</v>
      </c>
      <c r="B317" s="1" t="s">
        <v>60</v>
      </c>
      <c r="C317" s="1" t="s">
        <v>34</v>
      </c>
      <c r="D317" s="2">
        <v>53304</v>
      </c>
      <c r="E317" s="2">
        <v>643507</v>
      </c>
      <c r="F317" s="4">
        <v>102666</v>
      </c>
    </row>
    <row r="318" spans="1:6" x14ac:dyDescent="0.3">
      <c r="A318" s="3">
        <v>2020</v>
      </c>
      <c r="B318" s="1" t="s">
        <v>60</v>
      </c>
      <c r="C318" s="1" t="s">
        <v>35</v>
      </c>
      <c r="D318" s="2">
        <v>11550</v>
      </c>
      <c r="E318" s="2">
        <v>107707</v>
      </c>
      <c r="F318" s="4">
        <v>69938</v>
      </c>
    </row>
    <row r="319" spans="1:6" x14ac:dyDescent="0.3">
      <c r="A319" s="3">
        <v>2020</v>
      </c>
      <c r="B319" s="1" t="s">
        <v>60</v>
      </c>
      <c r="C319" s="1" t="s">
        <v>36</v>
      </c>
      <c r="D319" s="2">
        <v>117347</v>
      </c>
      <c r="E319" s="2">
        <v>1242471</v>
      </c>
      <c r="F319" s="4">
        <v>109413</v>
      </c>
    </row>
    <row r="320" spans="1:6" x14ac:dyDescent="0.3">
      <c r="A320" s="3">
        <v>2020</v>
      </c>
      <c r="B320" s="1" t="s">
        <v>60</v>
      </c>
      <c r="C320" s="1" t="s">
        <v>37</v>
      </c>
      <c r="D320" s="2">
        <v>64843</v>
      </c>
      <c r="E320" s="2">
        <v>637719</v>
      </c>
      <c r="F320" s="4">
        <v>72078</v>
      </c>
    </row>
    <row r="321" spans="1:6" x14ac:dyDescent="0.3">
      <c r="A321" s="3">
        <v>2020</v>
      </c>
      <c r="B321" s="1" t="s">
        <v>60</v>
      </c>
      <c r="C321" s="1" t="s">
        <v>38</v>
      </c>
      <c r="D321" s="2">
        <v>5337</v>
      </c>
      <c r="E321" s="2">
        <v>31642</v>
      </c>
      <c r="F321" s="4">
        <v>65877</v>
      </c>
    </row>
    <row r="322" spans="1:6" x14ac:dyDescent="0.3">
      <c r="A322" s="3">
        <v>2020</v>
      </c>
      <c r="B322" s="1" t="s">
        <v>60</v>
      </c>
      <c r="C322" s="1" t="s">
        <v>39</v>
      </c>
      <c r="D322" s="2">
        <v>55987</v>
      </c>
      <c r="E322" s="2">
        <v>697244</v>
      </c>
      <c r="F322" s="4">
        <v>71920</v>
      </c>
    </row>
    <row r="323" spans="1:6" x14ac:dyDescent="0.3">
      <c r="A323" s="3">
        <v>2020</v>
      </c>
      <c r="B323" s="1" t="s">
        <v>60</v>
      </c>
      <c r="C323" s="1" t="s">
        <v>40</v>
      </c>
      <c r="D323" s="2">
        <v>21652</v>
      </c>
      <c r="E323" s="2">
        <v>185307</v>
      </c>
      <c r="F323" s="4">
        <v>58539</v>
      </c>
    </row>
    <row r="324" spans="1:6" x14ac:dyDescent="0.3">
      <c r="A324" s="3">
        <v>2020</v>
      </c>
      <c r="B324" s="1" t="s">
        <v>60</v>
      </c>
      <c r="C324" s="1" t="s">
        <v>41</v>
      </c>
      <c r="D324" s="2">
        <v>27033</v>
      </c>
      <c r="E324" s="2">
        <v>242218</v>
      </c>
      <c r="F324" s="4">
        <v>81224</v>
      </c>
    </row>
    <row r="325" spans="1:6" x14ac:dyDescent="0.3">
      <c r="A325" s="3">
        <v>2020</v>
      </c>
      <c r="B325" s="1" t="s">
        <v>60</v>
      </c>
      <c r="C325" s="1" t="s">
        <v>42</v>
      </c>
      <c r="D325" s="2">
        <v>66210</v>
      </c>
      <c r="E325" s="2">
        <v>766122</v>
      </c>
      <c r="F325" s="4">
        <v>86971</v>
      </c>
    </row>
    <row r="326" spans="1:6" x14ac:dyDescent="0.3">
      <c r="A326" s="3">
        <v>2020</v>
      </c>
      <c r="B326" s="1" t="s">
        <v>60</v>
      </c>
      <c r="C326" s="1" t="s">
        <v>43</v>
      </c>
      <c r="D326" s="2">
        <v>9567</v>
      </c>
      <c r="E326" s="2">
        <v>65232</v>
      </c>
      <c r="F326" s="4">
        <v>75829</v>
      </c>
    </row>
    <row r="327" spans="1:6" x14ac:dyDescent="0.3">
      <c r="A327" s="3">
        <v>2020</v>
      </c>
      <c r="B327" s="1" t="s">
        <v>60</v>
      </c>
      <c r="C327" s="1" t="s">
        <v>44</v>
      </c>
      <c r="D327" s="2">
        <v>30793</v>
      </c>
      <c r="E327" s="2">
        <v>281874</v>
      </c>
      <c r="F327" s="4">
        <v>56907</v>
      </c>
    </row>
    <row r="328" spans="1:6" x14ac:dyDescent="0.3">
      <c r="A328" s="3">
        <v>2020</v>
      </c>
      <c r="B328" s="1" t="s">
        <v>60</v>
      </c>
      <c r="C328" s="1" t="s">
        <v>45</v>
      </c>
      <c r="D328" s="2">
        <v>5876</v>
      </c>
      <c r="E328" s="2">
        <v>32771</v>
      </c>
      <c r="F328" s="4">
        <v>63709</v>
      </c>
    </row>
    <row r="329" spans="1:6" x14ac:dyDescent="0.3">
      <c r="A329" s="3">
        <v>2020</v>
      </c>
      <c r="B329" s="1" t="s">
        <v>60</v>
      </c>
      <c r="C329" s="1" t="s">
        <v>46</v>
      </c>
      <c r="D329" s="2">
        <v>32595</v>
      </c>
      <c r="E329" s="2">
        <v>414644</v>
      </c>
      <c r="F329" s="4">
        <v>66460</v>
      </c>
    </row>
    <row r="330" spans="1:6" x14ac:dyDescent="0.3">
      <c r="A330" s="3">
        <v>2020</v>
      </c>
      <c r="B330" s="1" t="s">
        <v>60</v>
      </c>
      <c r="C330" s="1" t="s">
        <v>47</v>
      </c>
      <c r="D330" s="2">
        <v>146639</v>
      </c>
      <c r="E330" s="2">
        <v>1758991</v>
      </c>
      <c r="F330" s="4">
        <v>81123</v>
      </c>
    </row>
    <row r="331" spans="1:6" x14ac:dyDescent="0.3">
      <c r="A331" s="3">
        <v>2020</v>
      </c>
      <c r="B331" s="1" t="s">
        <v>60</v>
      </c>
      <c r="C331" s="1" t="s">
        <v>48</v>
      </c>
      <c r="D331" s="2">
        <v>25941</v>
      </c>
      <c r="E331" s="2">
        <v>223284</v>
      </c>
      <c r="F331" s="4">
        <v>68355</v>
      </c>
    </row>
    <row r="332" spans="1:6" x14ac:dyDescent="0.3">
      <c r="A332" s="3">
        <v>2020</v>
      </c>
      <c r="B332" s="1" t="s">
        <v>60</v>
      </c>
      <c r="C332" s="1" t="s">
        <v>49</v>
      </c>
      <c r="D332" s="2">
        <v>6346</v>
      </c>
      <c r="E332" s="2">
        <v>28512</v>
      </c>
      <c r="F332" s="4">
        <v>74442</v>
      </c>
    </row>
    <row r="333" spans="1:6" x14ac:dyDescent="0.3">
      <c r="A333" s="3">
        <v>2020</v>
      </c>
      <c r="B333" s="1" t="s">
        <v>60</v>
      </c>
      <c r="C333" s="1" t="s">
        <v>50</v>
      </c>
      <c r="D333" s="2">
        <v>60099</v>
      </c>
      <c r="E333" s="2">
        <v>752090</v>
      </c>
      <c r="F333" s="4">
        <v>96046</v>
      </c>
    </row>
    <row r="334" spans="1:6" x14ac:dyDescent="0.3">
      <c r="A334" s="3">
        <v>2020</v>
      </c>
      <c r="B334" s="1" t="s">
        <v>60</v>
      </c>
      <c r="C334" s="1" t="s">
        <v>51</v>
      </c>
      <c r="D334" s="2">
        <v>43094</v>
      </c>
      <c r="E334" s="2">
        <v>415190</v>
      </c>
      <c r="F334" s="4">
        <v>92279</v>
      </c>
    </row>
    <row r="335" spans="1:6" x14ac:dyDescent="0.3">
      <c r="A335" s="3">
        <v>2020</v>
      </c>
      <c r="B335" s="1" t="s">
        <v>60</v>
      </c>
      <c r="C335" s="1" t="s">
        <v>52</v>
      </c>
      <c r="D335" s="2">
        <v>8599</v>
      </c>
      <c r="E335" s="2">
        <v>65715</v>
      </c>
      <c r="F335" s="4">
        <v>53557</v>
      </c>
    </row>
    <row r="336" spans="1:6" x14ac:dyDescent="0.3">
      <c r="A336" s="3">
        <v>2020</v>
      </c>
      <c r="B336" s="1" t="s">
        <v>60</v>
      </c>
      <c r="C336" s="1" t="s">
        <v>53</v>
      </c>
      <c r="D336" s="2">
        <v>27048</v>
      </c>
      <c r="E336" s="2">
        <v>309780</v>
      </c>
      <c r="F336" s="4">
        <v>67254</v>
      </c>
    </row>
    <row r="337" spans="1:6" x14ac:dyDescent="0.3">
      <c r="A337" s="3">
        <v>2020</v>
      </c>
      <c r="B337" s="1" t="s">
        <v>60</v>
      </c>
      <c r="C337" s="1" t="s">
        <v>54</v>
      </c>
      <c r="D337" s="2">
        <v>4986</v>
      </c>
      <c r="E337" s="2">
        <v>18382</v>
      </c>
      <c r="F337" s="4">
        <v>60233</v>
      </c>
    </row>
    <row r="338" spans="1:6" x14ac:dyDescent="0.3">
      <c r="A338" s="3">
        <v>2020</v>
      </c>
      <c r="B338" s="1" t="s">
        <v>61</v>
      </c>
      <c r="C338" s="1" t="s">
        <v>7</v>
      </c>
      <c r="D338" s="2">
        <v>15859</v>
      </c>
      <c r="E338" s="2">
        <v>228486</v>
      </c>
      <c r="F338" s="4">
        <v>51193</v>
      </c>
    </row>
    <row r="339" spans="1:6" x14ac:dyDescent="0.3">
      <c r="A339" s="3">
        <v>2020</v>
      </c>
      <c r="B339" s="1" t="s">
        <v>61</v>
      </c>
      <c r="C339" s="1" t="s">
        <v>8</v>
      </c>
      <c r="D339" s="2">
        <v>20727</v>
      </c>
      <c r="E339" s="2">
        <v>455356</v>
      </c>
      <c r="F339" s="4">
        <v>56159</v>
      </c>
    </row>
    <row r="340" spans="1:6" x14ac:dyDescent="0.3">
      <c r="A340" s="3">
        <v>2020</v>
      </c>
      <c r="B340" s="1" t="s">
        <v>61</v>
      </c>
      <c r="C340" s="1" t="s">
        <v>9</v>
      </c>
      <c r="D340" s="2">
        <v>15656</v>
      </c>
      <c r="E340" s="2">
        <v>181169</v>
      </c>
      <c r="F340" s="4">
        <v>47435</v>
      </c>
    </row>
    <row r="341" spans="1:6" x14ac:dyDescent="0.3">
      <c r="A341" s="3">
        <v>2020</v>
      </c>
      <c r="B341" s="1" t="s">
        <v>61</v>
      </c>
      <c r="C341" s="1" t="s">
        <v>10</v>
      </c>
      <c r="D341" s="2">
        <v>656765</v>
      </c>
      <c r="E341" s="2">
        <v>2651781</v>
      </c>
      <c r="F341" s="4">
        <v>57668</v>
      </c>
    </row>
    <row r="342" spans="1:6" x14ac:dyDescent="0.3">
      <c r="A342" s="3">
        <v>2020</v>
      </c>
      <c r="B342" s="1" t="s">
        <v>61</v>
      </c>
      <c r="C342" s="1" t="s">
        <v>11</v>
      </c>
      <c r="D342" s="2">
        <v>23475</v>
      </c>
      <c r="E342" s="2">
        <v>332209</v>
      </c>
      <c r="F342" s="4">
        <v>55198</v>
      </c>
    </row>
    <row r="343" spans="1:6" x14ac:dyDescent="0.3">
      <c r="A343" s="3">
        <v>2020</v>
      </c>
      <c r="B343" s="1" t="s">
        <v>61</v>
      </c>
      <c r="C343" s="1" t="s">
        <v>12</v>
      </c>
      <c r="D343" s="2">
        <v>19964</v>
      </c>
      <c r="E343" s="2">
        <v>319881</v>
      </c>
      <c r="F343" s="4">
        <v>61215</v>
      </c>
    </row>
    <row r="344" spans="1:6" x14ac:dyDescent="0.3">
      <c r="A344" s="3">
        <v>2020</v>
      </c>
      <c r="B344" s="1" t="s">
        <v>61</v>
      </c>
      <c r="C344" s="1" t="s">
        <v>13</v>
      </c>
      <c r="D344" s="2">
        <v>5522</v>
      </c>
      <c r="E344" s="2">
        <v>74184</v>
      </c>
      <c r="F344" s="4">
        <v>57470</v>
      </c>
    </row>
    <row r="345" spans="1:6" x14ac:dyDescent="0.3">
      <c r="A345" s="3">
        <v>2020</v>
      </c>
      <c r="B345" s="1" t="s">
        <v>61</v>
      </c>
      <c r="C345" s="1" t="s">
        <v>14</v>
      </c>
      <c r="D345" s="2">
        <v>85058</v>
      </c>
      <c r="E345" s="2">
        <v>1293582</v>
      </c>
      <c r="F345" s="4">
        <v>55114</v>
      </c>
    </row>
    <row r="346" spans="1:6" x14ac:dyDescent="0.3">
      <c r="A346" s="3">
        <v>2020</v>
      </c>
      <c r="B346" s="1" t="s">
        <v>61</v>
      </c>
      <c r="C346" s="1" t="s">
        <v>15</v>
      </c>
      <c r="D346" s="2">
        <v>31842</v>
      </c>
      <c r="E346" s="2">
        <v>561390</v>
      </c>
      <c r="F346" s="4">
        <v>57141</v>
      </c>
    </row>
    <row r="347" spans="1:6" x14ac:dyDescent="0.3">
      <c r="A347" s="3">
        <v>2020</v>
      </c>
      <c r="B347" s="1" t="s">
        <v>61</v>
      </c>
      <c r="C347" s="1" t="s">
        <v>16</v>
      </c>
      <c r="D347" s="2">
        <v>9128</v>
      </c>
      <c r="E347" s="2">
        <v>106752</v>
      </c>
      <c r="F347" s="4">
        <v>45479</v>
      </c>
    </row>
    <row r="348" spans="1:6" x14ac:dyDescent="0.3">
      <c r="A348" s="3">
        <v>2020</v>
      </c>
      <c r="B348" s="1" t="s">
        <v>61</v>
      </c>
      <c r="C348" s="1" t="s">
        <v>17</v>
      </c>
      <c r="D348" s="2">
        <v>39684</v>
      </c>
      <c r="E348" s="2">
        <v>882088</v>
      </c>
      <c r="F348" s="4">
        <v>55678</v>
      </c>
    </row>
    <row r="349" spans="1:6" x14ac:dyDescent="0.3">
      <c r="A349" s="3">
        <v>2020</v>
      </c>
      <c r="B349" s="1" t="s">
        <v>61</v>
      </c>
      <c r="C349" s="1" t="s">
        <v>18</v>
      </c>
      <c r="D349" s="2">
        <v>16899</v>
      </c>
      <c r="E349" s="2">
        <v>451743</v>
      </c>
      <c r="F349" s="4">
        <v>52802</v>
      </c>
    </row>
    <row r="350" spans="1:6" x14ac:dyDescent="0.3">
      <c r="A350" s="3">
        <v>2020</v>
      </c>
      <c r="B350" s="1" t="s">
        <v>61</v>
      </c>
      <c r="C350" s="1" t="s">
        <v>19</v>
      </c>
      <c r="D350" s="2">
        <v>13294</v>
      </c>
      <c r="E350" s="2">
        <v>209301</v>
      </c>
      <c r="F350" s="4">
        <v>47222</v>
      </c>
    </row>
    <row r="351" spans="1:6" x14ac:dyDescent="0.3">
      <c r="A351" s="3">
        <v>2020</v>
      </c>
      <c r="B351" s="1" t="s">
        <v>61</v>
      </c>
      <c r="C351" s="1" t="s">
        <v>20</v>
      </c>
      <c r="D351" s="2">
        <v>10330</v>
      </c>
      <c r="E351" s="2">
        <v>194569</v>
      </c>
      <c r="F351" s="4">
        <v>48486</v>
      </c>
    </row>
    <row r="352" spans="1:6" x14ac:dyDescent="0.3">
      <c r="A352" s="3">
        <v>2020</v>
      </c>
      <c r="B352" s="1" t="s">
        <v>61</v>
      </c>
      <c r="C352" s="1" t="s">
        <v>21</v>
      </c>
      <c r="D352" s="2">
        <v>20809</v>
      </c>
      <c r="E352" s="2">
        <v>263195</v>
      </c>
      <c r="F352" s="4">
        <v>52098</v>
      </c>
    </row>
    <row r="353" spans="1:6" x14ac:dyDescent="0.3">
      <c r="A353" s="3">
        <v>2020</v>
      </c>
      <c r="B353" s="1" t="s">
        <v>61</v>
      </c>
      <c r="C353" s="1" t="s">
        <v>22</v>
      </c>
      <c r="D353" s="2">
        <v>16834</v>
      </c>
      <c r="E353" s="2">
        <v>296324</v>
      </c>
      <c r="F353" s="4">
        <v>48222</v>
      </c>
    </row>
    <row r="354" spans="1:6" x14ac:dyDescent="0.3">
      <c r="A354" s="3">
        <v>2020</v>
      </c>
      <c r="B354" s="1" t="s">
        <v>61</v>
      </c>
      <c r="C354" s="1" t="s">
        <v>23</v>
      </c>
      <c r="D354" s="2">
        <v>5591</v>
      </c>
      <c r="E354" s="2">
        <v>115511</v>
      </c>
      <c r="F354" s="4">
        <v>53739</v>
      </c>
    </row>
    <row r="355" spans="1:6" x14ac:dyDescent="0.3">
      <c r="A355" s="3">
        <v>2020</v>
      </c>
      <c r="B355" s="1" t="s">
        <v>61</v>
      </c>
      <c r="C355" s="1" t="s">
        <v>24</v>
      </c>
      <c r="D355" s="2">
        <v>21505</v>
      </c>
      <c r="E355" s="2">
        <v>420463</v>
      </c>
      <c r="F355" s="4">
        <v>59854</v>
      </c>
    </row>
    <row r="356" spans="1:6" x14ac:dyDescent="0.3">
      <c r="A356" s="3">
        <v>2020</v>
      </c>
      <c r="B356" s="1" t="s">
        <v>61</v>
      </c>
      <c r="C356" s="1" t="s">
        <v>25</v>
      </c>
      <c r="D356" s="2">
        <v>71270</v>
      </c>
      <c r="E356" s="2">
        <v>742606</v>
      </c>
      <c r="F356" s="4">
        <v>64556</v>
      </c>
    </row>
    <row r="357" spans="1:6" x14ac:dyDescent="0.3">
      <c r="A357" s="3">
        <v>2020</v>
      </c>
      <c r="B357" s="1" t="s">
        <v>61</v>
      </c>
      <c r="C357" s="1" t="s">
        <v>26</v>
      </c>
      <c r="D357" s="2">
        <v>32965</v>
      </c>
      <c r="E357" s="2">
        <v>622119</v>
      </c>
      <c r="F357" s="4">
        <v>54163</v>
      </c>
    </row>
    <row r="358" spans="1:6" x14ac:dyDescent="0.3">
      <c r="A358" s="3">
        <v>2020</v>
      </c>
      <c r="B358" s="1" t="s">
        <v>61</v>
      </c>
      <c r="C358" s="1" t="s">
        <v>27</v>
      </c>
      <c r="D358" s="2">
        <v>22985</v>
      </c>
      <c r="E358" s="2">
        <v>513228</v>
      </c>
      <c r="F358" s="4">
        <v>55127</v>
      </c>
    </row>
    <row r="359" spans="1:6" x14ac:dyDescent="0.3">
      <c r="A359" s="3">
        <v>2020</v>
      </c>
      <c r="B359" s="1" t="s">
        <v>61</v>
      </c>
      <c r="C359" s="1" t="s">
        <v>28</v>
      </c>
      <c r="D359" s="2">
        <v>7693</v>
      </c>
      <c r="E359" s="2">
        <v>138876</v>
      </c>
      <c r="F359" s="4">
        <v>45670</v>
      </c>
    </row>
    <row r="360" spans="1:6" x14ac:dyDescent="0.3">
      <c r="A360" s="3">
        <v>2020</v>
      </c>
      <c r="B360" s="1" t="s">
        <v>61</v>
      </c>
      <c r="C360" s="1" t="s">
        <v>29</v>
      </c>
      <c r="D360" s="2">
        <v>56134</v>
      </c>
      <c r="E360" s="2">
        <v>448355</v>
      </c>
      <c r="F360" s="4">
        <v>50460</v>
      </c>
    </row>
    <row r="361" spans="1:6" x14ac:dyDescent="0.3">
      <c r="A361" s="3">
        <v>2020</v>
      </c>
      <c r="B361" s="1" t="s">
        <v>61</v>
      </c>
      <c r="C361" s="1" t="s">
        <v>30</v>
      </c>
      <c r="D361" s="2">
        <v>5112</v>
      </c>
      <c r="E361" s="2">
        <v>73374</v>
      </c>
      <c r="F361" s="4">
        <v>52612</v>
      </c>
    </row>
    <row r="362" spans="1:6" x14ac:dyDescent="0.3">
      <c r="A362" s="3">
        <v>2020</v>
      </c>
      <c r="B362" s="1" t="s">
        <v>61</v>
      </c>
      <c r="C362" s="1" t="s">
        <v>31</v>
      </c>
      <c r="D362" s="2">
        <v>10522</v>
      </c>
      <c r="E362" s="2">
        <v>135205</v>
      </c>
      <c r="F362" s="4">
        <v>51740</v>
      </c>
    </row>
    <row r="363" spans="1:6" x14ac:dyDescent="0.3">
      <c r="A363" s="3">
        <v>2020</v>
      </c>
      <c r="B363" s="1" t="s">
        <v>61</v>
      </c>
      <c r="C363" s="1" t="s">
        <v>32</v>
      </c>
      <c r="D363" s="2">
        <v>9126</v>
      </c>
      <c r="E363" s="2">
        <v>139696</v>
      </c>
      <c r="F363" s="4">
        <v>58047</v>
      </c>
    </row>
    <row r="364" spans="1:6" x14ac:dyDescent="0.3">
      <c r="A364" s="3">
        <v>2020</v>
      </c>
      <c r="B364" s="1" t="s">
        <v>61</v>
      </c>
      <c r="C364" s="1" t="s">
        <v>33</v>
      </c>
      <c r="D364" s="2">
        <v>4900</v>
      </c>
      <c r="E364" s="2">
        <v>108757</v>
      </c>
      <c r="F364" s="4">
        <v>63675</v>
      </c>
    </row>
    <row r="365" spans="1:6" x14ac:dyDescent="0.3">
      <c r="A365" s="3">
        <v>2020</v>
      </c>
      <c r="B365" s="1" t="s">
        <v>61</v>
      </c>
      <c r="C365" s="1" t="s">
        <v>34</v>
      </c>
      <c r="D365" s="2">
        <v>43568</v>
      </c>
      <c r="E365" s="2">
        <v>622420</v>
      </c>
      <c r="F365" s="4">
        <v>60044</v>
      </c>
    </row>
    <row r="366" spans="1:6" x14ac:dyDescent="0.3">
      <c r="A366" s="3">
        <v>2020</v>
      </c>
      <c r="B366" s="1" t="s">
        <v>61</v>
      </c>
      <c r="C366" s="1" t="s">
        <v>35</v>
      </c>
      <c r="D366" s="2">
        <v>11448</v>
      </c>
      <c r="E366" s="2">
        <v>126459</v>
      </c>
      <c r="F366" s="4">
        <v>45191</v>
      </c>
    </row>
    <row r="367" spans="1:6" x14ac:dyDescent="0.3">
      <c r="A367" s="3">
        <v>2020</v>
      </c>
      <c r="B367" s="1" t="s">
        <v>61</v>
      </c>
      <c r="C367" s="1" t="s">
        <v>36</v>
      </c>
      <c r="D367" s="2">
        <v>67893</v>
      </c>
      <c r="E367" s="2">
        <v>1872526</v>
      </c>
      <c r="F367" s="4">
        <v>58936</v>
      </c>
    </row>
    <row r="368" spans="1:6" x14ac:dyDescent="0.3">
      <c r="A368" s="3">
        <v>2020</v>
      </c>
      <c r="B368" s="1" t="s">
        <v>61</v>
      </c>
      <c r="C368" s="1" t="s">
        <v>37</v>
      </c>
      <c r="D368" s="2">
        <v>29514</v>
      </c>
      <c r="E368" s="2">
        <v>584896</v>
      </c>
      <c r="F368" s="4">
        <v>53252</v>
      </c>
    </row>
    <row r="369" spans="1:6" x14ac:dyDescent="0.3">
      <c r="A369" s="3">
        <v>2020</v>
      </c>
      <c r="B369" s="1" t="s">
        <v>61</v>
      </c>
      <c r="C369" s="1" t="s">
        <v>38</v>
      </c>
      <c r="D369" s="2">
        <v>2737</v>
      </c>
      <c r="E369" s="2">
        <v>64418</v>
      </c>
      <c r="F369" s="4">
        <v>55234</v>
      </c>
    </row>
    <row r="370" spans="1:6" x14ac:dyDescent="0.3">
      <c r="A370" s="3">
        <v>2020</v>
      </c>
      <c r="B370" s="1" t="s">
        <v>61</v>
      </c>
      <c r="C370" s="1" t="s">
        <v>39</v>
      </c>
      <c r="D370" s="2">
        <v>35930</v>
      </c>
      <c r="E370" s="2">
        <v>868191</v>
      </c>
      <c r="F370" s="4">
        <v>51366</v>
      </c>
    </row>
    <row r="371" spans="1:6" x14ac:dyDescent="0.3">
      <c r="A371" s="3">
        <v>2020</v>
      </c>
      <c r="B371" s="1" t="s">
        <v>61</v>
      </c>
      <c r="C371" s="1" t="s">
        <v>40</v>
      </c>
      <c r="D371" s="2">
        <v>13656</v>
      </c>
      <c r="E371" s="2">
        <v>209679</v>
      </c>
      <c r="F371" s="4">
        <v>49095</v>
      </c>
    </row>
    <row r="372" spans="1:6" x14ac:dyDescent="0.3">
      <c r="A372" s="3">
        <v>2020</v>
      </c>
      <c r="B372" s="1" t="s">
        <v>61</v>
      </c>
      <c r="C372" s="1" t="s">
        <v>41</v>
      </c>
      <c r="D372" s="2">
        <v>28106</v>
      </c>
      <c r="E372" s="2">
        <v>292631</v>
      </c>
      <c r="F372" s="4">
        <v>54216</v>
      </c>
    </row>
    <row r="373" spans="1:6" x14ac:dyDescent="0.3">
      <c r="A373" s="3">
        <v>2020</v>
      </c>
      <c r="B373" s="1" t="s">
        <v>61</v>
      </c>
      <c r="C373" s="1" t="s">
        <v>42</v>
      </c>
      <c r="D373" s="2">
        <v>57935</v>
      </c>
      <c r="E373" s="2">
        <v>1179840</v>
      </c>
      <c r="F373" s="4">
        <v>57087</v>
      </c>
    </row>
    <row r="374" spans="1:6" x14ac:dyDescent="0.3">
      <c r="A374" s="3">
        <v>2020</v>
      </c>
      <c r="B374" s="1" t="s">
        <v>61</v>
      </c>
      <c r="C374" s="1" t="s">
        <v>43</v>
      </c>
      <c r="D374" s="2">
        <v>4907</v>
      </c>
      <c r="E374" s="2">
        <v>95079</v>
      </c>
      <c r="F374" s="4">
        <v>54510</v>
      </c>
    </row>
    <row r="375" spans="1:6" x14ac:dyDescent="0.3">
      <c r="A375" s="3">
        <v>2020</v>
      </c>
      <c r="B375" s="1" t="s">
        <v>61</v>
      </c>
      <c r="C375" s="1" t="s">
        <v>44</v>
      </c>
      <c r="D375" s="2">
        <v>15612</v>
      </c>
      <c r="E375" s="2">
        <v>231072</v>
      </c>
      <c r="F375" s="4">
        <v>50055</v>
      </c>
    </row>
    <row r="376" spans="1:6" x14ac:dyDescent="0.3">
      <c r="A376" s="3">
        <v>2020</v>
      </c>
      <c r="B376" s="1" t="s">
        <v>61</v>
      </c>
      <c r="C376" s="1" t="s">
        <v>45</v>
      </c>
      <c r="D376" s="2">
        <v>2934</v>
      </c>
      <c r="E376" s="2">
        <v>68990</v>
      </c>
      <c r="F376" s="4">
        <v>57054</v>
      </c>
    </row>
    <row r="377" spans="1:6" x14ac:dyDescent="0.3">
      <c r="A377" s="3">
        <v>2020</v>
      </c>
      <c r="B377" s="1" t="s">
        <v>61</v>
      </c>
      <c r="C377" s="1" t="s">
        <v>46</v>
      </c>
      <c r="D377" s="2">
        <v>21213</v>
      </c>
      <c r="E377" s="2">
        <v>421097</v>
      </c>
      <c r="F377" s="4">
        <v>56401</v>
      </c>
    </row>
    <row r="378" spans="1:6" x14ac:dyDescent="0.3">
      <c r="A378" s="3">
        <v>2020</v>
      </c>
      <c r="B378" s="1" t="s">
        <v>61</v>
      </c>
      <c r="C378" s="1" t="s">
        <v>47</v>
      </c>
      <c r="D378" s="2">
        <v>98681</v>
      </c>
      <c r="E378" s="2">
        <v>1646144</v>
      </c>
      <c r="F378" s="4">
        <v>51856</v>
      </c>
    </row>
    <row r="379" spans="1:6" x14ac:dyDescent="0.3">
      <c r="A379" s="3">
        <v>2020</v>
      </c>
      <c r="B379" s="1" t="s">
        <v>61</v>
      </c>
      <c r="C379" s="1" t="s">
        <v>48</v>
      </c>
      <c r="D379" s="2">
        <v>13463</v>
      </c>
      <c r="E379" s="2">
        <v>193157</v>
      </c>
      <c r="F379" s="4">
        <v>48260</v>
      </c>
    </row>
    <row r="380" spans="1:6" x14ac:dyDescent="0.3">
      <c r="A380" s="3">
        <v>2020</v>
      </c>
      <c r="B380" s="1" t="s">
        <v>61</v>
      </c>
      <c r="C380" s="1" t="s">
        <v>49</v>
      </c>
      <c r="D380" s="2">
        <v>2516</v>
      </c>
      <c r="E380" s="2">
        <v>58443</v>
      </c>
      <c r="F380" s="4">
        <v>52779</v>
      </c>
    </row>
    <row r="381" spans="1:6" x14ac:dyDescent="0.3">
      <c r="A381" s="3">
        <v>2020</v>
      </c>
      <c r="B381" s="1" t="s">
        <v>61</v>
      </c>
      <c r="C381" s="1" t="s">
        <v>50</v>
      </c>
      <c r="D381" s="2">
        <v>49705</v>
      </c>
      <c r="E381" s="2">
        <v>492598</v>
      </c>
      <c r="F381" s="4">
        <v>54119</v>
      </c>
    </row>
    <row r="382" spans="1:6" x14ac:dyDescent="0.3">
      <c r="A382" s="3">
        <v>2020</v>
      </c>
      <c r="B382" s="1" t="s">
        <v>61</v>
      </c>
      <c r="C382" s="1" t="s">
        <v>51</v>
      </c>
      <c r="D382" s="2">
        <v>74944</v>
      </c>
      <c r="E382" s="2">
        <v>468495</v>
      </c>
      <c r="F382" s="4">
        <v>55544</v>
      </c>
    </row>
    <row r="383" spans="1:6" x14ac:dyDescent="0.3">
      <c r="A383" s="3">
        <v>2020</v>
      </c>
      <c r="B383" s="1" t="s">
        <v>61</v>
      </c>
      <c r="C383" s="1" t="s">
        <v>52</v>
      </c>
      <c r="D383" s="2">
        <v>8500</v>
      </c>
      <c r="E383" s="2">
        <v>124604</v>
      </c>
      <c r="F383" s="4">
        <v>50597</v>
      </c>
    </row>
    <row r="384" spans="1:6" x14ac:dyDescent="0.3">
      <c r="A384" s="3">
        <v>2020</v>
      </c>
      <c r="B384" s="1" t="s">
        <v>61</v>
      </c>
      <c r="C384" s="1" t="s">
        <v>53</v>
      </c>
      <c r="D384" s="2">
        <v>31125</v>
      </c>
      <c r="E384" s="2">
        <v>427152</v>
      </c>
      <c r="F384" s="4">
        <v>52993</v>
      </c>
    </row>
    <row r="385" spans="1:6" x14ac:dyDescent="0.3">
      <c r="A385" s="3">
        <v>2020</v>
      </c>
      <c r="B385" s="1" t="s">
        <v>61</v>
      </c>
      <c r="C385" s="1" t="s">
        <v>54</v>
      </c>
      <c r="D385" s="2">
        <v>3485</v>
      </c>
      <c r="E385" s="2">
        <v>26942</v>
      </c>
      <c r="F385" s="4">
        <v>46334</v>
      </c>
    </row>
    <row r="386" spans="1:6" x14ac:dyDescent="0.3">
      <c r="A386" s="3">
        <v>2020</v>
      </c>
      <c r="B386" s="1" t="s">
        <v>62</v>
      </c>
      <c r="C386" s="1" t="s">
        <v>7</v>
      </c>
      <c r="D386" s="2">
        <v>11221</v>
      </c>
      <c r="E386" s="2">
        <v>178057</v>
      </c>
      <c r="F386" s="4">
        <v>18554</v>
      </c>
    </row>
    <row r="387" spans="1:6" x14ac:dyDescent="0.3">
      <c r="A387" s="3">
        <v>2020</v>
      </c>
      <c r="B387" s="1" t="s">
        <v>62</v>
      </c>
      <c r="C387" s="1" t="s">
        <v>8</v>
      </c>
      <c r="D387" s="2">
        <v>14444</v>
      </c>
      <c r="E387" s="2">
        <v>274985</v>
      </c>
      <c r="F387" s="4">
        <v>26810</v>
      </c>
    </row>
    <row r="388" spans="1:6" x14ac:dyDescent="0.3">
      <c r="A388" s="3">
        <v>2020</v>
      </c>
      <c r="B388" s="1" t="s">
        <v>62</v>
      </c>
      <c r="C388" s="1" t="s">
        <v>9</v>
      </c>
      <c r="D388" s="2">
        <v>7458</v>
      </c>
      <c r="E388" s="2">
        <v>106295</v>
      </c>
      <c r="F388" s="4">
        <v>18414</v>
      </c>
    </row>
    <row r="389" spans="1:6" x14ac:dyDescent="0.3">
      <c r="A389" s="3">
        <v>2020</v>
      </c>
      <c r="B389" s="1" t="s">
        <v>62</v>
      </c>
      <c r="C389" s="1" t="s">
        <v>10</v>
      </c>
      <c r="D389" s="2">
        <v>117833</v>
      </c>
      <c r="E389" s="2">
        <v>1482600</v>
      </c>
      <c r="F389" s="4">
        <v>36090</v>
      </c>
    </row>
    <row r="390" spans="1:6" x14ac:dyDescent="0.3">
      <c r="A390" s="3">
        <v>2020</v>
      </c>
      <c r="B390" s="1" t="s">
        <v>62</v>
      </c>
      <c r="C390" s="1" t="s">
        <v>11</v>
      </c>
      <c r="D390" s="2">
        <v>17650</v>
      </c>
      <c r="E390" s="2">
        <v>271680</v>
      </c>
      <c r="F390" s="4">
        <v>28424</v>
      </c>
    </row>
    <row r="391" spans="1:6" x14ac:dyDescent="0.3">
      <c r="A391" s="3">
        <v>2020</v>
      </c>
      <c r="B391" s="1" t="s">
        <v>62</v>
      </c>
      <c r="C391" s="1" t="s">
        <v>12</v>
      </c>
      <c r="D391" s="2">
        <v>10916</v>
      </c>
      <c r="E391" s="2">
        <v>117365</v>
      </c>
      <c r="F391" s="4">
        <v>26295</v>
      </c>
    </row>
    <row r="392" spans="1:6" x14ac:dyDescent="0.3">
      <c r="A392" s="3">
        <v>2020</v>
      </c>
      <c r="B392" s="1" t="s">
        <v>62</v>
      </c>
      <c r="C392" s="1" t="s">
        <v>13</v>
      </c>
      <c r="D392" s="2">
        <v>2698</v>
      </c>
      <c r="E392" s="2">
        <v>41103</v>
      </c>
      <c r="F392" s="4">
        <v>22228</v>
      </c>
    </row>
    <row r="393" spans="1:6" x14ac:dyDescent="0.3">
      <c r="A393" s="3">
        <v>2020</v>
      </c>
      <c r="B393" s="1" t="s">
        <v>62</v>
      </c>
      <c r="C393" s="1" t="s">
        <v>14</v>
      </c>
      <c r="D393" s="2">
        <v>59645</v>
      </c>
      <c r="E393" s="2">
        <v>1007574</v>
      </c>
      <c r="F393" s="4">
        <v>27709</v>
      </c>
    </row>
    <row r="394" spans="1:6" x14ac:dyDescent="0.3">
      <c r="A394" s="3">
        <v>2020</v>
      </c>
      <c r="B394" s="1" t="s">
        <v>62</v>
      </c>
      <c r="C394" s="1" t="s">
        <v>15</v>
      </c>
      <c r="D394" s="2">
        <v>26741</v>
      </c>
      <c r="E394" s="2">
        <v>414059</v>
      </c>
      <c r="F394" s="4">
        <v>22009</v>
      </c>
    </row>
    <row r="395" spans="1:6" x14ac:dyDescent="0.3">
      <c r="A395" s="3">
        <v>2020</v>
      </c>
      <c r="B395" s="1" t="s">
        <v>62</v>
      </c>
      <c r="C395" s="1" t="s">
        <v>16</v>
      </c>
      <c r="D395" s="2">
        <v>5242</v>
      </c>
      <c r="E395" s="2">
        <v>74574</v>
      </c>
      <c r="F395" s="4">
        <v>18637</v>
      </c>
    </row>
    <row r="396" spans="1:6" x14ac:dyDescent="0.3">
      <c r="A396" s="3">
        <v>2020</v>
      </c>
      <c r="B396" s="1" t="s">
        <v>62</v>
      </c>
      <c r="C396" s="1" t="s">
        <v>17</v>
      </c>
      <c r="D396" s="2">
        <v>32842</v>
      </c>
      <c r="E396" s="2">
        <v>462216</v>
      </c>
      <c r="F396" s="4">
        <v>25054</v>
      </c>
    </row>
    <row r="397" spans="1:6" x14ac:dyDescent="0.3">
      <c r="A397" s="3">
        <v>2020</v>
      </c>
      <c r="B397" s="1" t="s">
        <v>62</v>
      </c>
      <c r="C397" s="1" t="s">
        <v>18</v>
      </c>
      <c r="D397" s="2">
        <v>16068</v>
      </c>
      <c r="E397" s="2">
        <v>263892</v>
      </c>
      <c r="F397" s="4">
        <v>20493</v>
      </c>
    </row>
    <row r="398" spans="1:6" x14ac:dyDescent="0.3">
      <c r="A398" s="3">
        <v>2020</v>
      </c>
      <c r="B398" s="1" t="s">
        <v>62</v>
      </c>
      <c r="C398" s="1" t="s">
        <v>19</v>
      </c>
      <c r="D398" s="2">
        <v>8734</v>
      </c>
      <c r="E398" s="2">
        <v>118383</v>
      </c>
      <c r="F398" s="4">
        <v>18002</v>
      </c>
    </row>
    <row r="399" spans="1:6" x14ac:dyDescent="0.3">
      <c r="A399" s="3">
        <v>2020</v>
      </c>
      <c r="B399" s="1" t="s">
        <v>62</v>
      </c>
      <c r="C399" s="1" t="s">
        <v>20</v>
      </c>
      <c r="D399" s="2">
        <v>6792</v>
      </c>
      <c r="E399" s="2">
        <v>110526</v>
      </c>
      <c r="F399" s="4">
        <v>18088</v>
      </c>
    </row>
    <row r="400" spans="1:6" x14ac:dyDescent="0.3">
      <c r="A400" s="3">
        <v>2020</v>
      </c>
      <c r="B400" s="1" t="s">
        <v>62</v>
      </c>
      <c r="C400" s="1" t="s">
        <v>21</v>
      </c>
      <c r="D400" s="2">
        <v>10331</v>
      </c>
      <c r="E400" s="2">
        <v>165335</v>
      </c>
      <c r="F400" s="4">
        <v>19522</v>
      </c>
    </row>
    <row r="401" spans="1:6" x14ac:dyDescent="0.3">
      <c r="A401" s="3">
        <v>2020</v>
      </c>
      <c r="B401" s="1" t="s">
        <v>62</v>
      </c>
      <c r="C401" s="1" t="s">
        <v>22</v>
      </c>
      <c r="D401" s="2">
        <v>13351</v>
      </c>
      <c r="E401" s="2">
        <v>188383</v>
      </c>
      <c r="F401" s="4">
        <v>22216</v>
      </c>
    </row>
    <row r="402" spans="1:6" x14ac:dyDescent="0.3">
      <c r="A402" s="3">
        <v>2020</v>
      </c>
      <c r="B402" s="1" t="s">
        <v>62</v>
      </c>
      <c r="C402" s="1" t="s">
        <v>23</v>
      </c>
      <c r="D402" s="2">
        <v>5172</v>
      </c>
      <c r="E402" s="2">
        <v>51781</v>
      </c>
      <c r="F402" s="4">
        <v>25112</v>
      </c>
    </row>
    <row r="403" spans="1:6" x14ac:dyDescent="0.3">
      <c r="A403" s="3">
        <v>2020</v>
      </c>
      <c r="B403" s="1" t="s">
        <v>62</v>
      </c>
      <c r="C403" s="1" t="s">
        <v>24</v>
      </c>
      <c r="D403" s="2">
        <v>14823</v>
      </c>
      <c r="E403" s="2">
        <v>210848</v>
      </c>
      <c r="F403" s="4">
        <v>26383</v>
      </c>
    </row>
    <row r="404" spans="1:6" x14ac:dyDescent="0.3">
      <c r="A404" s="3">
        <v>2020</v>
      </c>
      <c r="B404" s="1" t="s">
        <v>62</v>
      </c>
      <c r="C404" s="1" t="s">
        <v>25</v>
      </c>
      <c r="D404" s="2">
        <v>20158</v>
      </c>
      <c r="E404" s="2">
        <v>262049</v>
      </c>
      <c r="F404" s="4">
        <v>30457</v>
      </c>
    </row>
    <row r="405" spans="1:6" x14ac:dyDescent="0.3">
      <c r="A405" s="3">
        <v>2020</v>
      </c>
      <c r="B405" s="1" t="s">
        <v>62</v>
      </c>
      <c r="C405" s="1" t="s">
        <v>26</v>
      </c>
      <c r="D405" s="2">
        <v>23032</v>
      </c>
      <c r="E405" s="2">
        <v>323435</v>
      </c>
      <c r="F405" s="4">
        <v>22254</v>
      </c>
    </row>
    <row r="406" spans="1:6" x14ac:dyDescent="0.3">
      <c r="A406" s="3">
        <v>2020</v>
      </c>
      <c r="B406" s="1" t="s">
        <v>62</v>
      </c>
      <c r="C406" s="1" t="s">
        <v>27</v>
      </c>
      <c r="D406" s="2">
        <v>15355</v>
      </c>
      <c r="E406" s="2">
        <v>204519</v>
      </c>
      <c r="F406" s="4">
        <v>24167</v>
      </c>
    </row>
    <row r="407" spans="1:6" x14ac:dyDescent="0.3">
      <c r="A407" s="3">
        <v>2020</v>
      </c>
      <c r="B407" s="1" t="s">
        <v>62</v>
      </c>
      <c r="C407" s="1" t="s">
        <v>28</v>
      </c>
      <c r="D407" s="2">
        <v>6644</v>
      </c>
      <c r="E407" s="2">
        <v>118107</v>
      </c>
      <c r="F407" s="4">
        <v>18380</v>
      </c>
    </row>
    <row r="408" spans="1:6" x14ac:dyDescent="0.3">
      <c r="A408" s="3">
        <v>2020</v>
      </c>
      <c r="B408" s="1" t="s">
        <v>62</v>
      </c>
      <c r="C408" s="1" t="s">
        <v>29</v>
      </c>
      <c r="D408" s="2">
        <v>15398</v>
      </c>
      <c r="E408" s="2">
        <v>253244</v>
      </c>
      <c r="F408" s="4">
        <v>22154</v>
      </c>
    </row>
    <row r="409" spans="1:6" x14ac:dyDescent="0.3">
      <c r="A409" s="3">
        <v>2020</v>
      </c>
      <c r="B409" s="1" t="s">
        <v>62</v>
      </c>
      <c r="C409" s="1" t="s">
        <v>30</v>
      </c>
      <c r="D409" s="2">
        <v>5182</v>
      </c>
      <c r="E409" s="2">
        <v>58811</v>
      </c>
      <c r="F409" s="4">
        <v>21078</v>
      </c>
    </row>
    <row r="410" spans="1:6" x14ac:dyDescent="0.3">
      <c r="A410" s="3">
        <v>2020</v>
      </c>
      <c r="B410" s="1" t="s">
        <v>62</v>
      </c>
      <c r="C410" s="1" t="s">
        <v>31</v>
      </c>
      <c r="D410" s="2">
        <v>5552</v>
      </c>
      <c r="E410" s="2">
        <v>79529</v>
      </c>
      <c r="F410" s="4">
        <v>18131</v>
      </c>
    </row>
    <row r="411" spans="1:6" x14ac:dyDescent="0.3">
      <c r="A411" s="3">
        <v>2020</v>
      </c>
      <c r="B411" s="1" t="s">
        <v>62</v>
      </c>
      <c r="C411" s="1" t="s">
        <v>32</v>
      </c>
      <c r="D411" s="2">
        <v>8698</v>
      </c>
      <c r="E411" s="2">
        <v>255447</v>
      </c>
      <c r="F411" s="4">
        <v>34061</v>
      </c>
    </row>
    <row r="412" spans="1:6" x14ac:dyDescent="0.3">
      <c r="A412" s="3">
        <v>2020</v>
      </c>
      <c r="B412" s="1" t="s">
        <v>62</v>
      </c>
      <c r="C412" s="1" t="s">
        <v>33</v>
      </c>
      <c r="D412" s="2">
        <v>4677</v>
      </c>
      <c r="E412" s="2">
        <v>57132</v>
      </c>
      <c r="F412" s="4">
        <v>24729</v>
      </c>
    </row>
    <row r="413" spans="1:6" x14ac:dyDescent="0.3">
      <c r="A413" s="3">
        <v>2020</v>
      </c>
      <c r="B413" s="1" t="s">
        <v>62</v>
      </c>
      <c r="C413" s="1" t="s">
        <v>34</v>
      </c>
      <c r="D413" s="2">
        <v>24584</v>
      </c>
      <c r="E413" s="2">
        <v>281546</v>
      </c>
      <c r="F413" s="4">
        <v>28639</v>
      </c>
    </row>
    <row r="414" spans="1:6" x14ac:dyDescent="0.3">
      <c r="A414" s="3">
        <v>2020</v>
      </c>
      <c r="B414" s="1" t="s">
        <v>62</v>
      </c>
      <c r="C414" s="1" t="s">
        <v>35</v>
      </c>
      <c r="D414" s="2">
        <v>5276</v>
      </c>
      <c r="E414" s="2">
        <v>78539</v>
      </c>
      <c r="F414" s="4">
        <v>19988</v>
      </c>
    </row>
    <row r="415" spans="1:6" x14ac:dyDescent="0.3">
      <c r="A415" s="3">
        <v>2020</v>
      </c>
      <c r="B415" s="1" t="s">
        <v>62</v>
      </c>
      <c r="C415" s="1" t="s">
        <v>36</v>
      </c>
      <c r="D415" s="2">
        <v>64959</v>
      </c>
      <c r="E415" s="2">
        <v>632760</v>
      </c>
      <c r="F415" s="4">
        <v>36986</v>
      </c>
    </row>
    <row r="416" spans="1:6" x14ac:dyDescent="0.3">
      <c r="A416" s="3">
        <v>2020</v>
      </c>
      <c r="B416" s="1" t="s">
        <v>62</v>
      </c>
      <c r="C416" s="1" t="s">
        <v>37</v>
      </c>
      <c r="D416" s="2">
        <v>27015</v>
      </c>
      <c r="E416" s="2">
        <v>420420</v>
      </c>
      <c r="F416" s="4">
        <v>21462</v>
      </c>
    </row>
    <row r="417" spans="1:6" x14ac:dyDescent="0.3">
      <c r="A417" s="3">
        <v>2020</v>
      </c>
      <c r="B417" s="1" t="s">
        <v>62</v>
      </c>
      <c r="C417" s="1" t="s">
        <v>38</v>
      </c>
      <c r="D417" s="2">
        <v>2621</v>
      </c>
      <c r="E417" s="2">
        <v>34228</v>
      </c>
      <c r="F417" s="4">
        <v>19193</v>
      </c>
    </row>
    <row r="418" spans="1:6" x14ac:dyDescent="0.3">
      <c r="A418" s="3">
        <v>2020</v>
      </c>
      <c r="B418" s="1" t="s">
        <v>62</v>
      </c>
      <c r="C418" s="1" t="s">
        <v>39</v>
      </c>
      <c r="D418" s="2">
        <v>29197</v>
      </c>
      <c r="E418" s="2">
        <v>466069</v>
      </c>
      <c r="F418" s="4">
        <v>21027</v>
      </c>
    </row>
    <row r="419" spans="1:6" x14ac:dyDescent="0.3">
      <c r="A419" s="3">
        <v>2020</v>
      </c>
      <c r="B419" s="1" t="s">
        <v>62</v>
      </c>
      <c r="C419" s="1" t="s">
        <v>40</v>
      </c>
      <c r="D419" s="2">
        <v>9364</v>
      </c>
      <c r="E419" s="2">
        <v>156230</v>
      </c>
      <c r="F419" s="4">
        <v>19310</v>
      </c>
    </row>
    <row r="420" spans="1:6" x14ac:dyDescent="0.3">
      <c r="A420" s="3">
        <v>2020</v>
      </c>
      <c r="B420" s="1" t="s">
        <v>62</v>
      </c>
      <c r="C420" s="1" t="s">
        <v>41</v>
      </c>
      <c r="D420" s="2">
        <v>13993</v>
      </c>
      <c r="E420" s="2">
        <v>161570</v>
      </c>
      <c r="F420" s="4">
        <v>24338</v>
      </c>
    </row>
    <row r="421" spans="1:6" x14ac:dyDescent="0.3">
      <c r="A421" s="3">
        <v>2020</v>
      </c>
      <c r="B421" s="1" t="s">
        <v>62</v>
      </c>
      <c r="C421" s="1" t="s">
        <v>42</v>
      </c>
      <c r="D421" s="2">
        <v>33532</v>
      </c>
      <c r="E421" s="2">
        <v>424092</v>
      </c>
      <c r="F421" s="4">
        <v>22945</v>
      </c>
    </row>
    <row r="422" spans="1:6" x14ac:dyDescent="0.3">
      <c r="A422" s="3">
        <v>2020</v>
      </c>
      <c r="B422" s="1" t="s">
        <v>62</v>
      </c>
      <c r="C422" s="1" t="s">
        <v>43</v>
      </c>
      <c r="D422" s="2">
        <v>3890</v>
      </c>
      <c r="E422" s="2">
        <v>44621</v>
      </c>
      <c r="F422" s="4">
        <v>24733</v>
      </c>
    </row>
    <row r="423" spans="1:6" x14ac:dyDescent="0.3">
      <c r="A423" s="3">
        <v>2020</v>
      </c>
      <c r="B423" s="1" t="s">
        <v>62</v>
      </c>
      <c r="C423" s="1" t="s">
        <v>44</v>
      </c>
      <c r="D423" s="2">
        <v>13676</v>
      </c>
      <c r="E423" s="2">
        <v>226959</v>
      </c>
      <c r="F423" s="4">
        <v>19677</v>
      </c>
    </row>
    <row r="424" spans="1:6" x14ac:dyDescent="0.3">
      <c r="A424" s="3">
        <v>2020</v>
      </c>
      <c r="B424" s="1" t="s">
        <v>62</v>
      </c>
      <c r="C424" s="1" t="s">
        <v>45</v>
      </c>
      <c r="D424" s="2">
        <v>3184</v>
      </c>
      <c r="E424" s="2">
        <v>41000</v>
      </c>
      <c r="F424" s="4">
        <v>18829</v>
      </c>
    </row>
    <row r="425" spans="1:6" x14ac:dyDescent="0.3">
      <c r="A425" s="3">
        <v>2020</v>
      </c>
      <c r="B425" s="1" t="s">
        <v>62</v>
      </c>
      <c r="C425" s="1" t="s">
        <v>46</v>
      </c>
      <c r="D425" s="2">
        <v>17443</v>
      </c>
      <c r="E425" s="2">
        <v>293033</v>
      </c>
      <c r="F425" s="4">
        <v>23771</v>
      </c>
    </row>
    <row r="426" spans="1:6" x14ac:dyDescent="0.3">
      <c r="A426" s="3">
        <v>2020</v>
      </c>
      <c r="B426" s="1" t="s">
        <v>62</v>
      </c>
      <c r="C426" s="1" t="s">
        <v>47</v>
      </c>
      <c r="D426" s="2">
        <v>66777</v>
      </c>
      <c r="E426" s="2">
        <v>1178456</v>
      </c>
      <c r="F426" s="4">
        <v>23001</v>
      </c>
    </row>
    <row r="427" spans="1:6" x14ac:dyDescent="0.3">
      <c r="A427" s="3">
        <v>2020</v>
      </c>
      <c r="B427" s="1" t="s">
        <v>62</v>
      </c>
      <c r="C427" s="1" t="s">
        <v>48</v>
      </c>
      <c r="D427" s="2">
        <v>7766</v>
      </c>
      <c r="E427" s="2">
        <v>133375</v>
      </c>
      <c r="F427" s="4">
        <v>21580</v>
      </c>
    </row>
    <row r="428" spans="1:6" x14ac:dyDescent="0.3">
      <c r="A428" s="3">
        <v>2020</v>
      </c>
      <c r="B428" s="1" t="s">
        <v>62</v>
      </c>
      <c r="C428" s="1" t="s">
        <v>49</v>
      </c>
      <c r="D428" s="2">
        <v>2220</v>
      </c>
      <c r="E428" s="2">
        <v>25985</v>
      </c>
      <c r="F428" s="4">
        <v>26068</v>
      </c>
    </row>
    <row r="429" spans="1:6" x14ac:dyDescent="0.3">
      <c r="A429" s="3">
        <v>2020</v>
      </c>
      <c r="B429" s="1" t="s">
        <v>62</v>
      </c>
      <c r="C429" s="1" t="s">
        <v>50</v>
      </c>
      <c r="D429" s="2">
        <v>20954</v>
      </c>
      <c r="E429" s="2">
        <v>322216</v>
      </c>
      <c r="F429" s="4">
        <v>22634</v>
      </c>
    </row>
    <row r="430" spans="1:6" x14ac:dyDescent="0.3">
      <c r="A430" s="3">
        <v>2020</v>
      </c>
      <c r="B430" s="1" t="s">
        <v>62</v>
      </c>
      <c r="C430" s="1" t="s">
        <v>51</v>
      </c>
      <c r="D430" s="2">
        <v>20710</v>
      </c>
      <c r="E430" s="2">
        <v>255412</v>
      </c>
      <c r="F430" s="4">
        <v>26657</v>
      </c>
    </row>
    <row r="431" spans="1:6" x14ac:dyDescent="0.3">
      <c r="A431" s="3">
        <v>2020</v>
      </c>
      <c r="B431" s="1" t="s">
        <v>62</v>
      </c>
      <c r="C431" s="1" t="s">
        <v>52</v>
      </c>
      <c r="D431" s="2">
        <v>4602</v>
      </c>
      <c r="E431" s="2">
        <v>61253</v>
      </c>
      <c r="F431" s="4">
        <v>18945</v>
      </c>
    </row>
    <row r="432" spans="1:6" x14ac:dyDescent="0.3">
      <c r="A432" s="3">
        <v>2020</v>
      </c>
      <c r="B432" s="1" t="s">
        <v>62</v>
      </c>
      <c r="C432" s="1" t="s">
        <v>53</v>
      </c>
      <c r="D432" s="2">
        <v>16783</v>
      </c>
      <c r="E432" s="2">
        <v>227495</v>
      </c>
      <c r="F432" s="4">
        <v>19473</v>
      </c>
    </row>
    <row r="433" spans="1:6" x14ac:dyDescent="0.3">
      <c r="A433" s="3">
        <v>2020</v>
      </c>
      <c r="B433" s="1" t="s">
        <v>62</v>
      </c>
      <c r="C433" s="1" t="s">
        <v>54</v>
      </c>
      <c r="D433" s="2">
        <v>2418</v>
      </c>
      <c r="E433" s="2">
        <v>32312</v>
      </c>
      <c r="F433" s="4">
        <v>23041</v>
      </c>
    </row>
    <row r="434" spans="1:6" x14ac:dyDescent="0.3">
      <c r="A434" s="3">
        <v>2020</v>
      </c>
      <c r="B434" s="1" t="s">
        <v>63</v>
      </c>
      <c r="C434" s="1" t="s">
        <v>7</v>
      </c>
      <c r="D434" s="2">
        <v>9048</v>
      </c>
      <c r="E434" s="2">
        <v>42367</v>
      </c>
      <c r="F434" s="4">
        <v>41437</v>
      </c>
    </row>
    <row r="435" spans="1:6" x14ac:dyDescent="0.3">
      <c r="A435" s="3">
        <v>2020</v>
      </c>
      <c r="B435" s="1" t="s">
        <v>63</v>
      </c>
      <c r="C435" s="1" t="s">
        <v>8</v>
      </c>
      <c r="D435" s="2">
        <v>10878</v>
      </c>
      <c r="E435" s="2">
        <v>69183</v>
      </c>
      <c r="F435" s="4">
        <v>42482</v>
      </c>
    </row>
    <row r="436" spans="1:6" x14ac:dyDescent="0.3">
      <c r="A436" s="3">
        <v>2020</v>
      </c>
      <c r="B436" s="1" t="s">
        <v>63</v>
      </c>
      <c r="C436" s="1" t="s">
        <v>9</v>
      </c>
      <c r="D436" s="2">
        <v>5464</v>
      </c>
      <c r="E436" s="2">
        <v>23724</v>
      </c>
      <c r="F436" s="4">
        <v>38111</v>
      </c>
    </row>
    <row r="437" spans="1:6" x14ac:dyDescent="0.3">
      <c r="A437" s="3">
        <v>2020</v>
      </c>
      <c r="B437" s="1" t="s">
        <v>63</v>
      </c>
      <c r="C437" s="1" t="s">
        <v>10</v>
      </c>
      <c r="D437" s="2">
        <v>97116</v>
      </c>
      <c r="E437" s="2">
        <v>452175</v>
      </c>
      <c r="F437" s="4">
        <v>47080</v>
      </c>
    </row>
    <row r="438" spans="1:6" x14ac:dyDescent="0.3">
      <c r="A438" s="3">
        <v>2020</v>
      </c>
      <c r="B438" s="1" t="s">
        <v>63</v>
      </c>
      <c r="C438" s="1" t="s">
        <v>11</v>
      </c>
      <c r="D438" s="2">
        <v>16860</v>
      </c>
      <c r="E438" s="2">
        <v>76766</v>
      </c>
      <c r="F438" s="4">
        <v>45642</v>
      </c>
    </row>
    <row r="439" spans="1:6" x14ac:dyDescent="0.3">
      <c r="A439" s="3">
        <v>2020</v>
      </c>
      <c r="B439" s="1" t="s">
        <v>63</v>
      </c>
      <c r="C439" s="1" t="s">
        <v>12</v>
      </c>
      <c r="D439" s="2">
        <v>12480</v>
      </c>
      <c r="E439" s="2">
        <v>48120</v>
      </c>
      <c r="F439" s="4">
        <v>42136</v>
      </c>
    </row>
    <row r="440" spans="1:6" x14ac:dyDescent="0.3">
      <c r="A440" s="3">
        <v>2020</v>
      </c>
      <c r="B440" s="1" t="s">
        <v>63</v>
      </c>
      <c r="C440" s="1" t="s">
        <v>13</v>
      </c>
      <c r="D440" s="2">
        <v>2088</v>
      </c>
      <c r="E440" s="2">
        <v>10706</v>
      </c>
      <c r="F440" s="4">
        <v>38135</v>
      </c>
    </row>
    <row r="441" spans="1:6" x14ac:dyDescent="0.3">
      <c r="A441" s="3">
        <v>2020</v>
      </c>
      <c r="B441" s="1" t="s">
        <v>63</v>
      </c>
      <c r="C441" s="1" t="s">
        <v>14</v>
      </c>
      <c r="D441" s="2">
        <v>54871</v>
      </c>
      <c r="E441" s="2">
        <v>254577</v>
      </c>
      <c r="F441" s="4">
        <v>41154</v>
      </c>
    </row>
    <row r="442" spans="1:6" x14ac:dyDescent="0.3">
      <c r="A442" s="3">
        <v>2020</v>
      </c>
      <c r="B442" s="1" t="s">
        <v>63</v>
      </c>
      <c r="C442" s="1" t="s">
        <v>15</v>
      </c>
      <c r="D442" s="2">
        <v>19294</v>
      </c>
      <c r="E442" s="2">
        <v>101509</v>
      </c>
      <c r="F442" s="4">
        <v>41319</v>
      </c>
    </row>
    <row r="443" spans="1:6" x14ac:dyDescent="0.3">
      <c r="A443" s="3">
        <v>2020</v>
      </c>
      <c r="B443" s="1" t="s">
        <v>63</v>
      </c>
      <c r="C443" s="1" t="s">
        <v>16</v>
      </c>
      <c r="D443" s="2">
        <v>4119</v>
      </c>
      <c r="E443" s="2">
        <v>18237</v>
      </c>
      <c r="F443" s="4">
        <v>35029</v>
      </c>
    </row>
    <row r="444" spans="1:6" x14ac:dyDescent="0.3">
      <c r="A444" s="3">
        <v>2020</v>
      </c>
      <c r="B444" s="1" t="s">
        <v>63</v>
      </c>
      <c r="C444" s="1" t="s">
        <v>17</v>
      </c>
      <c r="D444" s="2">
        <v>35477</v>
      </c>
      <c r="E444" s="2">
        <v>184359</v>
      </c>
      <c r="F444" s="4">
        <v>48230</v>
      </c>
    </row>
    <row r="445" spans="1:6" x14ac:dyDescent="0.3">
      <c r="A445" s="3">
        <v>2020</v>
      </c>
      <c r="B445" s="1" t="s">
        <v>63</v>
      </c>
      <c r="C445" s="1" t="s">
        <v>18</v>
      </c>
      <c r="D445" s="2">
        <v>13233</v>
      </c>
      <c r="E445" s="2">
        <v>80627</v>
      </c>
      <c r="F445" s="4">
        <v>36636</v>
      </c>
    </row>
    <row r="446" spans="1:6" x14ac:dyDescent="0.3">
      <c r="A446" s="3">
        <v>2020</v>
      </c>
      <c r="B446" s="1" t="s">
        <v>63</v>
      </c>
      <c r="C446" s="1" t="s">
        <v>19</v>
      </c>
      <c r="D446" s="2">
        <v>7585</v>
      </c>
      <c r="E446" s="2">
        <v>37229</v>
      </c>
      <c r="F446" s="4">
        <v>40163</v>
      </c>
    </row>
    <row r="447" spans="1:6" x14ac:dyDescent="0.3">
      <c r="A447" s="3">
        <v>2020</v>
      </c>
      <c r="B447" s="1" t="s">
        <v>63</v>
      </c>
      <c r="C447" s="1" t="s">
        <v>20</v>
      </c>
      <c r="D447" s="2">
        <v>5873</v>
      </c>
      <c r="E447" s="2">
        <v>31183</v>
      </c>
      <c r="F447" s="4">
        <v>38965</v>
      </c>
    </row>
    <row r="448" spans="1:6" x14ac:dyDescent="0.3">
      <c r="A448" s="3">
        <v>2020</v>
      </c>
      <c r="B448" s="1" t="s">
        <v>63</v>
      </c>
      <c r="C448" s="1" t="s">
        <v>21</v>
      </c>
      <c r="D448" s="2">
        <v>9084</v>
      </c>
      <c r="E448" s="2">
        <v>40228</v>
      </c>
      <c r="F448" s="4">
        <v>38895</v>
      </c>
    </row>
    <row r="449" spans="1:6" x14ac:dyDescent="0.3">
      <c r="A449" s="3">
        <v>2020</v>
      </c>
      <c r="B449" s="1" t="s">
        <v>63</v>
      </c>
      <c r="C449" s="1" t="s">
        <v>22</v>
      </c>
      <c r="D449" s="2">
        <v>9437</v>
      </c>
      <c r="E449" s="2">
        <v>41500</v>
      </c>
      <c r="F449" s="4">
        <v>41226</v>
      </c>
    </row>
    <row r="450" spans="1:6" x14ac:dyDescent="0.3">
      <c r="A450" s="3">
        <v>2020</v>
      </c>
      <c r="B450" s="1" t="s">
        <v>63</v>
      </c>
      <c r="C450" s="1" t="s">
        <v>23</v>
      </c>
      <c r="D450" s="2">
        <v>3830</v>
      </c>
      <c r="E450" s="2">
        <v>16120</v>
      </c>
      <c r="F450" s="4">
        <v>39497</v>
      </c>
    </row>
    <row r="451" spans="1:6" x14ac:dyDescent="0.3">
      <c r="A451" s="3">
        <v>2020</v>
      </c>
      <c r="B451" s="1" t="s">
        <v>63</v>
      </c>
      <c r="C451" s="1" t="s">
        <v>24</v>
      </c>
      <c r="D451" s="2">
        <v>19028</v>
      </c>
      <c r="E451" s="2">
        <v>78236</v>
      </c>
      <c r="F451" s="4">
        <v>48238</v>
      </c>
    </row>
    <row r="452" spans="1:6" x14ac:dyDescent="0.3">
      <c r="A452" s="3">
        <v>2020</v>
      </c>
      <c r="B452" s="1" t="s">
        <v>63</v>
      </c>
      <c r="C452" s="1" t="s">
        <v>25</v>
      </c>
      <c r="D452" s="2">
        <v>21927</v>
      </c>
      <c r="E452" s="2">
        <v>98276</v>
      </c>
      <c r="F452" s="4">
        <v>46345</v>
      </c>
    </row>
    <row r="453" spans="1:6" x14ac:dyDescent="0.3">
      <c r="A453" s="3">
        <v>2020</v>
      </c>
      <c r="B453" s="1" t="s">
        <v>63</v>
      </c>
      <c r="C453" s="1" t="s">
        <v>26</v>
      </c>
      <c r="D453" s="2">
        <v>25486</v>
      </c>
      <c r="E453" s="2">
        <v>114074</v>
      </c>
      <c r="F453" s="4">
        <v>39650</v>
      </c>
    </row>
    <row r="454" spans="1:6" x14ac:dyDescent="0.3">
      <c r="A454" s="3">
        <v>2020</v>
      </c>
      <c r="B454" s="1" t="s">
        <v>63</v>
      </c>
      <c r="C454" s="1" t="s">
        <v>27</v>
      </c>
      <c r="D454" s="2">
        <v>17118</v>
      </c>
      <c r="E454" s="2">
        <v>77083</v>
      </c>
      <c r="F454" s="4">
        <v>39485</v>
      </c>
    </row>
    <row r="455" spans="1:6" x14ac:dyDescent="0.3">
      <c r="A455" s="3">
        <v>2020</v>
      </c>
      <c r="B455" s="1" t="s">
        <v>63</v>
      </c>
      <c r="C455" s="1" t="s">
        <v>28</v>
      </c>
      <c r="D455" s="2">
        <v>4625</v>
      </c>
      <c r="E455" s="2">
        <v>19993</v>
      </c>
      <c r="F455" s="4">
        <v>38520</v>
      </c>
    </row>
    <row r="456" spans="1:6" x14ac:dyDescent="0.3">
      <c r="A456" s="3">
        <v>2020</v>
      </c>
      <c r="B456" s="1" t="s">
        <v>63</v>
      </c>
      <c r="C456" s="1" t="s">
        <v>29</v>
      </c>
      <c r="D456" s="2">
        <v>13399</v>
      </c>
      <c r="E456" s="2">
        <v>68557</v>
      </c>
      <c r="F456" s="4">
        <v>38496</v>
      </c>
    </row>
    <row r="457" spans="1:6" x14ac:dyDescent="0.3">
      <c r="A457" s="3">
        <v>2020</v>
      </c>
      <c r="B457" s="1" t="s">
        <v>63</v>
      </c>
      <c r="C457" s="1" t="s">
        <v>30</v>
      </c>
      <c r="D457" s="2">
        <v>4199</v>
      </c>
      <c r="E457" s="2">
        <v>17236</v>
      </c>
      <c r="F457" s="4">
        <v>34349</v>
      </c>
    </row>
    <row r="458" spans="1:6" x14ac:dyDescent="0.3">
      <c r="A458" s="3">
        <v>2020</v>
      </c>
      <c r="B458" s="1" t="s">
        <v>63</v>
      </c>
      <c r="C458" s="1" t="s">
        <v>31</v>
      </c>
      <c r="D458" s="2">
        <v>4602</v>
      </c>
      <c r="E458" s="2">
        <v>24061</v>
      </c>
      <c r="F458" s="4">
        <v>36266</v>
      </c>
    </row>
    <row r="459" spans="1:6" x14ac:dyDescent="0.3">
      <c r="A459" s="3">
        <v>2020</v>
      </c>
      <c r="B459" s="1" t="s">
        <v>63</v>
      </c>
      <c r="C459" s="1" t="s">
        <v>32</v>
      </c>
      <c r="D459" s="2">
        <v>5067</v>
      </c>
      <c r="E459" s="2">
        <v>30593</v>
      </c>
      <c r="F459" s="4">
        <v>41698</v>
      </c>
    </row>
    <row r="460" spans="1:6" x14ac:dyDescent="0.3">
      <c r="A460" s="3">
        <v>2020</v>
      </c>
      <c r="B460" s="1" t="s">
        <v>63</v>
      </c>
      <c r="C460" s="1" t="s">
        <v>33</v>
      </c>
      <c r="D460" s="2">
        <v>4109</v>
      </c>
      <c r="E460" s="2">
        <v>18869</v>
      </c>
      <c r="F460" s="4">
        <v>43107</v>
      </c>
    </row>
    <row r="461" spans="1:6" x14ac:dyDescent="0.3">
      <c r="A461" s="3">
        <v>2020</v>
      </c>
      <c r="B461" s="1" t="s">
        <v>63</v>
      </c>
      <c r="C461" s="1" t="s">
        <v>34</v>
      </c>
      <c r="D461" s="2">
        <v>24307</v>
      </c>
      <c r="E461" s="2">
        <v>114130</v>
      </c>
      <c r="F461" s="4">
        <v>41197</v>
      </c>
    </row>
    <row r="462" spans="1:6" x14ac:dyDescent="0.3">
      <c r="A462" s="3">
        <v>2020</v>
      </c>
      <c r="B462" s="1" t="s">
        <v>63</v>
      </c>
      <c r="C462" s="1" t="s">
        <v>35</v>
      </c>
      <c r="D462" s="2">
        <v>4261</v>
      </c>
      <c r="E462" s="2">
        <v>18424</v>
      </c>
      <c r="F462" s="4">
        <v>38699</v>
      </c>
    </row>
    <row r="463" spans="1:6" x14ac:dyDescent="0.3">
      <c r="A463" s="3">
        <v>2020</v>
      </c>
      <c r="B463" s="1" t="s">
        <v>63</v>
      </c>
      <c r="C463" s="1" t="s">
        <v>36</v>
      </c>
      <c r="D463" s="2">
        <v>70935</v>
      </c>
      <c r="E463" s="2">
        <v>307026</v>
      </c>
      <c r="F463" s="4">
        <v>49001</v>
      </c>
    </row>
    <row r="464" spans="1:6" x14ac:dyDescent="0.3">
      <c r="A464" s="3">
        <v>2020</v>
      </c>
      <c r="B464" s="1" t="s">
        <v>63</v>
      </c>
      <c r="C464" s="1" t="s">
        <v>37</v>
      </c>
      <c r="D464" s="2">
        <v>26011</v>
      </c>
      <c r="E464" s="2">
        <v>107703</v>
      </c>
      <c r="F464" s="4">
        <v>39794</v>
      </c>
    </row>
    <row r="465" spans="1:6" x14ac:dyDescent="0.3">
      <c r="A465" s="3">
        <v>2020</v>
      </c>
      <c r="B465" s="1" t="s">
        <v>63</v>
      </c>
      <c r="C465" s="1" t="s">
        <v>38</v>
      </c>
      <c r="D465" s="2">
        <v>2141</v>
      </c>
      <c r="E465" s="2">
        <v>10645</v>
      </c>
      <c r="F465" s="4">
        <v>40484</v>
      </c>
    </row>
    <row r="466" spans="1:6" x14ac:dyDescent="0.3">
      <c r="A466" s="3">
        <v>2020</v>
      </c>
      <c r="B466" s="1" t="s">
        <v>63</v>
      </c>
      <c r="C466" s="1" t="s">
        <v>39</v>
      </c>
      <c r="D466" s="2">
        <v>23929</v>
      </c>
      <c r="E466" s="2">
        <v>138448</v>
      </c>
      <c r="F466" s="4">
        <v>38332</v>
      </c>
    </row>
    <row r="467" spans="1:6" x14ac:dyDescent="0.3">
      <c r="A467" s="3">
        <v>2020</v>
      </c>
      <c r="B467" s="1" t="s">
        <v>63</v>
      </c>
      <c r="C467" s="1" t="s">
        <v>40</v>
      </c>
      <c r="D467" s="2">
        <v>6600</v>
      </c>
      <c r="E467" s="2">
        <v>34047</v>
      </c>
      <c r="F467" s="4">
        <v>37686</v>
      </c>
    </row>
    <row r="468" spans="1:6" x14ac:dyDescent="0.3">
      <c r="A468" s="3">
        <v>2020</v>
      </c>
      <c r="B468" s="1" t="s">
        <v>63</v>
      </c>
      <c r="C468" s="1" t="s">
        <v>41</v>
      </c>
      <c r="D468" s="2">
        <v>14853</v>
      </c>
      <c r="E468" s="2">
        <v>60924</v>
      </c>
      <c r="F468" s="4">
        <v>41296</v>
      </c>
    </row>
    <row r="469" spans="1:6" x14ac:dyDescent="0.3">
      <c r="A469" s="3">
        <v>2020</v>
      </c>
      <c r="B469" s="1" t="s">
        <v>63</v>
      </c>
      <c r="C469" s="1" t="s">
        <v>42</v>
      </c>
      <c r="D469" s="2">
        <v>33590</v>
      </c>
      <c r="E469" s="2">
        <v>169772</v>
      </c>
      <c r="F469" s="4">
        <v>39396</v>
      </c>
    </row>
    <row r="470" spans="1:6" x14ac:dyDescent="0.3">
      <c r="A470" s="3">
        <v>2020</v>
      </c>
      <c r="B470" s="1" t="s">
        <v>63</v>
      </c>
      <c r="C470" s="1" t="s">
        <v>43</v>
      </c>
      <c r="D470" s="2">
        <v>3576</v>
      </c>
      <c r="E470" s="2">
        <v>15156</v>
      </c>
      <c r="F470" s="4">
        <v>38763</v>
      </c>
    </row>
    <row r="471" spans="1:6" x14ac:dyDescent="0.3">
      <c r="A471" s="3">
        <v>2020</v>
      </c>
      <c r="B471" s="1" t="s">
        <v>63</v>
      </c>
      <c r="C471" s="1" t="s">
        <v>44</v>
      </c>
      <c r="D471" s="2">
        <v>10267</v>
      </c>
      <c r="E471" s="2">
        <v>49710</v>
      </c>
      <c r="F471" s="4">
        <v>38110</v>
      </c>
    </row>
    <row r="472" spans="1:6" x14ac:dyDescent="0.3">
      <c r="A472" s="3">
        <v>2020</v>
      </c>
      <c r="B472" s="1" t="s">
        <v>63</v>
      </c>
      <c r="C472" s="1" t="s">
        <v>45</v>
      </c>
      <c r="D472" s="2">
        <v>2313</v>
      </c>
      <c r="E472" s="2">
        <v>11077</v>
      </c>
      <c r="F472" s="4">
        <v>38165</v>
      </c>
    </row>
    <row r="473" spans="1:6" x14ac:dyDescent="0.3">
      <c r="A473" s="3">
        <v>2020</v>
      </c>
      <c r="B473" s="1" t="s">
        <v>63</v>
      </c>
      <c r="C473" s="1" t="s">
        <v>46</v>
      </c>
      <c r="D473" s="2">
        <v>12651</v>
      </c>
      <c r="E473" s="2">
        <v>70977</v>
      </c>
      <c r="F473" s="4">
        <v>40323</v>
      </c>
    </row>
    <row r="474" spans="1:6" x14ac:dyDescent="0.3">
      <c r="A474" s="3">
        <v>2020</v>
      </c>
      <c r="B474" s="1" t="s">
        <v>63</v>
      </c>
      <c r="C474" s="1" t="s">
        <v>47</v>
      </c>
      <c r="D474" s="2">
        <v>57936</v>
      </c>
      <c r="E474" s="2">
        <v>310244</v>
      </c>
      <c r="F474" s="4">
        <v>44055</v>
      </c>
    </row>
    <row r="475" spans="1:6" x14ac:dyDescent="0.3">
      <c r="A475" s="3">
        <v>2020</v>
      </c>
      <c r="B475" s="1" t="s">
        <v>63</v>
      </c>
      <c r="C475" s="1" t="s">
        <v>48</v>
      </c>
      <c r="D475" s="2">
        <v>6849</v>
      </c>
      <c r="E475" s="2">
        <v>35002</v>
      </c>
      <c r="F475" s="4">
        <v>39528</v>
      </c>
    </row>
    <row r="476" spans="1:6" x14ac:dyDescent="0.3">
      <c r="A476" s="3">
        <v>2020</v>
      </c>
      <c r="B476" s="1" t="s">
        <v>63</v>
      </c>
      <c r="C476" s="1" t="s">
        <v>49</v>
      </c>
      <c r="D476" s="2">
        <v>1995</v>
      </c>
      <c r="E476" s="2">
        <v>7681</v>
      </c>
      <c r="F476" s="4">
        <v>41304</v>
      </c>
    </row>
    <row r="477" spans="1:6" x14ac:dyDescent="0.3">
      <c r="A477" s="3">
        <v>2020</v>
      </c>
      <c r="B477" s="1" t="s">
        <v>63</v>
      </c>
      <c r="C477" s="1" t="s">
        <v>50</v>
      </c>
      <c r="D477" s="2">
        <v>29516</v>
      </c>
      <c r="E477" s="2">
        <v>121622</v>
      </c>
      <c r="F477" s="4">
        <v>50744</v>
      </c>
    </row>
    <row r="478" spans="1:6" x14ac:dyDescent="0.3">
      <c r="A478" s="3">
        <v>2020</v>
      </c>
      <c r="B478" s="1" t="s">
        <v>63</v>
      </c>
      <c r="C478" s="1" t="s">
        <v>51</v>
      </c>
      <c r="D478" s="2">
        <v>20259</v>
      </c>
      <c r="E478" s="2">
        <v>89105</v>
      </c>
      <c r="F478" s="4">
        <v>46691</v>
      </c>
    </row>
    <row r="479" spans="1:6" x14ac:dyDescent="0.3">
      <c r="A479" s="3">
        <v>2020</v>
      </c>
      <c r="B479" s="1" t="s">
        <v>63</v>
      </c>
      <c r="C479" s="1" t="s">
        <v>52</v>
      </c>
      <c r="D479" s="2">
        <v>3442</v>
      </c>
      <c r="E479" s="2">
        <v>15621</v>
      </c>
      <c r="F479" s="4">
        <v>35759</v>
      </c>
    </row>
    <row r="480" spans="1:6" x14ac:dyDescent="0.3">
      <c r="A480" s="3">
        <v>2020</v>
      </c>
      <c r="B480" s="1" t="s">
        <v>63</v>
      </c>
      <c r="C480" s="1" t="s">
        <v>53</v>
      </c>
      <c r="D480" s="2">
        <v>13143</v>
      </c>
      <c r="E480" s="2">
        <v>74028</v>
      </c>
      <c r="F480" s="4">
        <v>36058</v>
      </c>
    </row>
    <row r="481" spans="1:6" x14ac:dyDescent="0.3">
      <c r="A481" s="3">
        <v>2020</v>
      </c>
      <c r="B481" s="1" t="s">
        <v>63</v>
      </c>
      <c r="C481" s="1" t="s">
        <v>54</v>
      </c>
      <c r="D481" s="2">
        <v>1669</v>
      </c>
      <c r="E481" s="2">
        <v>6769</v>
      </c>
      <c r="F481" s="4">
        <v>40253</v>
      </c>
    </row>
    <row r="482" spans="1:6" x14ac:dyDescent="0.3">
      <c r="A482" s="3">
        <v>2019</v>
      </c>
      <c r="B482" s="1" t="s">
        <v>6</v>
      </c>
      <c r="C482" s="1" t="s">
        <v>7</v>
      </c>
      <c r="D482" s="2">
        <v>1846</v>
      </c>
      <c r="E482" s="2">
        <v>18939</v>
      </c>
      <c r="F482" s="4">
        <v>56529</v>
      </c>
    </row>
    <row r="483" spans="1:6" x14ac:dyDescent="0.3">
      <c r="A483" s="3">
        <v>2019</v>
      </c>
      <c r="B483" s="1" t="s">
        <v>6</v>
      </c>
      <c r="C483" s="1" t="s">
        <v>8</v>
      </c>
      <c r="D483" s="2">
        <v>1358</v>
      </c>
      <c r="E483" s="2">
        <v>37970</v>
      </c>
      <c r="F483" s="4">
        <v>52262</v>
      </c>
    </row>
    <row r="484" spans="1:6" x14ac:dyDescent="0.3">
      <c r="A484" s="3">
        <v>2019</v>
      </c>
      <c r="B484" s="1" t="s">
        <v>6</v>
      </c>
      <c r="C484" s="1" t="s">
        <v>9</v>
      </c>
      <c r="D484" s="2">
        <v>2577</v>
      </c>
      <c r="E484" s="2">
        <v>16390</v>
      </c>
      <c r="F484" s="4">
        <v>48299</v>
      </c>
    </row>
    <row r="485" spans="1:6" x14ac:dyDescent="0.3">
      <c r="A485" s="3">
        <v>2019</v>
      </c>
      <c r="B485" s="1" t="s">
        <v>6</v>
      </c>
      <c r="C485" s="1" t="s">
        <v>10</v>
      </c>
      <c r="D485" s="2">
        <v>17663</v>
      </c>
      <c r="E485" s="2">
        <v>443581</v>
      </c>
      <c r="F485" s="4">
        <v>40246</v>
      </c>
    </row>
    <row r="486" spans="1:6" x14ac:dyDescent="0.3">
      <c r="A486" s="3">
        <v>2019</v>
      </c>
      <c r="B486" s="1" t="s">
        <v>6</v>
      </c>
      <c r="C486" s="1" t="s">
        <v>11</v>
      </c>
      <c r="D486" s="2">
        <v>3279</v>
      </c>
      <c r="E486" s="2">
        <v>48392</v>
      </c>
      <c r="F486" s="4">
        <v>90328</v>
      </c>
    </row>
    <row r="487" spans="1:6" x14ac:dyDescent="0.3">
      <c r="A487" s="3">
        <v>2019</v>
      </c>
      <c r="B487" s="1" t="s">
        <v>6</v>
      </c>
      <c r="C487" s="1" t="s">
        <v>12</v>
      </c>
      <c r="D487" s="1">
        <v>437</v>
      </c>
      <c r="E487" s="2">
        <v>5258</v>
      </c>
      <c r="F487" s="4">
        <v>41449</v>
      </c>
    </row>
    <row r="488" spans="1:6" x14ac:dyDescent="0.3">
      <c r="A488" s="3">
        <v>2019</v>
      </c>
      <c r="B488" s="1" t="s">
        <v>6</v>
      </c>
      <c r="C488" s="1" t="s">
        <v>13</v>
      </c>
      <c r="D488" s="1">
        <v>180</v>
      </c>
      <c r="E488" s="2">
        <v>1471</v>
      </c>
      <c r="F488" s="4">
        <v>42123</v>
      </c>
    </row>
    <row r="489" spans="1:6" x14ac:dyDescent="0.3">
      <c r="A489" s="3">
        <v>2019</v>
      </c>
      <c r="B489" s="1" t="s">
        <v>6</v>
      </c>
      <c r="C489" s="1" t="s">
        <v>14</v>
      </c>
      <c r="D489" s="2">
        <v>5304</v>
      </c>
      <c r="E489" s="2">
        <v>71329</v>
      </c>
      <c r="F489" s="4">
        <v>35645</v>
      </c>
    </row>
    <row r="490" spans="1:6" x14ac:dyDescent="0.3">
      <c r="A490" s="3">
        <v>2019</v>
      </c>
      <c r="B490" s="1" t="s">
        <v>6</v>
      </c>
      <c r="C490" s="1" t="s">
        <v>15</v>
      </c>
      <c r="D490" s="2">
        <v>2662</v>
      </c>
      <c r="E490" s="2">
        <v>29910</v>
      </c>
      <c r="F490" s="4">
        <v>43258</v>
      </c>
    </row>
    <row r="491" spans="1:6" x14ac:dyDescent="0.3">
      <c r="A491" s="3">
        <v>2019</v>
      </c>
      <c r="B491" s="1" t="s">
        <v>6</v>
      </c>
      <c r="C491" s="1" t="s">
        <v>16</v>
      </c>
      <c r="D491" s="2">
        <v>2401</v>
      </c>
      <c r="E491" s="2">
        <v>26555</v>
      </c>
      <c r="F491" s="4">
        <v>41105</v>
      </c>
    </row>
    <row r="492" spans="1:6" x14ac:dyDescent="0.3">
      <c r="A492" s="3">
        <v>2019</v>
      </c>
      <c r="B492" s="1" t="s">
        <v>6</v>
      </c>
      <c r="C492" s="1" t="s">
        <v>17</v>
      </c>
      <c r="D492" s="2">
        <v>2825</v>
      </c>
      <c r="E492" s="2">
        <v>26828</v>
      </c>
      <c r="F492" s="4">
        <v>52197</v>
      </c>
    </row>
    <row r="493" spans="1:6" x14ac:dyDescent="0.3">
      <c r="A493" s="3">
        <v>2019</v>
      </c>
      <c r="B493" s="1" t="s">
        <v>6</v>
      </c>
      <c r="C493" s="1" t="s">
        <v>18</v>
      </c>
      <c r="D493" s="2">
        <v>2255</v>
      </c>
      <c r="E493" s="2">
        <v>21475</v>
      </c>
      <c r="F493" s="4">
        <v>50243</v>
      </c>
    </row>
    <row r="494" spans="1:6" x14ac:dyDescent="0.3">
      <c r="A494" s="3">
        <v>2019</v>
      </c>
      <c r="B494" s="1" t="s">
        <v>6</v>
      </c>
      <c r="C494" s="1" t="s">
        <v>19</v>
      </c>
      <c r="D494" s="2">
        <v>2916</v>
      </c>
      <c r="E494" s="2">
        <v>23431</v>
      </c>
      <c r="F494" s="4">
        <v>44087</v>
      </c>
    </row>
    <row r="495" spans="1:6" x14ac:dyDescent="0.3">
      <c r="A495" s="3">
        <v>2019</v>
      </c>
      <c r="B495" s="1" t="s">
        <v>6</v>
      </c>
      <c r="C495" s="1" t="s">
        <v>20</v>
      </c>
      <c r="D495" s="2">
        <v>2612</v>
      </c>
      <c r="E495" s="2">
        <v>19353</v>
      </c>
      <c r="F495" s="4">
        <v>47802</v>
      </c>
    </row>
    <row r="496" spans="1:6" x14ac:dyDescent="0.3">
      <c r="A496" s="3">
        <v>2019</v>
      </c>
      <c r="B496" s="1" t="s">
        <v>6</v>
      </c>
      <c r="C496" s="1" t="s">
        <v>21</v>
      </c>
      <c r="D496" s="2">
        <v>1561</v>
      </c>
      <c r="E496" s="2">
        <v>18911</v>
      </c>
      <c r="F496" s="4">
        <v>56448</v>
      </c>
    </row>
    <row r="497" spans="1:6" x14ac:dyDescent="0.3">
      <c r="A497" s="3">
        <v>2019</v>
      </c>
      <c r="B497" s="1" t="s">
        <v>6</v>
      </c>
      <c r="C497" s="1" t="s">
        <v>22</v>
      </c>
      <c r="D497" s="2">
        <v>3133</v>
      </c>
      <c r="E497" s="2">
        <v>44052</v>
      </c>
      <c r="F497" s="4">
        <v>87820</v>
      </c>
    </row>
    <row r="498" spans="1:6" x14ac:dyDescent="0.3">
      <c r="A498" s="3">
        <v>2019</v>
      </c>
      <c r="B498" s="1" t="s">
        <v>6</v>
      </c>
      <c r="C498" s="1" t="s">
        <v>23</v>
      </c>
      <c r="D498" s="2">
        <v>1447</v>
      </c>
      <c r="E498" s="2">
        <v>7281</v>
      </c>
      <c r="F498" s="4">
        <v>41157</v>
      </c>
    </row>
    <row r="499" spans="1:6" x14ac:dyDescent="0.3">
      <c r="A499" s="3">
        <v>2019</v>
      </c>
      <c r="B499" s="1" t="s">
        <v>6</v>
      </c>
      <c r="C499" s="1" t="s">
        <v>24</v>
      </c>
      <c r="D499" s="1">
        <v>723</v>
      </c>
      <c r="E499" s="2">
        <v>7194</v>
      </c>
      <c r="F499" s="4">
        <v>44642</v>
      </c>
    </row>
    <row r="500" spans="1:6" x14ac:dyDescent="0.3">
      <c r="A500" s="3">
        <v>2019</v>
      </c>
      <c r="B500" s="1" t="s">
        <v>6</v>
      </c>
      <c r="C500" s="1" t="s">
        <v>25</v>
      </c>
      <c r="D500" s="2">
        <v>1007</v>
      </c>
      <c r="E500" s="2">
        <v>10500</v>
      </c>
      <c r="F500" s="4">
        <v>63846</v>
      </c>
    </row>
    <row r="501" spans="1:6" x14ac:dyDescent="0.3">
      <c r="A501" s="3">
        <v>2019</v>
      </c>
      <c r="B501" s="1" t="s">
        <v>6</v>
      </c>
      <c r="C501" s="1" t="s">
        <v>26</v>
      </c>
      <c r="D501" s="2">
        <v>3480</v>
      </c>
      <c r="E501" s="2">
        <v>35622</v>
      </c>
      <c r="F501" s="4">
        <v>41799</v>
      </c>
    </row>
    <row r="502" spans="1:6" x14ac:dyDescent="0.3">
      <c r="A502" s="3">
        <v>2019</v>
      </c>
      <c r="B502" s="1" t="s">
        <v>6</v>
      </c>
      <c r="C502" s="1" t="s">
        <v>27</v>
      </c>
      <c r="D502" s="2">
        <v>3094</v>
      </c>
      <c r="E502" s="2">
        <v>28134</v>
      </c>
      <c r="F502" s="4">
        <v>51107</v>
      </c>
    </row>
    <row r="503" spans="1:6" x14ac:dyDescent="0.3">
      <c r="A503" s="3">
        <v>2019</v>
      </c>
      <c r="B503" s="1" t="s">
        <v>6</v>
      </c>
      <c r="C503" s="1" t="s">
        <v>28</v>
      </c>
      <c r="D503" s="2">
        <v>2110</v>
      </c>
      <c r="E503" s="2">
        <v>15777</v>
      </c>
      <c r="F503" s="4">
        <v>49263</v>
      </c>
    </row>
    <row r="504" spans="1:6" x14ac:dyDescent="0.3">
      <c r="A504" s="3">
        <v>2019</v>
      </c>
      <c r="B504" s="1" t="s">
        <v>6</v>
      </c>
      <c r="C504" s="1" t="s">
        <v>29</v>
      </c>
      <c r="D504" s="2">
        <v>2031</v>
      </c>
      <c r="E504" s="2">
        <v>16899</v>
      </c>
      <c r="F504" s="4">
        <v>44815</v>
      </c>
    </row>
    <row r="505" spans="1:6" x14ac:dyDescent="0.3">
      <c r="A505" s="3">
        <v>2019</v>
      </c>
      <c r="B505" s="1" t="s">
        <v>6</v>
      </c>
      <c r="C505" s="1" t="s">
        <v>30</v>
      </c>
      <c r="D505" s="2">
        <v>1789</v>
      </c>
      <c r="E505" s="2">
        <v>12792</v>
      </c>
      <c r="F505" s="4">
        <v>67162</v>
      </c>
    </row>
    <row r="506" spans="1:6" x14ac:dyDescent="0.3">
      <c r="A506" s="3">
        <v>2019</v>
      </c>
      <c r="B506" s="1" t="s">
        <v>6</v>
      </c>
      <c r="C506" s="1" t="s">
        <v>31</v>
      </c>
      <c r="D506" s="2">
        <v>2414</v>
      </c>
      <c r="E506" s="2">
        <v>15761</v>
      </c>
      <c r="F506" s="4">
        <v>42685</v>
      </c>
    </row>
    <row r="507" spans="1:6" x14ac:dyDescent="0.3">
      <c r="A507" s="3">
        <v>2019</v>
      </c>
      <c r="B507" s="1" t="s">
        <v>6</v>
      </c>
      <c r="C507" s="1" t="s">
        <v>32</v>
      </c>
      <c r="D507" s="1">
        <v>618</v>
      </c>
      <c r="E507" s="2">
        <v>19841</v>
      </c>
      <c r="F507" s="4">
        <v>86362</v>
      </c>
    </row>
    <row r="508" spans="1:6" x14ac:dyDescent="0.3">
      <c r="A508" s="3">
        <v>2019</v>
      </c>
      <c r="B508" s="1" t="s">
        <v>6</v>
      </c>
      <c r="C508" s="1" t="s">
        <v>33</v>
      </c>
      <c r="D508" s="1">
        <v>350</v>
      </c>
      <c r="E508" s="2">
        <v>2627</v>
      </c>
      <c r="F508" s="4">
        <v>44073</v>
      </c>
    </row>
    <row r="509" spans="1:6" x14ac:dyDescent="0.3">
      <c r="A509" s="3">
        <v>2019</v>
      </c>
      <c r="B509" s="1" t="s">
        <v>6</v>
      </c>
      <c r="C509" s="1" t="s">
        <v>34</v>
      </c>
      <c r="D509" s="1">
        <v>998</v>
      </c>
      <c r="E509" s="2">
        <v>12407</v>
      </c>
      <c r="F509" s="4">
        <v>41732</v>
      </c>
    </row>
    <row r="510" spans="1:6" x14ac:dyDescent="0.3">
      <c r="A510" s="3">
        <v>2019</v>
      </c>
      <c r="B510" s="1" t="s">
        <v>6</v>
      </c>
      <c r="C510" s="1" t="s">
        <v>35</v>
      </c>
      <c r="D510" s="2">
        <v>2100</v>
      </c>
      <c r="E510" s="2">
        <v>36949</v>
      </c>
      <c r="F510" s="4">
        <v>68427</v>
      </c>
    </row>
    <row r="511" spans="1:6" x14ac:dyDescent="0.3">
      <c r="A511" s="3">
        <v>2019</v>
      </c>
      <c r="B511" s="1" t="s">
        <v>6</v>
      </c>
      <c r="C511" s="1" t="s">
        <v>36</v>
      </c>
      <c r="D511" s="2">
        <v>3053</v>
      </c>
      <c r="E511" s="2">
        <v>31787</v>
      </c>
      <c r="F511" s="4">
        <v>42992</v>
      </c>
    </row>
    <row r="512" spans="1:6" x14ac:dyDescent="0.3">
      <c r="A512" s="3">
        <v>2019</v>
      </c>
      <c r="B512" s="1" t="s">
        <v>6</v>
      </c>
      <c r="C512" s="1" t="s">
        <v>37</v>
      </c>
      <c r="D512" s="2">
        <v>3378</v>
      </c>
      <c r="E512" s="2">
        <v>29828</v>
      </c>
      <c r="F512" s="4">
        <v>40862</v>
      </c>
    </row>
    <row r="513" spans="1:6" x14ac:dyDescent="0.3">
      <c r="A513" s="3">
        <v>2019</v>
      </c>
      <c r="B513" s="1" t="s">
        <v>6</v>
      </c>
      <c r="C513" s="1" t="s">
        <v>38</v>
      </c>
      <c r="D513" s="2">
        <v>1784</v>
      </c>
      <c r="E513" s="2">
        <v>25973</v>
      </c>
      <c r="F513" s="4">
        <v>97355</v>
      </c>
    </row>
    <row r="514" spans="1:6" x14ac:dyDescent="0.3">
      <c r="A514" s="3">
        <v>2019</v>
      </c>
      <c r="B514" s="1" t="s">
        <v>6</v>
      </c>
      <c r="C514" s="1" t="s">
        <v>39</v>
      </c>
      <c r="D514" s="2">
        <v>2531</v>
      </c>
      <c r="E514" s="2">
        <v>28532</v>
      </c>
      <c r="F514" s="4">
        <v>51860</v>
      </c>
    </row>
    <row r="515" spans="1:6" x14ac:dyDescent="0.3">
      <c r="A515" s="3">
        <v>2019</v>
      </c>
      <c r="B515" s="1" t="s">
        <v>6</v>
      </c>
      <c r="C515" s="1" t="s">
        <v>40</v>
      </c>
      <c r="D515" s="2">
        <v>4402</v>
      </c>
      <c r="E515" s="2">
        <v>56786</v>
      </c>
      <c r="F515" s="4">
        <v>91249</v>
      </c>
    </row>
    <row r="516" spans="1:6" x14ac:dyDescent="0.3">
      <c r="A516" s="3">
        <v>2019</v>
      </c>
      <c r="B516" s="1" t="s">
        <v>6</v>
      </c>
      <c r="C516" s="1" t="s">
        <v>41</v>
      </c>
      <c r="D516" s="2">
        <v>4633</v>
      </c>
      <c r="E516" s="2">
        <v>54550</v>
      </c>
      <c r="F516" s="4">
        <v>37586</v>
      </c>
    </row>
    <row r="517" spans="1:6" x14ac:dyDescent="0.3">
      <c r="A517" s="3">
        <v>2019</v>
      </c>
      <c r="B517" s="1" t="s">
        <v>6</v>
      </c>
      <c r="C517" s="1" t="s">
        <v>42</v>
      </c>
      <c r="D517" s="2">
        <v>3616</v>
      </c>
      <c r="E517" s="2">
        <v>52904</v>
      </c>
      <c r="F517" s="4">
        <v>65014</v>
      </c>
    </row>
    <row r="518" spans="1:6" x14ac:dyDescent="0.3">
      <c r="A518" s="3">
        <v>2019</v>
      </c>
      <c r="B518" s="1" t="s">
        <v>6</v>
      </c>
      <c r="C518" s="1" t="s">
        <v>43</v>
      </c>
      <c r="D518" s="1">
        <v>198</v>
      </c>
      <c r="E518" s="2">
        <v>1121</v>
      </c>
      <c r="F518" s="4">
        <v>39917</v>
      </c>
    </row>
    <row r="519" spans="1:6" x14ac:dyDescent="0.3">
      <c r="A519" s="3">
        <v>2019</v>
      </c>
      <c r="B519" s="1" t="s">
        <v>6</v>
      </c>
      <c r="C519" s="1" t="s">
        <v>44</v>
      </c>
      <c r="D519" s="2">
        <v>1345</v>
      </c>
      <c r="E519" s="2">
        <v>12552</v>
      </c>
      <c r="F519" s="4">
        <v>43952</v>
      </c>
    </row>
    <row r="520" spans="1:6" x14ac:dyDescent="0.3">
      <c r="A520" s="3">
        <v>2019</v>
      </c>
      <c r="B520" s="1" t="s">
        <v>6</v>
      </c>
      <c r="C520" s="1" t="s">
        <v>45</v>
      </c>
      <c r="D520" s="2">
        <v>1063</v>
      </c>
      <c r="E520" s="2">
        <v>6986</v>
      </c>
      <c r="F520" s="4">
        <v>43642</v>
      </c>
    </row>
    <row r="521" spans="1:6" x14ac:dyDescent="0.3">
      <c r="A521" s="3">
        <v>2019</v>
      </c>
      <c r="B521" s="1" t="s">
        <v>6</v>
      </c>
      <c r="C521" s="1" t="s">
        <v>46</v>
      </c>
      <c r="D521" s="2">
        <v>1107</v>
      </c>
      <c r="E521" s="2">
        <v>11568</v>
      </c>
      <c r="F521" s="4">
        <v>46865</v>
      </c>
    </row>
    <row r="522" spans="1:6" x14ac:dyDescent="0.3">
      <c r="A522" s="3">
        <v>2019</v>
      </c>
      <c r="B522" s="1" t="s">
        <v>6</v>
      </c>
      <c r="C522" s="1" t="s">
        <v>47</v>
      </c>
      <c r="D522" s="2">
        <v>19971</v>
      </c>
      <c r="E522" s="2">
        <v>307800</v>
      </c>
      <c r="F522" s="4">
        <v>114918</v>
      </c>
    </row>
    <row r="523" spans="1:6" x14ac:dyDescent="0.3">
      <c r="A523" s="3">
        <v>2019</v>
      </c>
      <c r="B523" s="1" t="s">
        <v>6</v>
      </c>
      <c r="C523" s="1" t="s">
        <v>48</v>
      </c>
      <c r="D523" s="2">
        <v>1032</v>
      </c>
      <c r="E523" s="2">
        <v>15160</v>
      </c>
      <c r="F523" s="4">
        <v>63604</v>
      </c>
    </row>
    <row r="524" spans="1:6" x14ac:dyDescent="0.3">
      <c r="A524" s="3">
        <v>2019</v>
      </c>
      <c r="B524" s="1" t="s">
        <v>6</v>
      </c>
      <c r="C524" s="1" t="s">
        <v>49</v>
      </c>
      <c r="D524" s="1">
        <v>564</v>
      </c>
      <c r="E524" s="2">
        <v>4130</v>
      </c>
      <c r="F524" s="4">
        <v>39607</v>
      </c>
    </row>
    <row r="525" spans="1:6" x14ac:dyDescent="0.3">
      <c r="A525" s="3">
        <v>2019</v>
      </c>
      <c r="B525" s="1" t="s">
        <v>6</v>
      </c>
      <c r="C525" s="1" t="s">
        <v>50</v>
      </c>
      <c r="D525" s="2">
        <v>2095</v>
      </c>
      <c r="E525" s="2">
        <v>18691</v>
      </c>
      <c r="F525" s="4">
        <v>48704</v>
      </c>
    </row>
    <row r="526" spans="1:6" x14ac:dyDescent="0.3">
      <c r="A526" s="3">
        <v>2019</v>
      </c>
      <c r="B526" s="1" t="s">
        <v>6</v>
      </c>
      <c r="C526" s="1" t="s">
        <v>51</v>
      </c>
      <c r="D526" s="2">
        <v>7117</v>
      </c>
      <c r="E526" s="2">
        <v>105362</v>
      </c>
      <c r="F526" s="4">
        <v>34547</v>
      </c>
    </row>
    <row r="527" spans="1:6" x14ac:dyDescent="0.3">
      <c r="A527" s="3">
        <v>2019</v>
      </c>
      <c r="B527" s="1" t="s">
        <v>6</v>
      </c>
      <c r="C527" s="1" t="s">
        <v>52</v>
      </c>
      <c r="D527" s="2">
        <v>1166</v>
      </c>
      <c r="E527" s="2">
        <v>23333</v>
      </c>
      <c r="F527" s="4">
        <v>80470</v>
      </c>
    </row>
    <row r="528" spans="1:6" x14ac:dyDescent="0.3">
      <c r="A528" s="3">
        <v>2019</v>
      </c>
      <c r="B528" s="1" t="s">
        <v>6</v>
      </c>
      <c r="C528" s="1" t="s">
        <v>53</v>
      </c>
      <c r="D528" s="2">
        <v>2876</v>
      </c>
      <c r="E528" s="2">
        <v>31424</v>
      </c>
      <c r="F528" s="4">
        <v>40225</v>
      </c>
    </row>
    <row r="529" spans="1:6" x14ac:dyDescent="0.3">
      <c r="A529" s="3">
        <v>2019</v>
      </c>
      <c r="B529" s="1" t="s">
        <v>6</v>
      </c>
      <c r="C529" s="1" t="s">
        <v>54</v>
      </c>
      <c r="D529" s="2">
        <v>1463</v>
      </c>
      <c r="E529" s="2">
        <v>23524</v>
      </c>
      <c r="F529" s="4">
        <v>86467</v>
      </c>
    </row>
    <row r="530" spans="1:6" x14ac:dyDescent="0.3">
      <c r="A530" s="3">
        <v>2019</v>
      </c>
      <c r="B530" s="1" t="s">
        <v>55</v>
      </c>
      <c r="C530" s="1" t="s">
        <v>7</v>
      </c>
      <c r="D530" s="2">
        <v>10069</v>
      </c>
      <c r="E530" s="2">
        <v>93619</v>
      </c>
      <c r="F530" s="4">
        <v>56141</v>
      </c>
    </row>
    <row r="531" spans="1:6" x14ac:dyDescent="0.3">
      <c r="A531" s="3">
        <v>2019</v>
      </c>
      <c r="B531" s="1" t="s">
        <v>55</v>
      </c>
      <c r="C531" s="1" t="s">
        <v>8</v>
      </c>
      <c r="D531" s="2">
        <v>13677</v>
      </c>
      <c r="E531" s="2">
        <v>171309</v>
      </c>
      <c r="F531" s="4">
        <v>58621</v>
      </c>
    </row>
    <row r="532" spans="1:6" x14ac:dyDescent="0.3">
      <c r="A532" s="3">
        <v>2019</v>
      </c>
      <c r="B532" s="1" t="s">
        <v>55</v>
      </c>
      <c r="C532" s="1" t="s">
        <v>9</v>
      </c>
      <c r="D532" s="2">
        <v>7093</v>
      </c>
      <c r="E532" s="2">
        <v>52538</v>
      </c>
      <c r="F532" s="4">
        <v>49541</v>
      </c>
    </row>
    <row r="533" spans="1:6" x14ac:dyDescent="0.3">
      <c r="A533" s="3">
        <v>2019</v>
      </c>
      <c r="B533" s="1" t="s">
        <v>55</v>
      </c>
      <c r="C533" s="1" t="s">
        <v>10</v>
      </c>
      <c r="D533" s="2">
        <v>84247</v>
      </c>
      <c r="E533" s="2">
        <v>885668</v>
      </c>
      <c r="F533" s="4">
        <v>73343</v>
      </c>
    </row>
    <row r="534" spans="1:6" x14ac:dyDescent="0.3">
      <c r="A534" s="3">
        <v>2019</v>
      </c>
      <c r="B534" s="1" t="s">
        <v>55</v>
      </c>
      <c r="C534" s="1" t="s">
        <v>11</v>
      </c>
      <c r="D534" s="2">
        <v>20430</v>
      </c>
      <c r="E534" s="2">
        <v>178880</v>
      </c>
      <c r="F534" s="4">
        <v>64603</v>
      </c>
    </row>
    <row r="535" spans="1:6" x14ac:dyDescent="0.3">
      <c r="A535" s="3">
        <v>2019</v>
      </c>
      <c r="B535" s="1" t="s">
        <v>55</v>
      </c>
      <c r="C535" s="1" t="s">
        <v>12</v>
      </c>
      <c r="D535" s="2">
        <v>9496</v>
      </c>
      <c r="E535" s="2">
        <v>59731</v>
      </c>
      <c r="F535" s="4">
        <v>72413</v>
      </c>
    </row>
    <row r="536" spans="1:6" x14ac:dyDescent="0.3">
      <c r="A536" s="3">
        <v>2019</v>
      </c>
      <c r="B536" s="1" t="s">
        <v>55</v>
      </c>
      <c r="C536" s="1" t="s">
        <v>13</v>
      </c>
      <c r="D536" s="2">
        <v>3007</v>
      </c>
      <c r="E536" s="2">
        <v>22909</v>
      </c>
      <c r="F536" s="4">
        <v>62481</v>
      </c>
    </row>
    <row r="537" spans="1:6" x14ac:dyDescent="0.3">
      <c r="A537" s="3">
        <v>2019</v>
      </c>
      <c r="B537" s="1" t="s">
        <v>55</v>
      </c>
      <c r="C537" s="1" t="s">
        <v>14</v>
      </c>
      <c r="D537" s="2">
        <v>74711</v>
      </c>
      <c r="E537" s="2">
        <v>563526</v>
      </c>
      <c r="F537" s="4">
        <v>52893</v>
      </c>
    </row>
    <row r="538" spans="1:6" x14ac:dyDescent="0.3">
      <c r="A538" s="3">
        <v>2019</v>
      </c>
      <c r="B538" s="1" t="s">
        <v>55</v>
      </c>
      <c r="C538" s="1" t="s">
        <v>15</v>
      </c>
      <c r="D538" s="2">
        <v>21408</v>
      </c>
      <c r="E538" s="2">
        <v>203951</v>
      </c>
      <c r="F538" s="4">
        <v>63683</v>
      </c>
    </row>
    <row r="539" spans="1:6" x14ac:dyDescent="0.3">
      <c r="A539" s="3">
        <v>2019</v>
      </c>
      <c r="B539" s="1" t="s">
        <v>55</v>
      </c>
      <c r="C539" s="1" t="s">
        <v>16</v>
      </c>
      <c r="D539" s="2">
        <v>8175</v>
      </c>
      <c r="E539" s="2">
        <v>50684</v>
      </c>
      <c r="F539" s="4">
        <v>46258</v>
      </c>
    </row>
    <row r="540" spans="1:6" x14ac:dyDescent="0.3">
      <c r="A540" s="3">
        <v>2019</v>
      </c>
      <c r="B540" s="1" t="s">
        <v>55</v>
      </c>
      <c r="C540" s="1" t="s">
        <v>17</v>
      </c>
      <c r="D540" s="2">
        <v>32686</v>
      </c>
      <c r="E540" s="2">
        <v>227968</v>
      </c>
      <c r="F540" s="4">
        <v>73799</v>
      </c>
    </row>
    <row r="541" spans="1:6" x14ac:dyDescent="0.3">
      <c r="A541" s="3">
        <v>2019</v>
      </c>
      <c r="B541" s="1" t="s">
        <v>55</v>
      </c>
      <c r="C541" s="1" t="s">
        <v>18</v>
      </c>
      <c r="D541" s="2">
        <v>15232</v>
      </c>
      <c r="E541" s="2">
        <v>145851</v>
      </c>
      <c r="F541" s="4">
        <v>60057</v>
      </c>
    </row>
    <row r="542" spans="1:6" x14ac:dyDescent="0.3">
      <c r="A542" s="3">
        <v>2019</v>
      </c>
      <c r="B542" s="1" t="s">
        <v>55</v>
      </c>
      <c r="C542" s="1" t="s">
        <v>19</v>
      </c>
      <c r="D542" s="2">
        <v>9462</v>
      </c>
      <c r="E542" s="2">
        <v>78134</v>
      </c>
      <c r="F542" s="4">
        <v>58962</v>
      </c>
    </row>
    <row r="543" spans="1:6" x14ac:dyDescent="0.3">
      <c r="A543" s="3">
        <v>2019</v>
      </c>
      <c r="B543" s="1" t="s">
        <v>55</v>
      </c>
      <c r="C543" s="1" t="s">
        <v>20</v>
      </c>
      <c r="D543" s="2">
        <v>7399</v>
      </c>
      <c r="E543" s="2">
        <v>63735</v>
      </c>
      <c r="F543" s="4">
        <v>57030</v>
      </c>
    </row>
    <row r="544" spans="1:6" x14ac:dyDescent="0.3">
      <c r="A544" s="3">
        <v>2019</v>
      </c>
      <c r="B544" s="1" t="s">
        <v>55</v>
      </c>
      <c r="C544" s="1" t="s">
        <v>21</v>
      </c>
      <c r="D544" s="2">
        <v>9517</v>
      </c>
      <c r="E544" s="2">
        <v>80463</v>
      </c>
      <c r="F544" s="4">
        <v>55601</v>
      </c>
    </row>
    <row r="545" spans="1:6" x14ac:dyDescent="0.3">
      <c r="A545" s="3">
        <v>2019</v>
      </c>
      <c r="B545" s="1" t="s">
        <v>55</v>
      </c>
      <c r="C545" s="1" t="s">
        <v>22</v>
      </c>
      <c r="D545" s="2">
        <v>10991</v>
      </c>
      <c r="E545" s="2">
        <v>142033</v>
      </c>
      <c r="F545" s="4">
        <v>64940</v>
      </c>
    </row>
    <row r="546" spans="1:6" x14ac:dyDescent="0.3">
      <c r="A546" s="3">
        <v>2019</v>
      </c>
      <c r="B546" s="1" t="s">
        <v>55</v>
      </c>
      <c r="C546" s="1" t="s">
        <v>23</v>
      </c>
      <c r="D546" s="2">
        <v>5605</v>
      </c>
      <c r="E546" s="2">
        <v>29987</v>
      </c>
      <c r="F546" s="4">
        <v>51654</v>
      </c>
    </row>
    <row r="547" spans="1:6" x14ac:dyDescent="0.3">
      <c r="A547" s="3">
        <v>2019</v>
      </c>
      <c r="B547" s="1" t="s">
        <v>55</v>
      </c>
      <c r="C547" s="1" t="s">
        <v>24</v>
      </c>
      <c r="D547" s="2">
        <v>16694</v>
      </c>
      <c r="E547" s="2">
        <v>166132</v>
      </c>
      <c r="F547" s="4">
        <v>67799</v>
      </c>
    </row>
    <row r="548" spans="1:6" x14ac:dyDescent="0.3">
      <c r="A548" s="3">
        <v>2019</v>
      </c>
      <c r="B548" s="1" t="s">
        <v>55</v>
      </c>
      <c r="C548" s="1" t="s">
        <v>25</v>
      </c>
      <c r="D548" s="2">
        <v>21309</v>
      </c>
      <c r="E548" s="2">
        <v>163062</v>
      </c>
      <c r="F548" s="4">
        <v>81436</v>
      </c>
    </row>
    <row r="549" spans="1:6" x14ac:dyDescent="0.3">
      <c r="A549" s="3">
        <v>2019</v>
      </c>
      <c r="B549" s="1" t="s">
        <v>55</v>
      </c>
      <c r="C549" s="1" t="s">
        <v>26</v>
      </c>
      <c r="D549" s="2">
        <v>21106</v>
      </c>
      <c r="E549" s="2">
        <v>173015</v>
      </c>
      <c r="F549" s="4">
        <v>63588</v>
      </c>
    </row>
    <row r="550" spans="1:6" x14ac:dyDescent="0.3">
      <c r="A550" s="3">
        <v>2019</v>
      </c>
      <c r="B550" s="1" t="s">
        <v>55</v>
      </c>
      <c r="C550" s="1" t="s">
        <v>27</v>
      </c>
      <c r="D550" s="2">
        <v>16700</v>
      </c>
      <c r="E550" s="2">
        <v>127092</v>
      </c>
      <c r="F550" s="4">
        <v>69734</v>
      </c>
    </row>
    <row r="551" spans="1:6" x14ac:dyDescent="0.3">
      <c r="A551" s="3">
        <v>2019</v>
      </c>
      <c r="B551" s="1" t="s">
        <v>55</v>
      </c>
      <c r="C551" s="1" t="s">
        <v>28</v>
      </c>
      <c r="D551" s="2">
        <v>5771</v>
      </c>
      <c r="E551" s="2">
        <v>44543</v>
      </c>
      <c r="F551" s="4">
        <v>50925</v>
      </c>
    </row>
    <row r="552" spans="1:6" x14ac:dyDescent="0.3">
      <c r="A552" s="3">
        <v>2019</v>
      </c>
      <c r="B552" s="1" t="s">
        <v>55</v>
      </c>
      <c r="C552" s="1" t="s">
        <v>29</v>
      </c>
      <c r="D552" s="2">
        <v>15133</v>
      </c>
      <c r="E552" s="2">
        <v>126641</v>
      </c>
      <c r="F552" s="4">
        <v>61762</v>
      </c>
    </row>
    <row r="553" spans="1:6" x14ac:dyDescent="0.3">
      <c r="A553" s="3">
        <v>2019</v>
      </c>
      <c r="B553" s="1" t="s">
        <v>55</v>
      </c>
      <c r="C553" s="1" t="s">
        <v>30</v>
      </c>
      <c r="D553" s="2">
        <v>6432</v>
      </c>
      <c r="E553" s="2">
        <v>29914</v>
      </c>
      <c r="F553" s="4">
        <v>53962</v>
      </c>
    </row>
    <row r="554" spans="1:6" x14ac:dyDescent="0.3">
      <c r="A554" s="3">
        <v>2019</v>
      </c>
      <c r="B554" s="1" t="s">
        <v>55</v>
      </c>
      <c r="C554" s="1" t="s">
        <v>31</v>
      </c>
      <c r="D554" s="2">
        <v>7038</v>
      </c>
      <c r="E554" s="2">
        <v>53732</v>
      </c>
      <c r="F554" s="4">
        <v>53794</v>
      </c>
    </row>
    <row r="555" spans="1:6" x14ac:dyDescent="0.3">
      <c r="A555" s="3">
        <v>2019</v>
      </c>
      <c r="B555" s="1" t="s">
        <v>55</v>
      </c>
      <c r="C555" s="1" t="s">
        <v>32</v>
      </c>
      <c r="D555" s="2">
        <v>5852</v>
      </c>
      <c r="E555" s="2">
        <v>95939</v>
      </c>
      <c r="F555" s="4">
        <v>64365</v>
      </c>
    </row>
    <row r="556" spans="1:6" x14ac:dyDescent="0.3">
      <c r="A556" s="3">
        <v>2019</v>
      </c>
      <c r="B556" s="1" t="s">
        <v>55</v>
      </c>
      <c r="C556" s="1" t="s">
        <v>33</v>
      </c>
      <c r="D556" s="2">
        <v>4692</v>
      </c>
      <c r="E556" s="2">
        <v>27825</v>
      </c>
      <c r="F556" s="4">
        <v>64868</v>
      </c>
    </row>
    <row r="557" spans="1:6" x14ac:dyDescent="0.3">
      <c r="A557" s="3">
        <v>2019</v>
      </c>
      <c r="B557" s="1" t="s">
        <v>55</v>
      </c>
      <c r="C557" s="1" t="s">
        <v>34</v>
      </c>
      <c r="D557" s="2">
        <v>22556</v>
      </c>
      <c r="E557" s="2">
        <v>159462</v>
      </c>
      <c r="F557" s="4">
        <v>74644</v>
      </c>
    </row>
    <row r="558" spans="1:6" x14ac:dyDescent="0.3">
      <c r="A558" s="3">
        <v>2019</v>
      </c>
      <c r="B558" s="1" t="s">
        <v>55</v>
      </c>
      <c r="C558" s="1" t="s">
        <v>35</v>
      </c>
      <c r="D558" s="2">
        <v>5571</v>
      </c>
      <c r="E558" s="2">
        <v>50153</v>
      </c>
      <c r="F558" s="4">
        <v>52091</v>
      </c>
    </row>
    <row r="559" spans="1:6" x14ac:dyDescent="0.3">
      <c r="A559" s="3">
        <v>2019</v>
      </c>
      <c r="B559" s="1" t="s">
        <v>55</v>
      </c>
      <c r="C559" s="1" t="s">
        <v>36</v>
      </c>
      <c r="D559" s="2">
        <v>50432</v>
      </c>
      <c r="E559" s="2">
        <v>405650</v>
      </c>
      <c r="F559" s="4">
        <v>75570</v>
      </c>
    </row>
    <row r="560" spans="1:6" x14ac:dyDescent="0.3">
      <c r="A560" s="3">
        <v>2019</v>
      </c>
      <c r="B560" s="1" t="s">
        <v>55</v>
      </c>
      <c r="C560" s="1" t="s">
        <v>37</v>
      </c>
      <c r="D560" s="2">
        <v>27974</v>
      </c>
      <c r="E560" s="2">
        <v>231739</v>
      </c>
      <c r="F560" s="4">
        <v>56974</v>
      </c>
    </row>
    <row r="561" spans="1:6" x14ac:dyDescent="0.3">
      <c r="A561" s="3">
        <v>2019</v>
      </c>
      <c r="B561" s="1" t="s">
        <v>55</v>
      </c>
      <c r="C561" s="1" t="s">
        <v>38</v>
      </c>
      <c r="D561" s="2">
        <v>3692</v>
      </c>
      <c r="E561" s="2">
        <v>27961</v>
      </c>
      <c r="F561" s="4">
        <v>68153</v>
      </c>
    </row>
    <row r="562" spans="1:6" x14ac:dyDescent="0.3">
      <c r="A562" s="3">
        <v>2019</v>
      </c>
      <c r="B562" s="1" t="s">
        <v>55</v>
      </c>
      <c r="C562" s="1" t="s">
        <v>39</v>
      </c>
      <c r="D562" s="2">
        <v>23405</v>
      </c>
      <c r="E562" s="2">
        <v>226563</v>
      </c>
      <c r="F562" s="4">
        <v>62383</v>
      </c>
    </row>
    <row r="563" spans="1:6" x14ac:dyDescent="0.3">
      <c r="A563" s="3">
        <v>2019</v>
      </c>
      <c r="B563" s="1" t="s">
        <v>55</v>
      </c>
      <c r="C563" s="1" t="s">
        <v>40</v>
      </c>
      <c r="D563" s="2">
        <v>9801</v>
      </c>
      <c r="E563" s="2">
        <v>82834</v>
      </c>
      <c r="F563" s="4">
        <v>54435</v>
      </c>
    </row>
    <row r="564" spans="1:6" x14ac:dyDescent="0.3">
      <c r="A564" s="3">
        <v>2019</v>
      </c>
      <c r="B564" s="1" t="s">
        <v>55</v>
      </c>
      <c r="C564" s="1" t="s">
        <v>41</v>
      </c>
      <c r="D564" s="2">
        <v>14626</v>
      </c>
      <c r="E564" s="2">
        <v>108871</v>
      </c>
      <c r="F564" s="4">
        <v>63148</v>
      </c>
    </row>
    <row r="565" spans="1:6" x14ac:dyDescent="0.3">
      <c r="A565" s="3">
        <v>2019</v>
      </c>
      <c r="B565" s="1" t="s">
        <v>55</v>
      </c>
      <c r="C565" s="1" t="s">
        <v>42</v>
      </c>
      <c r="D565" s="2">
        <v>29139</v>
      </c>
      <c r="E565" s="2">
        <v>260895</v>
      </c>
      <c r="F565" s="4">
        <v>68612</v>
      </c>
    </row>
    <row r="566" spans="1:6" x14ac:dyDescent="0.3">
      <c r="A566" s="3">
        <v>2019</v>
      </c>
      <c r="B566" s="1" t="s">
        <v>55</v>
      </c>
      <c r="C566" s="1" t="s">
        <v>43</v>
      </c>
      <c r="D566" s="2">
        <v>3833</v>
      </c>
      <c r="E566" s="2">
        <v>19980</v>
      </c>
      <c r="F566" s="4">
        <v>63414</v>
      </c>
    </row>
    <row r="567" spans="1:6" x14ac:dyDescent="0.3">
      <c r="A567" s="3">
        <v>2019</v>
      </c>
      <c r="B567" s="1" t="s">
        <v>55</v>
      </c>
      <c r="C567" s="1" t="s">
        <v>44</v>
      </c>
      <c r="D567" s="2">
        <v>12956</v>
      </c>
      <c r="E567" s="2">
        <v>107028</v>
      </c>
      <c r="F567" s="4">
        <v>55230</v>
      </c>
    </row>
    <row r="568" spans="1:6" x14ac:dyDescent="0.3">
      <c r="A568" s="3">
        <v>2019</v>
      </c>
      <c r="B568" s="1" t="s">
        <v>55</v>
      </c>
      <c r="C568" s="1" t="s">
        <v>45</v>
      </c>
      <c r="D568" s="2">
        <v>3897</v>
      </c>
      <c r="E568" s="2">
        <v>23609</v>
      </c>
      <c r="F568" s="4">
        <v>50997</v>
      </c>
    </row>
    <row r="569" spans="1:6" x14ac:dyDescent="0.3">
      <c r="A569" s="3">
        <v>2019</v>
      </c>
      <c r="B569" s="1" t="s">
        <v>55</v>
      </c>
      <c r="C569" s="1" t="s">
        <v>46</v>
      </c>
      <c r="D569" s="2">
        <v>12487</v>
      </c>
      <c r="E569" s="2">
        <v>130126</v>
      </c>
      <c r="F569" s="4">
        <v>58777</v>
      </c>
    </row>
    <row r="570" spans="1:6" x14ac:dyDescent="0.3">
      <c r="A570" s="3">
        <v>2019</v>
      </c>
      <c r="B570" s="1" t="s">
        <v>55</v>
      </c>
      <c r="C570" s="1" t="s">
        <v>47</v>
      </c>
      <c r="D570" s="2">
        <v>53248</v>
      </c>
      <c r="E570" s="2">
        <v>774190</v>
      </c>
      <c r="F570" s="4">
        <v>67564</v>
      </c>
    </row>
    <row r="571" spans="1:6" x14ac:dyDescent="0.3">
      <c r="A571" s="3">
        <v>2019</v>
      </c>
      <c r="B571" s="1" t="s">
        <v>55</v>
      </c>
      <c r="C571" s="1" t="s">
        <v>48</v>
      </c>
      <c r="D571" s="2">
        <v>12212</v>
      </c>
      <c r="E571" s="2">
        <v>109486</v>
      </c>
      <c r="F571" s="4">
        <v>53428</v>
      </c>
    </row>
    <row r="572" spans="1:6" x14ac:dyDescent="0.3">
      <c r="A572" s="3">
        <v>2019</v>
      </c>
      <c r="B572" s="1" t="s">
        <v>55</v>
      </c>
      <c r="C572" s="1" t="s">
        <v>49</v>
      </c>
      <c r="D572" s="2">
        <v>2846</v>
      </c>
      <c r="E572" s="2">
        <v>15283</v>
      </c>
      <c r="F572" s="4">
        <v>52585</v>
      </c>
    </row>
    <row r="573" spans="1:6" x14ac:dyDescent="0.3">
      <c r="A573" s="3">
        <v>2019</v>
      </c>
      <c r="B573" s="1" t="s">
        <v>55</v>
      </c>
      <c r="C573" s="1" t="s">
        <v>50</v>
      </c>
      <c r="D573" s="2">
        <v>21468</v>
      </c>
      <c r="E573" s="2">
        <v>202134</v>
      </c>
      <c r="F573" s="4">
        <v>60504</v>
      </c>
    </row>
    <row r="574" spans="1:6" x14ac:dyDescent="0.3">
      <c r="A574" s="3">
        <v>2019</v>
      </c>
      <c r="B574" s="1" t="s">
        <v>55</v>
      </c>
      <c r="C574" s="1" t="s">
        <v>51</v>
      </c>
      <c r="D574" s="2">
        <v>26472</v>
      </c>
      <c r="E574" s="2">
        <v>205717</v>
      </c>
      <c r="F574" s="4">
        <v>67833</v>
      </c>
    </row>
    <row r="575" spans="1:6" x14ac:dyDescent="0.3">
      <c r="A575" s="3">
        <v>2019</v>
      </c>
      <c r="B575" s="1" t="s">
        <v>55</v>
      </c>
      <c r="C575" s="1" t="s">
        <v>52</v>
      </c>
      <c r="D575" s="2">
        <v>4338</v>
      </c>
      <c r="E575" s="2">
        <v>35459</v>
      </c>
      <c r="F575" s="4">
        <v>64460</v>
      </c>
    </row>
    <row r="576" spans="1:6" x14ac:dyDescent="0.3">
      <c r="A576" s="3">
        <v>2019</v>
      </c>
      <c r="B576" s="1" t="s">
        <v>55</v>
      </c>
      <c r="C576" s="1" t="s">
        <v>53</v>
      </c>
      <c r="D576" s="2">
        <v>14823</v>
      </c>
      <c r="E576" s="2">
        <v>124384</v>
      </c>
      <c r="F576" s="4">
        <v>63874</v>
      </c>
    </row>
    <row r="577" spans="1:6" x14ac:dyDescent="0.3">
      <c r="A577" s="3">
        <v>2019</v>
      </c>
      <c r="B577" s="1" t="s">
        <v>55</v>
      </c>
      <c r="C577" s="1" t="s">
        <v>54</v>
      </c>
      <c r="D577" s="2">
        <v>3427</v>
      </c>
      <c r="E577" s="2">
        <v>22875</v>
      </c>
      <c r="F577" s="4">
        <v>57417</v>
      </c>
    </row>
    <row r="578" spans="1:6" x14ac:dyDescent="0.3">
      <c r="A578" s="3">
        <v>2019</v>
      </c>
      <c r="B578" s="1" t="s">
        <v>56</v>
      </c>
      <c r="C578" s="1" t="s">
        <v>7</v>
      </c>
      <c r="D578" s="2">
        <v>5677</v>
      </c>
      <c r="E578" s="2">
        <v>268948</v>
      </c>
      <c r="F578" s="4">
        <v>58532</v>
      </c>
    </row>
    <row r="579" spans="1:6" x14ac:dyDescent="0.3">
      <c r="A579" s="3">
        <v>2019</v>
      </c>
      <c r="B579" s="1" t="s">
        <v>56</v>
      </c>
      <c r="C579" s="1" t="s">
        <v>8</v>
      </c>
      <c r="D579" s="2">
        <v>5157</v>
      </c>
      <c r="E579" s="2">
        <v>177610</v>
      </c>
      <c r="F579" s="4">
        <v>78966</v>
      </c>
    </row>
    <row r="580" spans="1:6" x14ac:dyDescent="0.3">
      <c r="A580" s="3">
        <v>2019</v>
      </c>
      <c r="B580" s="1" t="s">
        <v>56</v>
      </c>
      <c r="C580" s="1" t="s">
        <v>9</v>
      </c>
      <c r="D580" s="2">
        <v>2930</v>
      </c>
      <c r="E580" s="2">
        <v>162214</v>
      </c>
      <c r="F580" s="4">
        <v>49202</v>
      </c>
    </row>
    <row r="581" spans="1:6" x14ac:dyDescent="0.3">
      <c r="A581" s="3">
        <v>2019</v>
      </c>
      <c r="B581" s="1" t="s">
        <v>56</v>
      </c>
      <c r="C581" s="1" t="s">
        <v>10</v>
      </c>
      <c r="D581" s="2">
        <v>44539</v>
      </c>
      <c r="E581" s="2">
        <v>1322455</v>
      </c>
      <c r="F581" s="4">
        <v>98222</v>
      </c>
    </row>
    <row r="582" spans="1:6" x14ac:dyDescent="0.3">
      <c r="A582" s="3">
        <v>2019</v>
      </c>
      <c r="B582" s="1" t="s">
        <v>56</v>
      </c>
      <c r="C582" s="1" t="s">
        <v>11</v>
      </c>
      <c r="D582" s="2">
        <v>5849</v>
      </c>
      <c r="E582" s="2">
        <v>150109</v>
      </c>
      <c r="F582" s="4">
        <v>73935</v>
      </c>
    </row>
    <row r="583" spans="1:6" x14ac:dyDescent="0.3">
      <c r="A583" s="3">
        <v>2019</v>
      </c>
      <c r="B583" s="1" t="s">
        <v>56</v>
      </c>
      <c r="C583" s="1" t="s">
        <v>12</v>
      </c>
      <c r="D583" s="2">
        <v>4405</v>
      </c>
      <c r="E583" s="2">
        <v>161899</v>
      </c>
      <c r="F583" s="4">
        <v>85024</v>
      </c>
    </row>
    <row r="584" spans="1:6" x14ac:dyDescent="0.3">
      <c r="A584" s="3">
        <v>2019</v>
      </c>
      <c r="B584" s="1" t="s">
        <v>56</v>
      </c>
      <c r="C584" s="1" t="s">
        <v>13</v>
      </c>
      <c r="D584" s="1">
        <v>663</v>
      </c>
      <c r="E584" s="2">
        <v>27298</v>
      </c>
      <c r="F584" s="4">
        <v>66194</v>
      </c>
    </row>
    <row r="585" spans="1:6" x14ac:dyDescent="0.3">
      <c r="A585" s="3">
        <v>2019</v>
      </c>
      <c r="B585" s="1" t="s">
        <v>56</v>
      </c>
      <c r="C585" s="1" t="s">
        <v>14</v>
      </c>
      <c r="D585" s="2">
        <v>20799</v>
      </c>
      <c r="E585" s="2">
        <v>383956</v>
      </c>
      <c r="F585" s="4">
        <v>63877</v>
      </c>
    </row>
    <row r="586" spans="1:6" x14ac:dyDescent="0.3">
      <c r="A586" s="3">
        <v>2019</v>
      </c>
      <c r="B586" s="1" t="s">
        <v>56</v>
      </c>
      <c r="C586" s="1" t="s">
        <v>15</v>
      </c>
      <c r="D586" s="2">
        <v>10066</v>
      </c>
      <c r="E586" s="2">
        <v>404085</v>
      </c>
      <c r="F586" s="4">
        <v>58246</v>
      </c>
    </row>
    <row r="587" spans="1:6" x14ac:dyDescent="0.3">
      <c r="A587" s="3">
        <v>2019</v>
      </c>
      <c r="B587" s="1" t="s">
        <v>56</v>
      </c>
      <c r="C587" s="1" t="s">
        <v>16</v>
      </c>
      <c r="D587" s="2">
        <v>2680</v>
      </c>
      <c r="E587" s="2">
        <v>68404</v>
      </c>
      <c r="F587" s="4">
        <v>62480</v>
      </c>
    </row>
    <row r="588" spans="1:6" x14ac:dyDescent="0.3">
      <c r="A588" s="3">
        <v>2019</v>
      </c>
      <c r="B588" s="1" t="s">
        <v>56</v>
      </c>
      <c r="C588" s="1" t="s">
        <v>17</v>
      </c>
      <c r="D588" s="2">
        <v>18066</v>
      </c>
      <c r="E588" s="2">
        <v>585894</v>
      </c>
      <c r="F588" s="4">
        <v>72819</v>
      </c>
    </row>
    <row r="589" spans="1:6" x14ac:dyDescent="0.3">
      <c r="A589" s="3">
        <v>2019</v>
      </c>
      <c r="B589" s="1" t="s">
        <v>56</v>
      </c>
      <c r="C589" s="1" t="s">
        <v>18</v>
      </c>
      <c r="D589" s="2">
        <v>9083</v>
      </c>
      <c r="E589" s="2">
        <v>541099</v>
      </c>
      <c r="F589" s="4">
        <v>63320</v>
      </c>
    </row>
    <row r="590" spans="1:6" x14ac:dyDescent="0.3">
      <c r="A590" s="3">
        <v>2019</v>
      </c>
      <c r="B590" s="1" t="s">
        <v>56</v>
      </c>
      <c r="C590" s="1" t="s">
        <v>19</v>
      </c>
      <c r="D590" s="2">
        <v>4132</v>
      </c>
      <c r="E590" s="2">
        <v>226152</v>
      </c>
      <c r="F590" s="4">
        <v>60185</v>
      </c>
    </row>
    <row r="591" spans="1:6" x14ac:dyDescent="0.3">
      <c r="A591" s="3">
        <v>2019</v>
      </c>
      <c r="B591" s="1" t="s">
        <v>56</v>
      </c>
      <c r="C591" s="1" t="s">
        <v>20</v>
      </c>
      <c r="D591" s="2">
        <v>3105</v>
      </c>
      <c r="E591" s="2">
        <v>167196</v>
      </c>
      <c r="F591" s="4">
        <v>59652</v>
      </c>
    </row>
    <row r="592" spans="1:6" x14ac:dyDescent="0.3">
      <c r="A592" s="3">
        <v>2019</v>
      </c>
      <c r="B592" s="1" t="s">
        <v>56</v>
      </c>
      <c r="C592" s="1" t="s">
        <v>21</v>
      </c>
      <c r="D592" s="2">
        <v>4583</v>
      </c>
      <c r="E592" s="2">
        <v>252626</v>
      </c>
      <c r="F592" s="4">
        <v>61167</v>
      </c>
    </row>
    <row r="593" spans="1:6" x14ac:dyDescent="0.3">
      <c r="A593" s="3">
        <v>2019</v>
      </c>
      <c r="B593" s="1" t="s">
        <v>56</v>
      </c>
      <c r="C593" s="1" t="s">
        <v>22</v>
      </c>
      <c r="D593" s="2">
        <v>4453</v>
      </c>
      <c r="E593" s="2">
        <v>137729</v>
      </c>
      <c r="F593" s="4">
        <v>77600</v>
      </c>
    </row>
    <row r="594" spans="1:6" x14ac:dyDescent="0.3">
      <c r="A594" s="3">
        <v>2019</v>
      </c>
      <c r="B594" s="1" t="s">
        <v>56</v>
      </c>
      <c r="C594" s="1" t="s">
        <v>23</v>
      </c>
      <c r="D594" s="2">
        <v>1870</v>
      </c>
      <c r="E594" s="2">
        <v>53047</v>
      </c>
      <c r="F594" s="4">
        <v>57227</v>
      </c>
    </row>
    <row r="595" spans="1:6" x14ac:dyDescent="0.3">
      <c r="A595" s="3">
        <v>2019</v>
      </c>
      <c r="B595" s="1" t="s">
        <v>56</v>
      </c>
      <c r="C595" s="1" t="s">
        <v>24</v>
      </c>
      <c r="D595" s="2">
        <v>4145</v>
      </c>
      <c r="E595" s="2">
        <v>112273</v>
      </c>
      <c r="F595" s="4">
        <v>79016</v>
      </c>
    </row>
    <row r="596" spans="1:6" x14ac:dyDescent="0.3">
      <c r="A596" s="3">
        <v>2019</v>
      </c>
      <c r="B596" s="1" t="s">
        <v>56</v>
      </c>
      <c r="C596" s="1" t="s">
        <v>25</v>
      </c>
      <c r="D596" s="2">
        <v>6682</v>
      </c>
      <c r="E596" s="2">
        <v>244258</v>
      </c>
      <c r="F596" s="4">
        <v>89698</v>
      </c>
    </row>
    <row r="597" spans="1:6" x14ac:dyDescent="0.3">
      <c r="A597" s="3">
        <v>2019</v>
      </c>
      <c r="B597" s="1" t="s">
        <v>56</v>
      </c>
      <c r="C597" s="1" t="s">
        <v>26</v>
      </c>
      <c r="D597" s="2">
        <v>16948</v>
      </c>
      <c r="E597" s="2">
        <v>625676</v>
      </c>
      <c r="F597" s="4">
        <v>68465</v>
      </c>
    </row>
    <row r="598" spans="1:6" x14ac:dyDescent="0.3">
      <c r="A598" s="3">
        <v>2019</v>
      </c>
      <c r="B598" s="1" t="s">
        <v>56</v>
      </c>
      <c r="C598" s="1" t="s">
        <v>27</v>
      </c>
      <c r="D598" s="2">
        <v>8265</v>
      </c>
      <c r="E598" s="2">
        <v>324018</v>
      </c>
      <c r="F598" s="4">
        <v>68082</v>
      </c>
    </row>
    <row r="599" spans="1:6" x14ac:dyDescent="0.3">
      <c r="A599" s="3">
        <v>2019</v>
      </c>
      <c r="B599" s="1" t="s">
        <v>56</v>
      </c>
      <c r="C599" s="1" t="s">
        <v>28</v>
      </c>
      <c r="D599" s="2">
        <v>2396</v>
      </c>
      <c r="E599" s="2">
        <v>146775</v>
      </c>
      <c r="F599" s="4">
        <v>50065</v>
      </c>
    </row>
    <row r="600" spans="1:6" x14ac:dyDescent="0.3">
      <c r="A600" s="3">
        <v>2019</v>
      </c>
      <c r="B600" s="1" t="s">
        <v>56</v>
      </c>
      <c r="C600" s="1" t="s">
        <v>29</v>
      </c>
      <c r="D600" s="2">
        <v>6681</v>
      </c>
      <c r="E600" s="2">
        <v>277104</v>
      </c>
      <c r="F600" s="4">
        <v>59758</v>
      </c>
    </row>
    <row r="601" spans="1:6" x14ac:dyDescent="0.3">
      <c r="A601" s="3">
        <v>2019</v>
      </c>
      <c r="B601" s="1" t="s">
        <v>56</v>
      </c>
      <c r="C601" s="1" t="s">
        <v>30</v>
      </c>
      <c r="D601" s="2">
        <v>1625</v>
      </c>
      <c r="E601" s="2">
        <v>20972</v>
      </c>
      <c r="F601" s="4">
        <v>51666</v>
      </c>
    </row>
    <row r="602" spans="1:6" x14ac:dyDescent="0.3">
      <c r="A602" s="3">
        <v>2019</v>
      </c>
      <c r="B602" s="1" t="s">
        <v>56</v>
      </c>
      <c r="C602" s="1" t="s">
        <v>31</v>
      </c>
      <c r="D602" s="2">
        <v>1974</v>
      </c>
      <c r="E602" s="2">
        <v>99914</v>
      </c>
      <c r="F602" s="4">
        <v>52716</v>
      </c>
    </row>
    <row r="603" spans="1:6" x14ac:dyDescent="0.3">
      <c r="A603" s="3">
        <v>2019</v>
      </c>
      <c r="B603" s="1" t="s">
        <v>56</v>
      </c>
      <c r="C603" s="1" t="s">
        <v>32</v>
      </c>
      <c r="D603" s="2">
        <v>2069</v>
      </c>
      <c r="E603" s="2">
        <v>59279</v>
      </c>
      <c r="F603" s="4">
        <v>59498</v>
      </c>
    </row>
    <row r="604" spans="1:6" x14ac:dyDescent="0.3">
      <c r="A604" s="3">
        <v>2019</v>
      </c>
      <c r="B604" s="1" t="s">
        <v>56</v>
      </c>
      <c r="C604" s="1" t="s">
        <v>33</v>
      </c>
      <c r="D604" s="2">
        <v>2012</v>
      </c>
      <c r="E604" s="2">
        <v>71459</v>
      </c>
      <c r="F604" s="4">
        <v>73007</v>
      </c>
    </row>
    <row r="605" spans="1:6" x14ac:dyDescent="0.3">
      <c r="A605" s="3">
        <v>2019</v>
      </c>
      <c r="B605" s="1" t="s">
        <v>56</v>
      </c>
      <c r="C605" s="1" t="s">
        <v>34</v>
      </c>
      <c r="D605" s="2">
        <v>8994</v>
      </c>
      <c r="E605" s="2">
        <v>249464</v>
      </c>
      <c r="F605" s="4">
        <v>81649</v>
      </c>
    </row>
    <row r="606" spans="1:6" x14ac:dyDescent="0.3">
      <c r="A606" s="3">
        <v>2019</v>
      </c>
      <c r="B606" s="1" t="s">
        <v>56</v>
      </c>
      <c r="C606" s="1" t="s">
        <v>35</v>
      </c>
      <c r="D606" s="2">
        <v>1810</v>
      </c>
      <c r="E606" s="2">
        <v>28514</v>
      </c>
      <c r="F606" s="4">
        <v>55737</v>
      </c>
    </row>
    <row r="607" spans="1:6" x14ac:dyDescent="0.3">
      <c r="A607" s="3">
        <v>2019</v>
      </c>
      <c r="B607" s="1" t="s">
        <v>56</v>
      </c>
      <c r="C607" s="1" t="s">
        <v>36</v>
      </c>
      <c r="D607" s="2">
        <v>16457</v>
      </c>
      <c r="E607" s="2">
        <v>437040</v>
      </c>
      <c r="F607" s="4">
        <v>69154</v>
      </c>
    </row>
    <row r="608" spans="1:6" x14ac:dyDescent="0.3">
      <c r="A608" s="3">
        <v>2019</v>
      </c>
      <c r="B608" s="1" t="s">
        <v>56</v>
      </c>
      <c r="C608" s="1" t="s">
        <v>37</v>
      </c>
      <c r="D608" s="2">
        <v>10247</v>
      </c>
      <c r="E608" s="2">
        <v>477086</v>
      </c>
      <c r="F608" s="4">
        <v>61095</v>
      </c>
    </row>
    <row r="609" spans="1:6" x14ac:dyDescent="0.3">
      <c r="A609" s="3">
        <v>2019</v>
      </c>
      <c r="B609" s="1" t="s">
        <v>56</v>
      </c>
      <c r="C609" s="1" t="s">
        <v>38</v>
      </c>
      <c r="D609" s="1">
        <v>808</v>
      </c>
      <c r="E609" s="2">
        <v>26471</v>
      </c>
      <c r="F609" s="4">
        <v>55179</v>
      </c>
    </row>
    <row r="610" spans="1:6" x14ac:dyDescent="0.3">
      <c r="A610" s="3">
        <v>2019</v>
      </c>
      <c r="B610" s="1" t="s">
        <v>56</v>
      </c>
      <c r="C610" s="1" t="s">
        <v>39</v>
      </c>
      <c r="D610" s="2">
        <v>15486</v>
      </c>
      <c r="E610" s="2">
        <v>700786</v>
      </c>
      <c r="F610" s="4">
        <v>62878</v>
      </c>
    </row>
    <row r="611" spans="1:6" x14ac:dyDescent="0.3">
      <c r="A611" s="3">
        <v>2019</v>
      </c>
      <c r="B611" s="1" t="s">
        <v>56</v>
      </c>
      <c r="C611" s="1" t="s">
        <v>40</v>
      </c>
      <c r="D611" s="2">
        <v>4213</v>
      </c>
      <c r="E611" s="2">
        <v>140812</v>
      </c>
      <c r="F611" s="4">
        <v>59951</v>
      </c>
    </row>
    <row r="612" spans="1:6" x14ac:dyDescent="0.3">
      <c r="A612" s="3">
        <v>2019</v>
      </c>
      <c r="B612" s="1" t="s">
        <v>56</v>
      </c>
      <c r="C612" s="1" t="s">
        <v>41</v>
      </c>
      <c r="D612" s="2">
        <v>6396</v>
      </c>
      <c r="E612" s="2">
        <v>197626</v>
      </c>
      <c r="F612" s="4">
        <v>71436</v>
      </c>
    </row>
    <row r="613" spans="1:6" x14ac:dyDescent="0.3">
      <c r="A613" s="3">
        <v>2019</v>
      </c>
      <c r="B613" s="1" t="s">
        <v>56</v>
      </c>
      <c r="C613" s="1" t="s">
        <v>42</v>
      </c>
      <c r="D613" s="2">
        <v>14432</v>
      </c>
      <c r="E613" s="2">
        <v>574751</v>
      </c>
      <c r="F613" s="4">
        <v>64231</v>
      </c>
    </row>
    <row r="614" spans="1:6" x14ac:dyDescent="0.3">
      <c r="A614" s="3">
        <v>2019</v>
      </c>
      <c r="B614" s="1" t="s">
        <v>56</v>
      </c>
      <c r="C614" s="1" t="s">
        <v>43</v>
      </c>
      <c r="D614" s="2">
        <v>1636</v>
      </c>
      <c r="E614" s="2">
        <v>39736</v>
      </c>
      <c r="F614" s="4">
        <v>60286</v>
      </c>
    </row>
    <row r="615" spans="1:6" x14ac:dyDescent="0.3">
      <c r="A615" s="3">
        <v>2019</v>
      </c>
      <c r="B615" s="1" t="s">
        <v>56</v>
      </c>
      <c r="C615" s="1" t="s">
        <v>44</v>
      </c>
      <c r="D615" s="2">
        <v>6414</v>
      </c>
      <c r="E615" s="2">
        <v>258252</v>
      </c>
      <c r="F615" s="4">
        <v>60850</v>
      </c>
    </row>
    <row r="616" spans="1:6" x14ac:dyDescent="0.3">
      <c r="A616" s="3">
        <v>2019</v>
      </c>
      <c r="B616" s="1" t="s">
        <v>56</v>
      </c>
      <c r="C616" s="1" t="s">
        <v>45</v>
      </c>
      <c r="D616" s="2">
        <v>1067</v>
      </c>
      <c r="E616" s="2">
        <v>44972</v>
      </c>
      <c r="F616" s="4">
        <v>50219</v>
      </c>
    </row>
    <row r="617" spans="1:6" x14ac:dyDescent="0.3">
      <c r="A617" s="3">
        <v>2019</v>
      </c>
      <c r="B617" s="1" t="s">
        <v>56</v>
      </c>
      <c r="C617" s="1" t="s">
        <v>46</v>
      </c>
      <c r="D617" s="2">
        <v>7272</v>
      </c>
      <c r="E617" s="2">
        <v>354961</v>
      </c>
      <c r="F617" s="4">
        <v>60305</v>
      </c>
    </row>
    <row r="618" spans="1:6" x14ac:dyDescent="0.3">
      <c r="A618" s="3">
        <v>2019</v>
      </c>
      <c r="B618" s="1" t="s">
        <v>56</v>
      </c>
      <c r="C618" s="1" t="s">
        <v>47</v>
      </c>
      <c r="D618" s="2">
        <v>25577</v>
      </c>
      <c r="E618" s="2">
        <v>905953</v>
      </c>
      <c r="F618" s="4">
        <v>79766</v>
      </c>
    </row>
    <row r="619" spans="1:6" x14ac:dyDescent="0.3">
      <c r="A619" s="3">
        <v>2019</v>
      </c>
      <c r="B619" s="1" t="s">
        <v>56</v>
      </c>
      <c r="C619" s="1" t="s">
        <v>48</v>
      </c>
      <c r="D619" s="2">
        <v>4547</v>
      </c>
      <c r="E619" s="2">
        <v>136085</v>
      </c>
      <c r="F619" s="4">
        <v>59426</v>
      </c>
    </row>
    <row r="620" spans="1:6" x14ac:dyDescent="0.3">
      <c r="A620" s="3">
        <v>2019</v>
      </c>
      <c r="B620" s="1" t="s">
        <v>56</v>
      </c>
      <c r="C620" s="1" t="s">
        <v>49</v>
      </c>
      <c r="D620" s="2">
        <v>1108</v>
      </c>
      <c r="E620" s="2">
        <v>30091</v>
      </c>
      <c r="F620" s="4">
        <v>60807</v>
      </c>
    </row>
    <row r="621" spans="1:6" x14ac:dyDescent="0.3">
      <c r="A621" s="3">
        <v>2019</v>
      </c>
      <c r="B621" s="1" t="s">
        <v>56</v>
      </c>
      <c r="C621" s="1" t="s">
        <v>50</v>
      </c>
      <c r="D621" s="2">
        <v>6864</v>
      </c>
      <c r="E621" s="2">
        <v>242160</v>
      </c>
      <c r="F621" s="4">
        <v>61341</v>
      </c>
    </row>
    <row r="622" spans="1:6" x14ac:dyDescent="0.3">
      <c r="A622" s="3">
        <v>2019</v>
      </c>
      <c r="B622" s="1" t="s">
        <v>56</v>
      </c>
      <c r="C622" s="1" t="s">
        <v>51</v>
      </c>
      <c r="D622" s="2">
        <v>7824</v>
      </c>
      <c r="E622" s="2">
        <v>290326</v>
      </c>
      <c r="F622" s="4">
        <v>81228</v>
      </c>
    </row>
    <row r="623" spans="1:6" x14ac:dyDescent="0.3">
      <c r="A623" s="3">
        <v>2019</v>
      </c>
      <c r="B623" s="1" t="s">
        <v>56</v>
      </c>
      <c r="C623" s="1" t="s">
        <v>52</v>
      </c>
      <c r="D623" s="2">
        <v>1251</v>
      </c>
      <c r="E623" s="2">
        <v>46979</v>
      </c>
      <c r="F623" s="4">
        <v>61074</v>
      </c>
    </row>
    <row r="624" spans="1:6" x14ac:dyDescent="0.3">
      <c r="A624" s="3">
        <v>2019</v>
      </c>
      <c r="B624" s="1" t="s">
        <v>56</v>
      </c>
      <c r="C624" s="1" t="s">
        <v>53</v>
      </c>
      <c r="D624" s="2">
        <v>9333</v>
      </c>
      <c r="E624" s="2">
        <v>483196</v>
      </c>
      <c r="F624" s="4">
        <v>59083</v>
      </c>
    </row>
    <row r="625" spans="1:6" x14ac:dyDescent="0.3">
      <c r="A625" s="3">
        <v>2019</v>
      </c>
      <c r="B625" s="1" t="s">
        <v>56</v>
      </c>
      <c r="C625" s="1" t="s">
        <v>54</v>
      </c>
      <c r="D625" s="1">
        <v>615</v>
      </c>
      <c r="E625" s="2">
        <v>10043</v>
      </c>
      <c r="F625" s="4">
        <v>68738</v>
      </c>
    </row>
    <row r="626" spans="1:6" x14ac:dyDescent="0.3">
      <c r="A626" s="3">
        <v>2019</v>
      </c>
      <c r="B626" s="1" t="s">
        <v>57</v>
      </c>
      <c r="C626" s="1" t="s">
        <v>7</v>
      </c>
      <c r="D626" s="2">
        <v>32423</v>
      </c>
      <c r="E626" s="2">
        <v>380193</v>
      </c>
      <c r="F626" s="4">
        <v>43426</v>
      </c>
    </row>
    <row r="627" spans="1:6" x14ac:dyDescent="0.3">
      <c r="A627" s="3">
        <v>2019</v>
      </c>
      <c r="B627" s="1" t="s">
        <v>57</v>
      </c>
      <c r="C627" s="1" t="s">
        <v>8</v>
      </c>
      <c r="D627" s="2">
        <v>33190</v>
      </c>
      <c r="E627" s="2">
        <v>541793</v>
      </c>
      <c r="F627" s="4">
        <v>48023</v>
      </c>
    </row>
    <row r="628" spans="1:6" x14ac:dyDescent="0.3">
      <c r="A628" s="3">
        <v>2019</v>
      </c>
      <c r="B628" s="1" t="s">
        <v>57</v>
      </c>
      <c r="C628" s="1" t="s">
        <v>9</v>
      </c>
      <c r="D628" s="2">
        <v>21821</v>
      </c>
      <c r="E628" s="2">
        <v>248631</v>
      </c>
      <c r="F628" s="4">
        <v>42897</v>
      </c>
    </row>
    <row r="629" spans="1:6" x14ac:dyDescent="0.3">
      <c r="A629" s="3">
        <v>2019</v>
      </c>
      <c r="B629" s="1" t="s">
        <v>57</v>
      </c>
      <c r="C629" s="1" t="s">
        <v>10</v>
      </c>
      <c r="D629" s="2">
        <v>198955</v>
      </c>
      <c r="E629" s="2">
        <v>3042089</v>
      </c>
      <c r="F629" s="4">
        <v>54908</v>
      </c>
    </row>
    <row r="630" spans="1:6" x14ac:dyDescent="0.3">
      <c r="A630" s="3">
        <v>2019</v>
      </c>
      <c r="B630" s="1" t="s">
        <v>57</v>
      </c>
      <c r="C630" s="1" t="s">
        <v>11</v>
      </c>
      <c r="D630" s="2">
        <v>36041</v>
      </c>
      <c r="E630" s="2">
        <v>474011</v>
      </c>
      <c r="F630" s="4">
        <v>52675</v>
      </c>
    </row>
    <row r="631" spans="1:6" x14ac:dyDescent="0.3">
      <c r="A631" s="3">
        <v>2019</v>
      </c>
      <c r="B631" s="1" t="s">
        <v>57</v>
      </c>
      <c r="C631" s="1" t="s">
        <v>12</v>
      </c>
      <c r="D631" s="2">
        <v>24868</v>
      </c>
      <c r="E631" s="2">
        <v>291966</v>
      </c>
      <c r="F631" s="4">
        <v>52540</v>
      </c>
    </row>
    <row r="632" spans="1:6" x14ac:dyDescent="0.3">
      <c r="A632" s="3">
        <v>2019</v>
      </c>
      <c r="B632" s="1" t="s">
        <v>57</v>
      </c>
      <c r="C632" s="1" t="s">
        <v>13</v>
      </c>
      <c r="D632" s="2">
        <v>7005</v>
      </c>
      <c r="E632" s="2">
        <v>79487</v>
      </c>
      <c r="F632" s="4">
        <v>42440</v>
      </c>
    </row>
    <row r="633" spans="1:6" x14ac:dyDescent="0.3">
      <c r="A633" s="3">
        <v>2019</v>
      </c>
      <c r="B633" s="1" t="s">
        <v>57</v>
      </c>
      <c r="C633" s="1" t="s">
        <v>14</v>
      </c>
      <c r="D633" s="2">
        <v>140278</v>
      </c>
      <c r="E633" s="2">
        <v>1799930</v>
      </c>
      <c r="F633" s="4">
        <v>46232</v>
      </c>
    </row>
    <row r="634" spans="1:6" x14ac:dyDescent="0.3">
      <c r="A634" s="3">
        <v>2019</v>
      </c>
      <c r="B634" s="1" t="s">
        <v>57</v>
      </c>
      <c r="C634" s="1" t="s">
        <v>15</v>
      </c>
      <c r="D634" s="2">
        <v>61774</v>
      </c>
      <c r="E634" s="2">
        <v>938063</v>
      </c>
      <c r="F634" s="4">
        <v>49817</v>
      </c>
    </row>
    <row r="635" spans="1:6" x14ac:dyDescent="0.3">
      <c r="A635" s="3">
        <v>2019</v>
      </c>
      <c r="B635" s="1" t="s">
        <v>57</v>
      </c>
      <c r="C635" s="1" t="s">
        <v>16</v>
      </c>
      <c r="D635" s="2">
        <v>11892</v>
      </c>
      <c r="E635" s="2">
        <v>142186</v>
      </c>
      <c r="F635" s="4">
        <v>41533</v>
      </c>
    </row>
    <row r="636" spans="1:6" x14ac:dyDescent="0.3">
      <c r="A636" s="3">
        <v>2019</v>
      </c>
      <c r="B636" s="1" t="s">
        <v>57</v>
      </c>
      <c r="C636" s="1" t="s">
        <v>17</v>
      </c>
      <c r="D636" s="2">
        <v>78822</v>
      </c>
      <c r="E636" s="2">
        <v>1187941</v>
      </c>
      <c r="F636" s="4">
        <v>53573</v>
      </c>
    </row>
    <row r="637" spans="1:6" x14ac:dyDescent="0.3">
      <c r="A637" s="3">
        <v>2019</v>
      </c>
      <c r="B637" s="1" t="s">
        <v>57</v>
      </c>
      <c r="C637" s="1" t="s">
        <v>18</v>
      </c>
      <c r="D637" s="2">
        <v>40283</v>
      </c>
      <c r="E637" s="2">
        <v>594348</v>
      </c>
      <c r="F637" s="4">
        <v>43345</v>
      </c>
    </row>
    <row r="638" spans="1:6" x14ac:dyDescent="0.3">
      <c r="A638" s="3">
        <v>2019</v>
      </c>
      <c r="B638" s="1" t="s">
        <v>57</v>
      </c>
      <c r="C638" s="1" t="s">
        <v>19</v>
      </c>
      <c r="D638" s="2">
        <v>23557</v>
      </c>
      <c r="E638" s="2">
        <v>307822</v>
      </c>
      <c r="F638" s="4">
        <v>41407</v>
      </c>
    </row>
    <row r="639" spans="1:6" x14ac:dyDescent="0.3">
      <c r="A639" s="3">
        <v>2019</v>
      </c>
      <c r="B639" s="1" t="s">
        <v>57</v>
      </c>
      <c r="C639" s="1" t="s">
        <v>20</v>
      </c>
      <c r="D639" s="2">
        <v>19844</v>
      </c>
      <c r="E639" s="2">
        <v>262383</v>
      </c>
      <c r="F639" s="4">
        <v>43539</v>
      </c>
    </row>
    <row r="640" spans="1:6" x14ac:dyDescent="0.3">
      <c r="A640" s="3">
        <v>2019</v>
      </c>
      <c r="B640" s="1" t="s">
        <v>57</v>
      </c>
      <c r="C640" s="1" t="s">
        <v>21</v>
      </c>
      <c r="D640" s="2">
        <v>27892</v>
      </c>
      <c r="E640" s="2">
        <v>401804</v>
      </c>
      <c r="F640" s="4">
        <v>44163</v>
      </c>
    </row>
    <row r="641" spans="1:6" x14ac:dyDescent="0.3">
      <c r="A641" s="3">
        <v>2019</v>
      </c>
      <c r="B641" s="1" t="s">
        <v>57</v>
      </c>
      <c r="C641" s="1" t="s">
        <v>22</v>
      </c>
      <c r="D641" s="2">
        <v>30876</v>
      </c>
      <c r="E641" s="2">
        <v>376026</v>
      </c>
      <c r="F641" s="4">
        <v>43579</v>
      </c>
    </row>
    <row r="642" spans="1:6" x14ac:dyDescent="0.3">
      <c r="A642" s="3">
        <v>2019</v>
      </c>
      <c r="B642" s="1" t="s">
        <v>57</v>
      </c>
      <c r="C642" s="1" t="s">
        <v>23</v>
      </c>
      <c r="D642" s="2">
        <v>10676</v>
      </c>
      <c r="E642" s="2">
        <v>117746</v>
      </c>
      <c r="F642" s="4">
        <v>39115</v>
      </c>
    </row>
    <row r="643" spans="1:6" x14ac:dyDescent="0.3">
      <c r="A643" s="3">
        <v>2019</v>
      </c>
      <c r="B643" s="1" t="s">
        <v>57</v>
      </c>
      <c r="C643" s="1" t="s">
        <v>24</v>
      </c>
      <c r="D643" s="2">
        <v>32640</v>
      </c>
      <c r="E643" s="2">
        <v>463647</v>
      </c>
      <c r="F643" s="4">
        <v>47503</v>
      </c>
    </row>
    <row r="644" spans="1:6" x14ac:dyDescent="0.3">
      <c r="A644" s="3">
        <v>2019</v>
      </c>
      <c r="B644" s="1" t="s">
        <v>57</v>
      </c>
      <c r="C644" s="1" t="s">
        <v>25</v>
      </c>
      <c r="D644" s="2">
        <v>41620</v>
      </c>
      <c r="E644" s="2">
        <v>577282</v>
      </c>
      <c r="F644" s="4">
        <v>55423</v>
      </c>
    </row>
    <row r="645" spans="1:6" x14ac:dyDescent="0.3">
      <c r="A645" s="3">
        <v>2019</v>
      </c>
      <c r="B645" s="1" t="s">
        <v>57</v>
      </c>
      <c r="C645" s="1" t="s">
        <v>26</v>
      </c>
      <c r="D645" s="2">
        <v>55150</v>
      </c>
      <c r="E645" s="2">
        <v>791177</v>
      </c>
      <c r="F645" s="4">
        <v>48357</v>
      </c>
    </row>
    <row r="646" spans="1:6" x14ac:dyDescent="0.3">
      <c r="A646" s="3">
        <v>2019</v>
      </c>
      <c r="B646" s="1" t="s">
        <v>57</v>
      </c>
      <c r="C646" s="1" t="s">
        <v>27</v>
      </c>
      <c r="D646" s="2">
        <v>37323</v>
      </c>
      <c r="E646" s="2">
        <v>525857</v>
      </c>
      <c r="F646" s="4">
        <v>50523</v>
      </c>
    </row>
    <row r="647" spans="1:6" x14ac:dyDescent="0.3">
      <c r="A647" s="3">
        <v>2019</v>
      </c>
      <c r="B647" s="1" t="s">
        <v>57</v>
      </c>
      <c r="C647" s="1" t="s">
        <v>28</v>
      </c>
      <c r="D647" s="2">
        <v>19568</v>
      </c>
      <c r="E647" s="2">
        <v>229039</v>
      </c>
      <c r="F647" s="4">
        <v>37621</v>
      </c>
    </row>
    <row r="648" spans="1:6" x14ac:dyDescent="0.3">
      <c r="A648" s="3">
        <v>2019</v>
      </c>
      <c r="B648" s="1" t="s">
        <v>57</v>
      </c>
      <c r="C648" s="1" t="s">
        <v>29</v>
      </c>
      <c r="D648" s="2">
        <v>39400</v>
      </c>
      <c r="E648" s="2">
        <v>536753</v>
      </c>
      <c r="F648" s="4">
        <v>43646</v>
      </c>
    </row>
    <row r="649" spans="1:6" x14ac:dyDescent="0.3">
      <c r="A649" s="3">
        <v>2019</v>
      </c>
      <c r="B649" s="1" t="s">
        <v>57</v>
      </c>
      <c r="C649" s="1" t="s">
        <v>30</v>
      </c>
      <c r="D649" s="2">
        <v>9112</v>
      </c>
      <c r="E649" s="2">
        <v>90946</v>
      </c>
      <c r="F649" s="4">
        <v>40937</v>
      </c>
    </row>
    <row r="650" spans="1:6" x14ac:dyDescent="0.3">
      <c r="A650" s="3">
        <v>2019</v>
      </c>
      <c r="B650" s="1" t="s">
        <v>57</v>
      </c>
      <c r="C650" s="1" t="s">
        <v>31</v>
      </c>
      <c r="D650" s="2">
        <v>14969</v>
      </c>
      <c r="E650" s="2">
        <v>188094</v>
      </c>
      <c r="F650" s="4">
        <v>41557</v>
      </c>
    </row>
    <row r="651" spans="1:6" x14ac:dyDescent="0.3">
      <c r="A651" s="3">
        <v>2019</v>
      </c>
      <c r="B651" s="1" t="s">
        <v>57</v>
      </c>
      <c r="C651" s="1" t="s">
        <v>32</v>
      </c>
      <c r="D651" s="2">
        <v>15866</v>
      </c>
      <c r="E651" s="2">
        <v>261018</v>
      </c>
      <c r="F651" s="4">
        <v>45452</v>
      </c>
    </row>
    <row r="652" spans="1:6" x14ac:dyDescent="0.3">
      <c r="A652" s="3">
        <v>2019</v>
      </c>
      <c r="B652" s="1" t="s">
        <v>57</v>
      </c>
      <c r="C652" s="1" t="s">
        <v>33</v>
      </c>
      <c r="D652" s="2">
        <v>12448</v>
      </c>
      <c r="E652" s="2">
        <v>139278</v>
      </c>
      <c r="F652" s="4">
        <v>49409</v>
      </c>
    </row>
    <row r="653" spans="1:6" x14ac:dyDescent="0.3">
      <c r="A653" s="3">
        <v>2019</v>
      </c>
      <c r="B653" s="1" t="s">
        <v>57</v>
      </c>
      <c r="C653" s="1" t="s">
        <v>34</v>
      </c>
      <c r="D653" s="2">
        <v>54227</v>
      </c>
      <c r="E653" s="2">
        <v>876452</v>
      </c>
      <c r="F653" s="4">
        <v>55204</v>
      </c>
    </row>
    <row r="654" spans="1:6" x14ac:dyDescent="0.3">
      <c r="A654" s="3">
        <v>2019</v>
      </c>
      <c r="B654" s="1" t="s">
        <v>57</v>
      </c>
      <c r="C654" s="1" t="s">
        <v>35</v>
      </c>
      <c r="D654" s="2">
        <v>10974</v>
      </c>
      <c r="E654" s="2">
        <v>135131</v>
      </c>
      <c r="F654" s="4">
        <v>39275</v>
      </c>
    </row>
    <row r="655" spans="1:6" x14ac:dyDescent="0.3">
      <c r="A655" s="3">
        <v>2019</v>
      </c>
      <c r="B655" s="1" t="s">
        <v>57</v>
      </c>
      <c r="C655" s="1" t="s">
        <v>36</v>
      </c>
      <c r="D655" s="2">
        <v>120950</v>
      </c>
      <c r="E655" s="2">
        <v>1543991</v>
      </c>
      <c r="F655" s="4">
        <v>53710</v>
      </c>
    </row>
    <row r="656" spans="1:6" x14ac:dyDescent="0.3">
      <c r="A656" s="3">
        <v>2019</v>
      </c>
      <c r="B656" s="1" t="s">
        <v>57</v>
      </c>
      <c r="C656" s="1" t="s">
        <v>37</v>
      </c>
      <c r="D656" s="2">
        <v>62397</v>
      </c>
      <c r="E656" s="2">
        <v>846177</v>
      </c>
      <c r="F656" s="4">
        <v>44579</v>
      </c>
    </row>
    <row r="657" spans="1:6" x14ac:dyDescent="0.3">
      <c r="A657" s="3">
        <v>2019</v>
      </c>
      <c r="B657" s="1" t="s">
        <v>57</v>
      </c>
      <c r="C657" s="1" t="s">
        <v>38</v>
      </c>
      <c r="D657" s="2">
        <v>7738</v>
      </c>
      <c r="E657" s="2">
        <v>91333</v>
      </c>
      <c r="F657" s="4">
        <v>51925</v>
      </c>
    </row>
    <row r="658" spans="1:6" x14ac:dyDescent="0.3">
      <c r="A658" s="3">
        <v>2019</v>
      </c>
      <c r="B658" s="1" t="s">
        <v>57</v>
      </c>
      <c r="C658" s="1" t="s">
        <v>39</v>
      </c>
      <c r="D658" s="2">
        <v>68958</v>
      </c>
      <c r="E658" s="2">
        <v>1021890</v>
      </c>
      <c r="F658" s="4">
        <v>45569</v>
      </c>
    </row>
    <row r="659" spans="1:6" x14ac:dyDescent="0.3">
      <c r="A659" s="3">
        <v>2019</v>
      </c>
      <c r="B659" s="1" t="s">
        <v>57</v>
      </c>
      <c r="C659" s="1" t="s">
        <v>40</v>
      </c>
      <c r="D659" s="2">
        <v>23883</v>
      </c>
      <c r="E659" s="2">
        <v>300268</v>
      </c>
      <c r="F659" s="4">
        <v>43049</v>
      </c>
    </row>
    <row r="660" spans="1:6" x14ac:dyDescent="0.3">
      <c r="A660" s="3">
        <v>2019</v>
      </c>
      <c r="B660" s="1" t="s">
        <v>57</v>
      </c>
      <c r="C660" s="1" t="s">
        <v>41</v>
      </c>
      <c r="D660" s="2">
        <v>26460</v>
      </c>
      <c r="E660" s="2">
        <v>354168</v>
      </c>
      <c r="F660" s="4">
        <v>45879</v>
      </c>
    </row>
    <row r="661" spans="1:6" x14ac:dyDescent="0.3">
      <c r="A661" s="3">
        <v>2019</v>
      </c>
      <c r="B661" s="1" t="s">
        <v>57</v>
      </c>
      <c r="C661" s="1" t="s">
        <v>42</v>
      </c>
      <c r="D661" s="2">
        <v>74684</v>
      </c>
      <c r="E661" s="2">
        <v>1117033</v>
      </c>
      <c r="F661" s="4">
        <v>46296</v>
      </c>
    </row>
    <row r="662" spans="1:6" x14ac:dyDescent="0.3">
      <c r="A662" s="3">
        <v>2019</v>
      </c>
      <c r="B662" s="1" t="s">
        <v>57</v>
      </c>
      <c r="C662" s="1" t="s">
        <v>43</v>
      </c>
      <c r="D662" s="2">
        <v>7648</v>
      </c>
      <c r="E662" s="2">
        <v>76672</v>
      </c>
      <c r="F662" s="4">
        <v>45232</v>
      </c>
    </row>
    <row r="663" spans="1:6" x14ac:dyDescent="0.3">
      <c r="A663" s="3">
        <v>2019</v>
      </c>
      <c r="B663" s="1" t="s">
        <v>57</v>
      </c>
      <c r="C663" s="1" t="s">
        <v>44</v>
      </c>
      <c r="D663" s="2">
        <v>31073</v>
      </c>
      <c r="E663" s="2">
        <v>406455</v>
      </c>
      <c r="F663" s="4">
        <v>41048</v>
      </c>
    </row>
    <row r="664" spans="1:6" x14ac:dyDescent="0.3">
      <c r="A664" s="3">
        <v>2019</v>
      </c>
      <c r="B664" s="1" t="s">
        <v>57</v>
      </c>
      <c r="C664" s="1" t="s">
        <v>45</v>
      </c>
      <c r="D664" s="2">
        <v>8027</v>
      </c>
      <c r="E664" s="2">
        <v>85125</v>
      </c>
      <c r="F664" s="4">
        <v>40980</v>
      </c>
    </row>
    <row r="665" spans="1:6" x14ac:dyDescent="0.3">
      <c r="A665" s="3">
        <v>2019</v>
      </c>
      <c r="B665" s="1" t="s">
        <v>57</v>
      </c>
      <c r="C665" s="1" t="s">
        <v>46</v>
      </c>
      <c r="D665" s="2">
        <v>40380</v>
      </c>
      <c r="E665" s="2">
        <v>633819</v>
      </c>
      <c r="F665" s="4">
        <v>46991</v>
      </c>
    </row>
    <row r="666" spans="1:6" x14ac:dyDescent="0.3">
      <c r="A666" s="3">
        <v>2019</v>
      </c>
      <c r="B666" s="1" t="s">
        <v>57</v>
      </c>
      <c r="C666" s="1" t="s">
        <v>47</v>
      </c>
      <c r="D666" s="2">
        <v>150310</v>
      </c>
      <c r="E666" s="2">
        <v>2496193</v>
      </c>
      <c r="F666" s="4">
        <v>54323</v>
      </c>
    </row>
    <row r="667" spans="1:6" x14ac:dyDescent="0.3">
      <c r="A667" s="3">
        <v>2019</v>
      </c>
      <c r="B667" s="1" t="s">
        <v>57</v>
      </c>
      <c r="C667" s="1" t="s">
        <v>48</v>
      </c>
      <c r="D667" s="2">
        <v>20066</v>
      </c>
      <c r="E667" s="2">
        <v>289140</v>
      </c>
      <c r="F667" s="4">
        <v>45785</v>
      </c>
    </row>
    <row r="668" spans="1:6" x14ac:dyDescent="0.3">
      <c r="A668" s="3">
        <v>2019</v>
      </c>
      <c r="B668" s="1" t="s">
        <v>57</v>
      </c>
      <c r="C668" s="1" t="s">
        <v>49</v>
      </c>
      <c r="D668" s="2">
        <v>5040</v>
      </c>
      <c r="E668" s="2">
        <v>53817</v>
      </c>
      <c r="F668" s="4">
        <v>41456</v>
      </c>
    </row>
    <row r="669" spans="1:6" x14ac:dyDescent="0.3">
      <c r="A669" s="3">
        <v>2019</v>
      </c>
      <c r="B669" s="1" t="s">
        <v>57</v>
      </c>
      <c r="C669" s="1" t="s">
        <v>50</v>
      </c>
      <c r="D669" s="2">
        <v>42839</v>
      </c>
      <c r="E669" s="2">
        <v>650148</v>
      </c>
      <c r="F669" s="4">
        <v>45486</v>
      </c>
    </row>
    <row r="670" spans="1:6" x14ac:dyDescent="0.3">
      <c r="A670" s="3">
        <v>2019</v>
      </c>
      <c r="B670" s="1" t="s">
        <v>57</v>
      </c>
      <c r="C670" s="1" t="s">
        <v>51</v>
      </c>
      <c r="D670" s="2">
        <v>38692</v>
      </c>
      <c r="E670" s="2">
        <v>628543</v>
      </c>
      <c r="F670" s="4">
        <v>67312</v>
      </c>
    </row>
    <row r="671" spans="1:6" x14ac:dyDescent="0.3">
      <c r="A671" s="3">
        <v>2019</v>
      </c>
      <c r="B671" s="1" t="s">
        <v>57</v>
      </c>
      <c r="C671" s="1" t="s">
        <v>52</v>
      </c>
      <c r="D671" s="2">
        <v>10709</v>
      </c>
      <c r="E671" s="2">
        <v>125470</v>
      </c>
      <c r="F671" s="4">
        <v>40148</v>
      </c>
    </row>
    <row r="672" spans="1:6" x14ac:dyDescent="0.3">
      <c r="A672" s="3">
        <v>2019</v>
      </c>
      <c r="B672" s="1" t="s">
        <v>57</v>
      </c>
      <c r="C672" s="1" t="s">
        <v>53</v>
      </c>
      <c r="D672" s="2">
        <v>36253</v>
      </c>
      <c r="E672" s="2">
        <v>533175</v>
      </c>
      <c r="F672" s="4">
        <v>42647</v>
      </c>
    </row>
    <row r="673" spans="1:6" x14ac:dyDescent="0.3">
      <c r="A673" s="3">
        <v>2019</v>
      </c>
      <c r="B673" s="1" t="s">
        <v>57</v>
      </c>
      <c r="C673" s="1" t="s">
        <v>54</v>
      </c>
      <c r="D673" s="2">
        <v>4819</v>
      </c>
      <c r="E673" s="2">
        <v>49901</v>
      </c>
      <c r="F673" s="4">
        <v>44408</v>
      </c>
    </row>
    <row r="674" spans="1:6" x14ac:dyDescent="0.3">
      <c r="A674" s="3">
        <v>2019</v>
      </c>
      <c r="B674" s="1" t="s">
        <v>58</v>
      </c>
      <c r="C674" s="1" t="s">
        <v>7</v>
      </c>
      <c r="D674" s="2">
        <v>2309</v>
      </c>
      <c r="E674" s="2">
        <v>21296</v>
      </c>
      <c r="F674" s="4">
        <v>62845</v>
      </c>
    </row>
    <row r="675" spans="1:6" x14ac:dyDescent="0.3">
      <c r="A675" s="3">
        <v>2019</v>
      </c>
      <c r="B675" s="1" t="s">
        <v>58</v>
      </c>
      <c r="C675" s="1" t="s">
        <v>8</v>
      </c>
      <c r="D675" s="2">
        <v>3691</v>
      </c>
      <c r="E675" s="2">
        <v>49188</v>
      </c>
      <c r="F675" s="4">
        <v>77822</v>
      </c>
    </row>
    <row r="676" spans="1:6" x14ac:dyDescent="0.3">
      <c r="A676" s="3">
        <v>2019</v>
      </c>
      <c r="B676" s="1" t="s">
        <v>58</v>
      </c>
      <c r="C676" s="1" t="s">
        <v>9</v>
      </c>
      <c r="D676" s="2">
        <v>1303</v>
      </c>
      <c r="E676" s="2">
        <v>10974</v>
      </c>
      <c r="F676" s="4">
        <v>57981</v>
      </c>
    </row>
    <row r="677" spans="1:6" x14ac:dyDescent="0.3">
      <c r="A677" s="3">
        <v>2019</v>
      </c>
      <c r="B677" s="1" t="s">
        <v>58</v>
      </c>
      <c r="C677" s="1" t="s">
        <v>10</v>
      </c>
      <c r="D677" s="2">
        <v>28529</v>
      </c>
      <c r="E677" s="2">
        <v>550084</v>
      </c>
      <c r="F677" s="4">
        <v>191278</v>
      </c>
    </row>
    <row r="678" spans="1:6" x14ac:dyDescent="0.3">
      <c r="A678" s="3">
        <v>2019</v>
      </c>
      <c r="B678" s="1" t="s">
        <v>58</v>
      </c>
      <c r="C678" s="1" t="s">
        <v>11</v>
      </c>
      <c r="D678" s="2">
        <v>4330</v>
      </c>
      <c r="E678" s="2">
        <v>76292</v>
      </c>
      <c r="F678" s="4">
        <v>109380</v>
      </c>
    </row>
    <row r="679" spans="1:6" x14ac:dyDescent="0.3">
      <c r="A679" s="3">
        <v>2019</v>
      </c>
      <c r="B679" s="1" t="s">
        <v>58</v>
      </c>
      <c r="C679" s="1" t="s">
        <v>12</v>
      </c>
      <c r="D679" s="2">
        <v>2551</v>
      </c>
      <c r="E679" s="2">
        <v>31469</v>
      </c>
      <c r="F679" s="4">
        <v>120406</v>
      </c>
    </row>
    <row r="680" spans="1:6" x14ac:dyDescent="0.3">
      <c r="A680" s="3">
        <v>2019</v>
      </c>
      <c r="B680" s="1" t="s">
        <v>58</v>
      </c>
      <c r="C680" s="1" t="s">
        <v>13</v>
      </c>
      <c r="D680" s="1">
        <v>497</v>
      </c>
      <c r="E680" s="2">
        <v>3905</v>
      </c>
      <c r="F680" s="4">
        <v>70031</v>
      </c>
    </row>
    <row r="681" spans="1:6" x14ac:dyDescent="0.3">
      <c r="A681" s="3">
        <v>2019</v>
      </c>
      <c r="B681" s="1" t="s">
        <v>58</v>
      </c>
      <c r="C681" s="1" t="s">
        <v>14</v>
      </c>
      <c r="D681" s="2">
        <v>11744</v>
      </c>
      <c r="E681" s="2">
        <v>138845</v>
      </c>
      <c r="F681" s="4">
        <v>86153</v>
      </c>
    </row>
    <row r="682" spans="1:6" x14ac:dyDescent="0.3">
      <c r="A682" s="3">
        <v>2019</v>
      </c>
      <c r="B682" s="1" t="s">
        <v>58</v>
      </c>
      <c r="C682" s="1" t="s">
        <v>15</v>
      </c>
      <c r="D682" s="2">
        <v>5380</v>
      </c>
      <c r="E682" s="2">
        <v>116215</v>
      </c>
      <c r="F682" s="4">
        <v>100462</v>
      </c>
    </row>
    <row r="683" spans="1:6" x14ac:dyDescent="0.3">
      <c r="A683" s="3">
        <v>2019</v>
      </c>
      <c r="B683" s="1" t="s">
        <v>58</v>
      </c>
      <c r="C683" s="1" t="s">
        <v>16</v>
      </c>
      <c r="D683" s="2">
        <v>1231</v>
      </c>
      <c r="E683" s="2">
        <v>8802</v>
      </c>
      <c r="F683" s="4">
        <v>56211</v>
      </c>
    </row>
    <row r="684" spans="1:6" x14ac:dyDescent="0.3">
      <c r="A684" s="3">
        <v>2019</v>
      </c>
      <c r="B684" s="1" t="s">
        <v>58</v>
      </c>
      <c r="C684" s="1" t="s">
        <v>17</v>
      </c>
      <c r="D684" s="2">
        <v>6998</v>
      </c>
      <c r="E684" s="2">
        <v>94879</v>
      </c>
      <c r="F684" s="4">
        <v>96732</v>
      </c>
    </row>
    <row r="685" spans="1:6" x14ac:dyDescent="0.3">
      <c r="A685" s="3">
        <v>2019</v>
      </c>
      <c r="B685" s="1" t="s">
        <v>58</v>
      </c>
      <c r="C685" s="1" t="s">
        <v>18</v>
      </c>
      <c r="D685" s="2">
        <v>2278</v>
      </c>
      <c r="E685" s="2">
        <v>28628</v>
      </c>
      <c r="F685" s="4">
        <v>62444</v>
      </c>
    </row>
    <row r="686" spans="1:6" x14ac:dyDescent="0.3">
      <c r="A686" s="3">
        <v>2019</v>
      </c>
      <c r="B686" s="1" t="s">
        <v>58</v>
      </c>
      <c r="C686" s="1" t="s">
        <v>19</v>
      </c>
      <c r="D686" s="2">
        <v>1778</v>
      </c>
      <c r="E686" s="2">
        <v>21356</v>
      </c>
      <c r="F686" s="4">
        <v>60664</v>
      </c>
    </row>
    <row r="687" spans="1:6" x14ac:dyDescent="0.3">
      <c r="A687" s="3">
        <v>2019</v>
      </c>
      <c r="B687" s="1" t="s">
        <v>58</v>
      </c>
      <c r="C687" s="1" t="s">
        <v>20</v>
      </c>
      <c r="D687" s="2">
        <v>1386</v>
      </c>
      <c r="E687" s="2">
        <v>18137</v>
      </c>
      <c r="F687" s="4">
        <v>66434</v>
      </c>
    </row>
    <row r="688" spans="1:6" x14ac:dyDescent="0.3">
      <c r="A688" s="3">
        <v>2019</v>
      </c>
      <c r="B688" s="1" t="s">
        <v>58</v>
      </c>
      <c r="C688" s="1" t="s">
        <v>21</v>
      </c>
      <c r="D688" s="2">
        <v>1924</v>
      </c>
      <c r="E688" s="2">
        <v>21670</v>
      </c>
      <c r="F688" s="4">
        <v>58590</v>
      </c>
    </row>
    <row r="689" spans="1:6" x14ac:dyDescent="0.3">
      <c r="A689" s="3">
        <v>2019</v>
      </c>
      <c r="B689" s="1" t="s">
        <v>58</v>
      </c>
      <c r="C689" s="1" t="s">
        <v>22</v>
      </c>
      <c r="D689" s="2">
        <v>1801</v>
      </c>
      <c r="E689" s="2">
        <v>22427</v>
      </c>
      <c r="F689" s="4">
        <v>60638</v>
      </c>
    </row>
    <row r="690" spans="1:6" x14ac:dyDescent="0.3">
      <c r="A690" s="3">
        <v>2019</v>
      </c>
      <c r="B690" s="1" t="s">
        <v>58</v>
      </c>
      <c r="C690" s="1" t="s">
        <v>23</v>
      </c>
      <c r="D690" s="1">
        <v>869</v>
      </c>
      <c r="E690" s="2">
        <v>7158</v>
      </c>
      <c r="F690" s="4">
        <v>57442</v>
      </c>
    </row>
    <row r="691" spans="1:6" x14ac:dyDescent="0.3">
      <c r="A691" s="3">
        <v>2019</v>
      </c>
      <c r="B691" s="1" t="s">
        <v>58</v>
      </c>
      <c r="C691" s="1" t="s">
        <v>24</v>
      </c>
      <c r="D691" s="2">
        <v>2846</v>
      </c>
      <c r="E691" s="2">
        <v>35678</v>
      </c>
      <c r="F691" s="4">
        <v>98834</v>
      </c>
    </row>
    <row r="692" spans="1:6" x14ac:dyDescent="0.3">
      <c r="A692" s="3">
        <v>2019</v>
      </c>
      <c r="B692" s="1" t="s">
        <v>58</v>
      </c>
      <c r="C692" s="1" t="s">
        <v>25</v>
      </c>
      <c r="D692" s="2">
        <v>5717</v>
      </c>
      <c r="E692" s="2">
        <v>93033</v>
      </c>
      <c r="F692" s="4">
        <v>128022</v>
      </c>
    </row>
    <row r="693" spans="1:6" x14ac:dyDescent="0.3">
      <c r="A693" s="3">
        <v>2019</v>
      </c>
      <c r="B693" s="1" t="s">
        <v>58</v>
      </c>
      <c r="C693" s="1" t="s">
        <v>26</v>
      </c>
      <c r="D693" s="2">
        <v>7146</v>
      </c>
      <c r="E693" s="2">
        <v>55298</v>
      </c>
      <c r="F693" s="4">
        <v>77504</v>
      </c>
    </row>
    <row r="694" spans="1:6" x14ac:dyDescent="0.3">
      <c r="A694" s="3">
        <v>2019</v>
      </c>
      <c r="B694" s="1" t="s">
        <v>58</v>
      </c>
      <c r="C694" s="1" t="s">
        <v>27</v>
      </c>
      <c r="D694" s="2">
        <v>4133</v>
      </c>
      <c r="E694" s="2">
        <v>46906</v>
      </c>
      <c r="F694" s="4">
        <v>83846</v>
      </c>
    </row>
    <row r="695" spans="1:6" x14ac:dyDescent="0.3">
      <c r="A695" s="3">
        <v>2019</v>
      </c>
      <c r="B695" s="1" t="s">
        <v>58</v>
      </c>
      <c r="C695" s="1" t="s">
        <v>28</v>
      </c>
      <c r="D695" s="1">
        <v>944</v>
      </c>
      <c r="E695" s="2">
        <v>10695</v>
      </c>
      <c r="F695" s="4">
        <v>49438</v>
      </c>
    </row>
    <row r="696" spans="1:6" x14ac:dyDescent="0.3">
      <c r="A696" s="3">
        <v>2019</v>
      </c>
      <c r="B696" s="1" t="s">
        <v>58</v>
      </c>
      <c r="C696" s="1" t="s">
        <v>29</v>
      </c>
      <c r="D696" s="2">
        <v>3310</v>
      </c>
      <c r="E696" s="2">
        <v>46729</v>
      </c>
      <c r="F696" s="4">
        <v>85960</v>
      </c>
    </row>
    <row r="697" spans="1:6" x14ac:dyDescent="0.3">
      <c r="A697" s="3">
        <v>2019</v>
      </c>
      <c r="B697" s="1" t="s">
        <v>58</v>
      </c>
      <c r="C697" s="1" t="s">
        <v>30</v>
      </c>
      <c r="D697" s="1">
        <v>799</v>
      </c>
      <c r="E697" s="2">
        <v>6210</v>
      </c>
      <c r="F697" s="4">
        <v>56592</v>
      </c>
    </row>
    <row r="698" spans="1:6" x14ac:dyDescent="0.3">
      <c r="A698" s="3">
        <v>2019</v>
      </c>
      <c r="B698" s="1" t="s">
        <v>58</v>
      </c>
      <c r="C698" s="1" t="s">
        <v>31</v>
      </c>
      <c r="D698" s="2">
        <v>1015</v>
      </c>
      <c r="E698" s="2">
        <v>17258</v>
      </c>
      <c r="F698" s="4">
        <v>66732</v>
      </c>
    </row>
    <row r="699" spans="1:6" x14ac:dyDescent="0.3">
      <c r="A699" s="3">
        <v>2019</v>
      </c>
      <c r="B699" s="1" t="s">
        <v>58</v>
      </c>
      <c r="C699" s="1" t="s">
        <v>32</v>
      </c>
      <c r="D699" s="2">
        <v>1664</v>
      </c>
      <c r="E699" s="2">
        <v>15847</v>
      </c>
      <c r="F699" s="4">
        <v>73213</v>
      </c>
    </row>
    <row r="700" spans="1:6" x14ac:dyDescent="0.3">
      <c r="A700" s="3">
        <v>2019</v>
      </c>
      <c r="B700" s="1" t="s">
        <v>58</v>
      </c>
      <c r="C700" s="1" t="s">
        <v>33</v>
      </c>
      <c r="D700" s="2">
        <v>1037</v>
      </c>
      <c r="E700" s="2">
        <v>12334</v>
      </c>
      <c r="F700" s="4">
        <v>97212</v>
      </c>
    </row>
    <row r="701" spans="1:6" x14ac:dyDescent="0.3">
      <c r="A701" s="3">
        <v>2019</v>
      </c>
      <c r="B701" s="1" t="s">
        <v>58</v>
      </c>
      <c r="C701" s="1" t="s">
        <v>34</v>
      </c>
      <c r="D701" s="2">
        <v>3724</v>
      </c>
      <c r="E701" s="2">
        <v>67578</v>
      </c>
      <c r="F701" s="4">
        <v>117433</v>
      </c>
    </row>
    <row r="702" spans="1:6" x14ac:dyDescent="0.3">
      <c r="A702" s="3">
        <v>2019</v>
      </c>
      <c r="B702" s="1" t="s">
        <v>58</v>
      </c>
      <c r="C702" s="1" t="s">
        <v>35</v>
      </c>
      <c r="D702" s="2">
        <v>1074</v>
      </c>
      <c r="E702" s="2">
        <v>11166</v>
      </c>
      <c r="F702" s="4">
        <v>57554</v>
      </c>
    </row>
    <row r="703" spans="1:6" x14ac:dyDescent="0.3">
      <c r="A703" s="3">
        <v>2019</v>
      </c>
      <c r="B703" s="1" t="s">
        <v>58</v>
      </c>
      <c r="C703" s="1" t="s">
        <v>36</v>
      </c>
      <c r="D703" s="2">
        <v>12812</v>
      </c>
      <c r="E703" s="2">
        <v>277408</v>
      </c>
      <c r="F703" s="4">
        <v>135959</v>
      </c>
    </row>
    <row r="704" spans="1:6" x14ac:dyDescent="0.3">
      <c r="A704" s="3">
        <v>2019</v>
      </c>
      <c r="B704" s="1" t="s">
        <v>58</v>
      </c>
      <c r="C704" s="1" t="s">
        <v>37</v>
      </c>
      <c r="D704" s="2">
        <v>5669</v>
      </c>
      <c r="E704" s="2">
        <v>75919</v>
      </c>
      <c r="F704" s="4">
        <v>87039</v>
      </c>
    </row>
    <row r="705" spans="1:6" x14ac:dyDescent="0.3">
      <c r="A705" s="3">
        <v>2019</v>
      </c>
      <c r="B705" s="1" t="s">
        <v>58</v>
      </c>
      <c r="C705" s="1" t="s">
        <v>38</v>
      </c>
      <c r="D705" s="1">
        <v>402</v>
      </c>
      <c r="E705" s="2">
        <v>6093</v>
      </c>
      <c r="F705" s="4">
        <v>71543</v>
      </c>
    </row>
    <row r="706" spans="1:6" x14ac:dyDescent="0.3">
      <c r="A706" s="3">
        <v>2019</v>
      </c>
      <c r="B706" s="1" t="s">
        <v>58</v>
      </c>
      <c r="C706" s="1" t="s">
        <v>39</v>
      </c>
      <c r="D706" s="2">
        <v>4915</v>
      </c>
      <c r="E706" s="2">
        <v>69330</v>
      </c>
      <c r="F706" s="4">
        <v>72613</v>
      </c>
    </row>
    <row r="707" spans="1:6" x14ac:dyDescent="0.3">
      <c r="A707" s="3">
        <v>2019</v>
      </c>
      <c r="B707" s="1" t="s">
        <v>58</v>
      </c>
      <c r="C707" s="1" t="s">
        <v>40</v>
      </c>
      <c r="D707" s="2">
        <v>1550</v>
      </c>
      <c r="E707" s="2">
        <v>19627</v>
      </c>
      <c r="F707" s="4">
        <v>60407</v>
      </c>
    </row>
    <row r="708" spans="1:6" x14ac:dyDescent="0.3">
      <c r="A708" s="3">
        <v>2019</v>
      </c>
      <c r="B708" s="1" t="s">
        <v>58</v>
      </c>
      <c r="C708" s="1" t="s">
        <v>41</v>
      </c>
      <c r="D708" s="2">
        <v>4135</v>
      </c>
      <c r="E708" s="2">
        <v>35053</v>
      </c>
      <c r="F708" s="4">
        <v>89633</v>
      </c>
    </row>
    <row r="709" spans="1:6" x14ac:dyDescent="0.3">
      <c r="A709" s="3">
        <v>2019</v>
      </c>
      <c r="B709" s="1" t="s">
        <v>58</v>
      </c>
      <c r="C709" s="1" t="s">
        <v>42</v>
      </c>
      <c r="D709" s="2">
        <v>5348</v>
      </c>
      <c r="E709" s="2">
        <v>87043</v>
      </c>
      <c r="F709" s="4">
        <v>94900</v>
      </c>
    </row>
    <row r="710" spans="1:6" x14ac:dyDescent="0.3">
      <c r="A710" s="3">
        <v>2019</v>
      </c>
      <c r="B710" s="1" t="s">
        <v>58</v>
      </c>
      <c r="C710" s="1" t="s">
        <v>43</v>
      </c>
      <c r="D710" s="1">
        <v>714</v>
      </c>
      <c r="E710" s="2">
        <v>5878</v>
      </c>
      <c r="F710" s="4">
        <v>76409</v>
      </c>
    </row>
    <row r="711" spans="1:6" x14ac:dyDescent="0.3">
      <c r="A711" s="3">
        <v>2019</v>
      </c>
      <c r="B711" s="1" t="s">
        <v>58</v>
      </c>
      <c r="C711" s="1" t="s">
        <v>44</v>
      </c>
      <c r="D711" s="2">
        <v>2883</v>
      </c>
      <c r="E711" s="2">
        <v>26869</v>
      </c>
      <c r="F711" s="4">
        <v>66032</v>
      </c>
    </row>
    <row r="712" spans="1:6" x14ac:dyDescent="0.3">
      <c r="A712" s="3">
        <v>2019</v>
      </c>
      <c r="B712" s="1" t="s">
        <v>58</v>
      </c>
      <c r="C712" s="1" t="s">
        <v>45</v>
      </c>
      <c r="D712" s="1">
        <v>589</v>
      </c>
      <c r="E712" s="2">
        <v>5500</v>
      </c>
      <c r="F712" s="4">
        <v>51535</v>
      </c>
    </row>
    <row r="713" spans="1:6" x14ac:dyDescent="0.3">
      <c r="A713" s="3">
        <v>2019</v>
      </c>
      <c r="B713" s="1" t="s">
        <v>58</v>
      </c>
      <c r="C713" s="1" t="s">
        <v>46</v>
      </c>
      <c r="D713" s="2">
        <v>3981</v>
      </c>
      <c r="E713" s="2">
        <v>45042</v>
      </c>
      <c r="F713" s="4">
        <v>75375</v>
      </c>
    </row>
    <row r="714" spans="1:6" x14ac:dyDescent="0.3">
      <c r="A714" s="3">
        <v>2019</v>
      </c>
      <c r="B714" s="1" t="s">
        <v>58</v>
      </c>
      <c r="C714" s="1" t="s">
        <v>47</v>
      </c>
      <c r="D714" s="2">
        <v>10627</v>
      </c>
      <c r="E714" s="2">
        <v>208591</v>
      </c>
      <c r="F714" s="4">
        <v>90857</v>
      </c>
    </row>
    <row r="715" spans="1:6" x14ac:dyDescent="0.3">
      <c r="A715" s="3">
        <v>2019</v>
      </c>
      <c r="B715" s="1" t="s">
        <v>58</v>
      </c>
      <c r="C715" s="1" t="s">
        <v>48</v>
      </c>
      <c r="D715" s="2">
        <v>2776</v>
      </c>
      <c r="E715" s="2">
        <v>38323</v>
      </c>
      <c r="F715" s="4">
        <v>84735</v>
      </c>
    </row>
    <row r="716" spans="1:6" x14ac:dyDescent="0.3">
      <c r="A716" s="3">
        <v>2019</v>
      </c>
      <c r="B716" s="1" t="s">
        <v>58</v>
      </c>
      <c r="C716" s="1" t="s">
        <v>49</v>
      </c>
      <c r="D716" s="1">
        <v>527</v>
      </c>
      <c r="E716" s="2">
        <v>4322</v>
      </c>
      <c r="F716" s="4">
        <v>62861</v>
      </c>
    </row>
    <row r="717" spans="1:6" x14ac:dyDescent="0.3">
      <c r="A717" s="3">
        <v>2019</v>
      </c>
      <c r="B717" s="1" t="s">
        <v>58</v>
      </c>
      <c r="C717" s="1" t="s">
        <v>50</v>
      </c>
      <c r="D717" s="2">
        <v>4600</v>
      </c>
      <c r="E717" s="2">
        <v>67714</v>
      </c>
      <c r="F717" s="4">
        <v>107966</v>
      </c>
    </row>
    <row r="718" spans="1:6" x14ac:dyDescent="0.3">
      <c r="A718" s="3">
        <v>2019</v>
      </c>
      <c r="B718" s="1" t="s">
        <v>58</v>
      </c>
      <c r="C718" s="1" t="s">
        <v>51</v>
      </c>
      <c r="D718" s="2">
        <v>5007</v>
      </c>
      <c r="E718" s="2">
        <v>143883</v>
      </c>
      <c r="F718" s="4">
        <v>207135</v>
      </c>
    </row>
    <row r="719" spans="1:6" x14ac:dyDescent="0.3">
      <c r="A719" s="3">
        <v>2019</v>
      </c>
      <c r="B719" s="1" t="s">
        <v>58</v>
      </c>
      <c r="C719" s="1" t="s">
        <v>52</v>
      </c>
      <c r="D719" s="1">
        <v>818</v>
      </c>
      <c r="E719" s="2">
        <v>8072</v>
      </c>
      <c r="F719" s="4">
        <v>53281</v>
      </c>
    </row>
    <row r="720" spans="1:6" x14ac:dyDescent="0.3">
      <c r="A720" s="3">
        <v>2019</v>
      </c>
      <c r="B720" s="1" t="s">
        <v>58</v>
      </c>
      <c r="C720" s="1" t="s">
        <v>53</v>
      </c>
      <c r="D720" s="2">
        <v>2335</v>
      </c>
      <c r="E720" s="2">
        <v>46993</v>
      </c>
      <c r="F720" s="4">
        <v>82512</v>
      </c>
    </row>
    <row r="721" spans="1:6" x14ac:dyDescent="0.3">
      <c r="A721" s="3">
        <v>2019</v>
      </c>
      <c r="B721" s="1" t="s">
        <v>58</v>
      </c>
      <c r="C721" s="1" t="s">
        <v>54</v>
      </c>
      <c r="D721" s="1">
        <v>417</v>
      </c>
      <c r="E721" s="2">
        <v>3424</v>
      </c>
      <c r="F721" s="4">
        <v>49035</v>
      </c>
    </row>
    <row r="722" spans="1:6" x14ac:dyDescent="0.3">
      <c r="A722" s="3">
        <v>2019</v>
      </c>
      <c r="B722" s="1" t="s">
        <v>59</v>
      </c>
      <c r="C722" s="1" t="s">
        <v>7</v>
      </c>
      <c r="D722" s="2">
        <v>13590</v>
      </c>
      <c r="E722" s="2">
        <v>95053</v>
      </c>
      <c r="F722" s="4">
        <v>71076</v>
      </c>
    </row>
    <row r="723" spans="1:6" x14ac:dyDescent="0.3">
      <c r="A723" s="3">
        <v>2019</v>
      </c>
      <c r="B723" s="1" t="s">
        <v>59</v>
      </c>
      <c r="C723" s="1" t="s">
        <v>8</v>
      </c>
      <c r="D723" s="2">
        <v>19357</v>
      </c>
      <c r="E723" s="2">
        <v>223263</v>
      </c>
      <c r="F723" s="4">
        <v>74627</v>
      </c>
    </row>
    <row r="724" spans="1:6" x14ac:dyDescent="0.3">
      <c r="A724" s="3">
        <v>2019</v>
      </c>
      <c r="B724" s="1" t="s">
        <v>59</v>
      </c>
      <c r="C724" s="1" t="s">
        <v>9</v>
      </c>
      <c r="D724" s="2">
        <v>8591</v>
      </c>
      <c r="E724" s="2">
        <v>51934</v>
      </c>
      <c r="F724" s="4">
        <v>60198</v>
      </c>
    </row>
    <row r="725" spans="1:6" x14ac:dyDescent="0.3">
      <c r="A725" s="3">
        <v>2019</v>
      </c>
      <c r="B725" s="1" t="s">
        <v>59</v>
      </c>
      <c r="C725" s="1" t="s">
        <v>10</v>
      </c>
      <c r="D725" s="2">
        <v>109980</v>
      </c>
      <c r="E725" s="2">
        <v>841829</v>
      </c>
      <c r="F725" s="4">
        <v>112757</v>
      </c>
    </row>
    <row r="726" spans="1:6" x14ac:dyDescent="0.3">
      <c r="A726" s="3">
        <v>2019</v>
      </c>
      <c r="B726" s="1" t="s">
        <v>59</v>
      </c>
      <c r="C726" s="1" t="s">
        <v>11</v>
      </c>
      <c r="D726" s="2">
        <v>24028</v>
      </c>
      <c r="E726" s="2">
        <v>167272</v>
      </c>
      <c r="F726" s="4">
        <v>88613</v>
      </c>
    </row>
    <row r="727" spans="1:6" x14ac:dyDescent="0.3">
      <c r="A727" s="3">
        <v>2019</v>
      </c>
      <c r="B727" s="1" t="s">
        <v>59</v>
      </c>
      <c r="C727" s="1" t="s">
        <v>12</v>
      </c>
      <c r="D727" s="2">
        <v>11028</v>
      </c>
      <c r="E727" s="2">
        <v>121869</v>
      </c>
      <c r="F727" s="4">
        <v>157629</v>
      </c>
    </row>
    <row r="728" spans="1:6" x14ac:dyDescent="0.3">
      <c r="A728" s="3">
        <v>2019</v>
      </c>
      <c r="B728" s="1" t="s">
        <v>59</v>
      </c>
      <c r="C728" s="1" t="s">
        <v>13</v>
      </c>
      <c r="D728" s="2">
        <v>2907</v>
      </c>
      <c r="E728" s="2">
        <v>48162</v>
      </c>
      <c r="F728" s="4">
        <v>97426</v>
      </c>
    </row>
    <row r="729" spans="1:6" x14ac:dyDescent="0.3">
      <c r="A729" s="3">
        <v>2019</v>
      </c>
      <c r="B729" s="1" t="s">
        <v>59</v>
      </c>
      <c r="C729" s="1" t="s">
        <v>14</v>
      </c>
      <c r="D729" s="2">
        <v>76648</v>
      </c>
      <c r="E729" s="2">
        <v>585959</v>
      </c>
      <c r="F729" s="4">
        <v>77025</v>
      </c>
    </row>
    <row r="730" spans="1:6" x14ac:dyDescent="0.3">
      <c r="A730" s="3">
        <v>2019</v>
      </c>
      <c r="B730" s="1" t="s">
        <v>59</v>
      </c>
      <c r="C730" s="1" t="s">
        <v>15</v>
      </c>
      <c r="D730" s="2">
        <v>26961</v>
      </c>
      <c r="E730" s="2">
        <v>242468</v>
      </c>
      <c r="F730" s="4">
        <v>86701</v>
      </c>
    </row>
    <row r="731" spans="1:6" x14ac:dyDescent="0.3">
      <c r="A731" s="3">
        <v>2019</v>
      </c>
      <c r="B731" s="1" t="s">
        <v>59</v>
      </c>
      <c r="C731" s="1" t="s">
        <v>16</v>
      </c>
      <c r="D731" s="2">
        <v>5859</v>
      </c>
      <c r="E731" s="2">
        <v>33273</v>
      </c>
      <c r="F731" s="4">
        <v>59504</v>
      </c>
    </row>
    <row r="732" spans="1:6" x14ac:dyDescent="0.3">
      <c r="A732" s="3">
        <v>2019</v>
      </c>
      <c r="B732" s="1" t="s">
        <v>59</v>
      </c>
      <c r="C732" s="1" t="s">
        <v>17</v>
      </c>
      <c r="D732" s="2">
        <v>32792</v>
      </c>
      <c r="E732" s="2">
        <v>381941</v>
      </c>
      <c r="F732" s="4">
        <v>113091</v>
      </c>
    </row>
    <row r="733" spans="1:6" x14ac:dyDescent="0.3">
      <c r="A733" s="3">
        <v>2019</v>
      </c>
      <c r="B733" s="1" t="s">
        <v>59</v>
      </c>
      <c r="C733" s="1" t="s">
        <v>18</v>
      </c>
      <c r="D733" s="2">
        <v>16940</v>
      </c>
      <c r="E733" s="2">
        <v>135547</v>
      </c>
      <c r="F733" s="4">
        <v>67469</v>
      </c>
    </row>
    <row r="734" spans="1:6" x14ac:dyDescent="0.3">
      <c r="A734" s="3">
        <v>2019</v>
      </c>
      <c r="B734" s="1" t="s">
        <v>59</v>
      </c>
      <c r="C734" s="1" t="s">
        <v>19</v>
      </c>
      <c r="D734" s="2">
        <v>10414</v>
      </c>
      <c r="E734" s="2">
        <v>110010</v>
      </c>
      <c r="F734" s="4">
        <v>76212</v>
      </c>
    </row>
    <row r="735" spans="1:6" x14ac:dyDescent="0.3">
      <c r="A735" s="3">
        <v>2019</v>
      </c>
      <c r="B735" s="1" t="s">
        <v>59</v>
      </c>
      <c r="C735" s="1" t="s">
        <v>20</v>
      </c>
      <c r="D735" s="2">
        <v>8744</v>
      </c>
      <c r="E735" s="2">
        <v>74336</v>
      </c>
      <c r="F735" s="4">
        <v>68950</v>
      </c>
    </row>
    <row r="736" spans="1:6" x14ac:dyDescent="0.3">
      <c r="A736" s="3">
        <v>2019</v>
      </c>
      <c r="B736" s="1" t="s">
        <v>59</v>
      </c>
      <c r="C736" s="1" t="s">
        <v>21</v>
      </c>
      <c r="D736" s="2">
        <v>11201</v>
      </c>
      <c r="E736" s="2">
        <v>93556</v>
      </c>
      <c r="F736" s="4">
        <v>69885</v>
      </c>
    </row>
    <row r="737" spans="1:6" x14ac:dyDescent="0.3">
      <c r="A737" s="3">
        <v>2019</v>
      </c>
      <c r="B737" s="1" t="s">
        <v>59</v>
      </c>
      <c r="C737" s="1" t="s">
        <v>22</v>
      </c>
      <c r="D737" s="2">
        <v>13852</v>
      </c>
      <c r="E737" s="2">
        <v>84791</v>
      </c>
      <c r="F737" s="4">
        <v>63590</v>
      </c>
    </row>
    <row r="738" spans="1:6" x14ac:dyDescent="0.3">
      <c r="A738" s="3">
        <v>2019</v>
      </c>
      <c r="B738" s="1" t="s">
        <v>59</v>
      </c>
      <c r="C738" s="1" t="s">
        <v>23</v>
      </c>
      <c r="D738" s="2">
        <v>3854</v>
      </c>
      <c r="E738" s="2">
        <v>30481</v>
      </c>
      <c r="F738" s="4">
        <v>70030</v>
      </c>
    </row>
    <row r="739" spans="1:6" x14ac:dyDescent="0.3">
      <c r="A739" s="3">
        <v>2019</v>
      </c>
      <c r="B739" s="1" t="s">
        <v>59</v>
      </c>
      <c r="C739" s="1" t="s">
        <v>24</v>
      </c>
      <c r="D739" s="2">
        <v>15512</v>
      </c>
      <c r="E739" s="2">
        <v>135216</v>
      </c>
      <c r="F739" s="4">
        <v>98024</v>
      </c>
    </row>
    <row r="740" spans="1:6" x14ac:dyDescent="0.3">
      <c r="A740" s="3">
        <v>2019</v>
      </c>
      <c r="B740" s="1" t="s">
        <v>59</v>
      </c>
      <c r="C740" s="1" t="s">
        <v>25</v>
      </c>
      <c r="D740" s="2">
        <v>17883</v>
      </c>
      <c r="E740" s="2">
        <v>218858</v>
      </c>
      <c r="F740" s="4">
        <v>147565</v>
      </c>
    </row>
    <row r="741" spans="1:6" x14ac:dyDescent="0.3">
      <c r="A741" s="3">
        <v>2019</v>
      </c>
      <c r="B741" s="1" t="s">
        <v>59</v>
      </c>
      <c r="C741" s="1" t="s">
        <v>26</v>
      </c>
      <c r="D741" s="2">
        <v>19641</v>
      </c>
      <c r="E741" s="2">
        <v>208812</v>
      </c>
      <c r="F741" s="4">
        <v>73691</v>
      </c>
    </row>
    <row r="742" spans="1:6" x14ac:dyDescent="0.3">
      <c r="A742" s="3">
        <v>2019</v>
      </c>
      <c r="B742" s="1" t="s">
        <v>59</v>
      </c>
      <c r="C742" s="1" t="s">
        <v>27</v>
      </c>
      <c r="D742" s="2">
        <v>15855</v>
      </c>
      <c r="E742" s="2">
        <v>182914</v>
      </c>
      <c r="F742" s="4">
        <v>97673</v>
      </c>
    </row>
    <row r="743" spans="1:6" x14ac:dyDescent="0.3">
      <c r="A743" s="3">
        <v>2019</v>
      </c>
      <c r="B743" s="1" t="s">
        <v>59</v>
      </c>
      <c r="C743" s="1" t="s">
        <v>28</v>
      </c>
      <c r="D743" s="2">
        <v>7944</v>
      </c>
      <c r="E743" s="2">
        <v>43109</v>
      </c>
      <c r="F743" s="4">
        <v>54672</v>
      </c>
    </row>
    <row r="744" spans="1:6" x14ac:dyDescent="0.3">
      <c r="A744" s="3">
        <v>2019</v>
      </c>
      <c r="B744" s="1" t="s">
        <v>59</v>
      </c>
      <c r="C744" s="1" t="s">
        <v>29</v>
      </c>
      <c r="D744" s="2">
        <v>17951</v>
      </c>
      <c r="E744" s="2">
        <v>166025</v>
      </c>
      <c r="F744" s="4">
        <v>75387</v>
      </c>
    </row>
    <row r="745" spans="1:6" x14ac:dyDescent="0.3">
      <c r="A745" s="3">
        <v>2019</v>
      </c>
      <c r="B745" s="1" t="s">
        <v>59</v>
      </c>
      <c r="C745" s="1" t="s">
        <v>30</v>
      </c>
      <c r="D745" s="2">
        <v>4314</v>
      </c>
      <c r="E745" s="2">
        <v>22199</v>
      </c>
      <c r="F745" s="4">
        <v>60907</v>
      </c>
    </row>
    <row r="746" spans="1:6" x14ac:dyDescent="0.3">
      <c r="A746" s="3">
        <v>2019</v>
      </c>
      <c r="B746" s="1" t="s">
        <v>59</v>
      </c>
      <c r="C746" s="1" t="s">
        <v>31</v>
      </c>
      <c r="D746" s="2">
        <v>6842</v>
      </c>
      <c r="E746" s="2">
        <v>67425</v>
      </c>
      <c r="F746" s="4">
        <v>69072</v>
      </c>
    </row>
    <row r="747" spans="1:6" x14ac:dyDescent="0.3">
      <c r="A747" s="3">
        <v>2019</v>
      </c>
      <c r="B747" s="1" t="s">
        <v>59</v>
      </c>
      <c r="C747" s="1" t="s">
        <v>32</v>
      </c>
      <c r="D747" s="2">
        <v>9324</v>
      </c>
      <c r="E747" s="2">
        <v>64932</v>
      </c>
      <c r="F747" s="4">
        <v>70204</v>
      </c>
    </row>
    <row r="748" spans="1:6" x14ac:dyDescent="0.3">
      <c r="A748" s="3">
        <v>2019</v>
      </c>
      <c r="B748" s="1" t="s">
        <v>59</v>
      </c>
      <c r="C748" s="1" t="s">
        <v>33</v>
      </c>
      <c r="D748" s="2">
        <v>3881</v>
      </c>
      <c r="E748" s="2">
        <v>33418</v>
      </c>
      <c r="F748" s="4">
        <v>100104</v>
      </c>
    </row>
    <row r="749" spans="1:6" x14ac:dyDescent="0.3">
      <c r="A749" s="3">
        <v>2019</v>
      </c>
      <c r="B749" s="1" t="s">
        <v>59</v>
      </c>
      <c r="C749" s="1" t="s">
        <v>34</v>
      </c>
      <c r="D749" s="2">
        <v>20037</v>
      </c>
      <c r="E749" s="2">
        <v>243892</v>
      </c>
      <c r="F749" s="4">
        <v>117277</v>
      </c>
    </row>
    <row r="750" spans="1:6" x14ac:dyDescent="0.3">
      <c r="A750" s="3">
        <v>2019</v>
      </c>
      <c r="B750" s="1" t="s">
        <v>59</v>
      </c>
      <c r="C750" s="1" t="s">
        <v>35</v>
      </c>
      <c r="D750" s="2">
        <v>5460</v>
      </c>
      <c r="E750" s="2">
        <v>33799</v>
      </c>
      <c r="F750" s="4">
        <v>57768</v>
      </c>
    </row>
    <row r="751" spans="1:6" x14ac:dyDescent="0.3">
      <c r="A751" s="3">
        <v>2019</v>
      </c>
      <c r="B751" s="1" t="s">
        <v>59</v>
      </c>
      <c r="C751" s="1" t="s">
        <v>36</v>
      </c>
      <c r="D751" s="2">
        <v>63310</v>
      </c>
      <c r="E751" s="2">
        <v>720818</v>
      </c>
      <c r="F751" s="4">
        <v>191494</v>
      </c>
    </row>
    <row r="752" spans="1:6" x14ac:dyDescent="0.3">
      <c r="A752" s="3">
        <v>2019</v>
      </c>
      <c r="B752" s="1" t="s">
        <v>59</v>
      </c>
      <c r="C752" s="1" t="s">
        <v>37</v>
      </c>
      <c r="D752" s="2">
        <v>28672</v>
      </c>
      <c r="E752" s="2">
        <v>245903</v>
      </c>
      <c r="F752" s="4">
        <v>89886</v>
      </c>
    </row>
    <row r="753" spans="1:6" x14ac:dyDescent="0.3">
      <c r="A753" s="3">
        <v>2019</v>
      </c>
      <c r="B753" s="1" t="s">
        <v>59</v>
      </c>
      <c r="C753" s="1" t="s">
        <v>38</v>
      </c>
      <c r="D753" s="2">
        <v>2985</v>
      </c>
      <c r="E753" s="2">
        <v>23264</v>
      </c>
      <c r="F753" s="4">
        <v>65784</v>
      </c>
    </row>
    <row r="754" spans="1:6" x14ac:dyDescent="0.3">
      <c r="A754" s="3">
        <v>2019</v>
      </c>
      <c r="B754" s="1" t="s">
        <v>59</v>
      </c>
      <c r="C754" s="1" t="s">
        <v>39</v>
      </c>
      <c r="D754" s="2">
        <v>29119</v>
      </c>
      <c r="E754" s="2">
        <v>292556</v>
      </c>
      <c r="F754" s="4">
        <v>75683</v>
      </c>
    </row>
    <row r="755" spans="1:6" x14ac:dyDescent="0.3">
      <c r="A755" s="3">
        <v>2019</v>
      </c>
      <c r="B755" s="1" t="s">
        <v>59</v>
      </c>
      <c r="C755" s="1" t="s">
        <v>40</v>
      </c>
      <c r="D755" s="2">
        <v>11672</v>
      </c>
      <c r="E755" s="2">
        <v>77324</v>
      </c>
      <c r="F755" s="4">
        <v>59814</v>
      </c>
    </row>
    <row r="756" spans="1:6" x14ac:dyDescent="0.3">
      <c r="A756" s="3">
        <v>2019</v>
      </c>
      <c r="B756" s="1" t="s">
        <v>59</v>
      </c>
      <c r="C756" s="1" t="s">
        <v>41</v>
      </c>
      <c r="D756" s="2">
        <v>13190</v>
      </c>
      <c r="E756" s="2">
        <v>85425</v>
      </c>
      <c r="F756" s="4">
        <v>73291</v>
      </c>
    </row>
    <row r="757" spans="1:6" x14ac:dyDescent="0.3">
      <c r="A757" s="3">
        <v>2019</v>
      </c>
      <c r="B757" s="1" t="s">
        <v>59</v>
      </c>
      <c r="C757" s="1" t="s">
        <v>42</v>
      </c>
      <c r="D757" s="2">
        <v>29264</v>
      </c>
      <c r="E757" s="2">
        <v>329745</v>
      </c>
      <c r="F757" s="4">
        <v>90778</v>
      </c>
    </row>
    <row r="758" spans="1:6" x14ac:dyDescent="0.3">
      <c r="A758" s="3">
        <v>2019</v>
      </c>
      <c r="B758" s="1" t="s">
        <v>59</v>
      </c>
      <c r="C758" s="1" t="s">
        <v>43</v>
      </c>
      <c r="D758" s="2">
        <v>2934</v>
      </c>
      <c r="E758" s="2">
        <v>32223</v>
      </c>
      <c r="F758" s="4">
        <v>91537</v>
      </c>
    </row>
    <row r="759" spans="1:6" x14ac:dyDescent="0.3">
      <c r="A759" s="3">
        <v>2019</v>
      </c>
      <c r="B759" s="1" t="s">
        <v>59</v>
      </c>
      <c r="C759" s="1" t="s">
        <v>44</v>
      </c>
      <c r="D759" s="2">
        <v>14196</v>
      </c>
      <c r="E759" s="2">
        <v>101755</v>
      </c>
      <c r="F759" s="4">
        <v>64481</v>
      </c>
    </row>
    <row r="760" spans="1:6" x14ac:dyDescent="0.3">
      <c r="A760" s="3">
        <v>2019</v>
      </c>
      <c r="B760" s="1" t="s">
        <v>59</v>
      </c>
      <c r="C760" s="1" t="s">
        <v>45</v>
      </c>
      <c r="D760" s="2">
        <v>3315</v>
      </c>
      <c r="E760" s="2">
        <v>28483</v>
      </c>
      <c r="F760" s="4">
        <v>63499</v>
      </c>
    </row>
    <row r="761" spans="1:6" x14ac:dyDescent="0.3">
      <c r="A761" s="3">
        <v>2019</v>
      </c>
      <c r="B761" s="1" t="s">
        <v>59</v>
      </c>
      <c r="C761" s="1" t="s">
        <v>46</v>
      </c>
      <c r="D761" s="2">
        <v>16270</v>
      </c>
      <c r="E761" s="2">
        <v>157388</v>
      </c>
      <c r="F761" s="4">
        <v>77805</v>
      </c>
    </row>
    <row r="762" spans="1:6" x14ac:dyDescent="0.3">
      <c r="A762" s="3">
        <v>2019</v>
      </c>
      <c r="B762" s="1" t="s">
        <v>59</v>
      </c>
      <c r="C762" s="1" t="s">
        <v>47</v>
      </c>
      <c r="D762" s="2">
        <v>76169</v>
      </c>
      <c r="E762" s="2">
        <v>777574</v>
      </c>
      <c r="F762" s="4">
        <v>86718</v>
      </c>
    </row>
    <row r="763" spans="1:6" x14ac:dyDescent="0.3">
      <c r="A763" s="3">
        <v>2019</v>
      </c>
      <c r="B763" s="1" t="s">
        <v>59</v>
      </c>
      <c r="C763" s="1" t="s">
        <v>48</v>
      </c>
      <c r="D763" s="2">
        <v>11885</v>
      </c>
      <c r="E763" s="2">
        <v>90007</v>
      </c>
      <c r="F763" s="4">
        <v>70967</v>
      </c>
    </row>
    <row r="764" spans="1:6" x14ac:dyDescent="0.3">
      <c r="A764" s="3">
        <v>2019</v>
      </c>
      <c r="B764" s="1" t="s">
        <v>59</v>
      </c>
      <c r="C764" s="1" t="s">
        <v>49</v>
      </c>
      <c r="D764" s="2">
        <v>1709</v>
      </c>
      <c r="E764" s="2">
        <v>11948</v>
      </c>
      <c r="F764" s="4">
        <v>74642</v>
      </c>
    </row>
    <row r="765" spans="1:6" x14ac:dyDescent="0.3">
      <c r="A765" s="3">
        <v>2019</v>
      </c>
      <c r="B765" s="1" t="s">
        <v>59</v>
      </c>
      <c r="C765" s="1" t="s">
        <v>50</v>
      </c>
      <c r="D765" s="2">
        <v>22249</v>
      </c>
      <c r="E765" s="2">
        <v>198459</v>
      </c>
      <c r="F765" s="4">
        <v>88029</v>
      </c>
    </row>
    <row r="766" spans="1:6" x14ac:dyDescent="0.3">
      <c r="A766" s="3">
        <v>2019</v>
      </c>
      <c r="B766" s="1" t="s">
        <v>59</v>
      </c>
      <c r="C766" s="1" t="s">
        <v>51</v>
      </c>
      <c r="D766" s="2">
        <v>17624</v>
      </c>
      <c r="E766" s="2">
        <v>150178</v>
      </c>
      <c r="F766" s="4">
        <v>85242</v>
      </c>
    </row>
    <row r="767" spans="1:6" x14ac:dyDescent="0.3">
      <c r="A767" s="3">
        <v>2019</v>
      </c>
      <c r="B767" s="1" t="s">
        <v>59</v>
      </c>
      <c r="C767" s="1" t="s">
        <v>52</v>
      </c>
      <c r="D767" s="2">
        <v>4003</v>
      </c>
      <c r="E767" s="2">
        <v>24569</v>
      </c>
      <c r="F767" s="4">
        <v>54528</v>
      </c>
    </row>
    <row r="768" spans="1:6" x14ac:dyDescent="0.3">
      <c r="A768" s="3">
        <v>2019</v>
      </c>
      <c r="B768" s="1" t="s">
        <v>59</v>
      </c>
      <c r="C768" s="1" t="s">
        <v>53</v>
      </c>
      <c r="D768" s="2">
        <v>14066</v>
      </c>
      <c r="E768" s="2">
        <v>150327</v>
      </c>
      <c r="F768" s="4">
        <v>74040</v>
      </c>
    </row>
    <row r="769" spans="1:6" x14ac:dyDescent="0.3">
      <c r="A769" s="3">
        <v>2019</v>
      </c>
      <c r="B769" s="1" t="s">
        <v>59</v>
      </c>
      <c r="C769" s="1" t="s">
        <v>54</v>
      </c>
      <c r="D769" s="2">
        <v>2306</v>
      </c>
      <c r="E769" s="2">
        <v>11180</v>
      </c>
      <c r="F769" s="4">
        <v>60849</v>
      </c>
    </row>
    <row r="770" spans="1:6" x14ac:dyDescent="0.3">
      <c r="A770" s="3">
        <v>2019</v>
      </c>
      <c r="B770" s="1" t="s">
        <v>60</v>
      </c>
      <c r="C770" s="1" t="s">
        <v>7</v>
      </c>
      <c r="D770" s="2">
        <v>22186</v>
      </c>
      <c r="E770" s="2">
        <v>251073</v>
      </c>
      <c r="F770" s="4">
        <v>57061</v>
      </c>
    </row>
    <row r="771" spans="1:6" x14ac:dyDescent="0.3">
      <c r="A771" s="3">
        <v>2019</v>
      </c>
      <c r="B771" s="1" t="s">
        <v>60</v>
      </c>
      <c r="C771" s="1" t="s">
        <v>8</v>
      </c>
      <c r="D771" s="2">
        <v>38940</v>
      </c>
      <c r="E771" s="2">
        <v>445648</v>
      </c>
      <c r="F771" s="4">
        <v>58892</v>
      </c>
    </row>
    <row r="772" spans="1:6" x14ac:dyDescent="0.3">
      <c r="A772" s="3">
        <v>2019</v>
      </c>
      <c r="B772" s="1" t="s">
        <v>60</v>
      </c>
      <c r="C772" s="1" t="s">
        <v>9</v>
      </c>
      <c r="D772" s="2">
        <v>14911</v>
      </c>
      <c r="E772" s="2">
        <v>145841</v>
      </c>
      <c r="F772" s="4">
        <v>63354</v>
      </c>
    </row>
    <row r="773" spans="1:6" x14ac:dyDescent="0.3">
      <c r="A773" s="3">
        <v>2019</v>
      </c>
      <c r="B773" s="1" t="s">
        <v>60</v>
      </c>
      <c r="C773" s="1" t="s">
        <v>10</v>
      </c>
      <c r="D773" s="2">
        <v>215691</v>
      </c>
      <c r="E773" s="2">
        <v>2723437</v>
      </c>
      <c r="F773" s="4">
        <v>95348</v>
      </c>
    </row>
    <row r="774" spans="1:6" x14ac:dyDescent="0.3">
      <c r="A774" s="3">
        <v>2019</v>
      </c>
      <c r="B774" s="1" t="s">
        <v>60</v>
      </c>
      <c r="C774" s="1" t="s">
        <v>11</v>
      </c>
      <c r="D774" s="2">
        <v>55003</v>
      </c>
      <c r="E774" s="2">
        <v>439613</v>
      </c>
      <c r="F774" s="4">
        <v>86477</v>
      </c>
    </row>
    <row r="775" spans="1:6" x14ac:dyDescent="0.3">
      <c r="A775" s="3">
        <v>2019</v>
      </c>
      <c r="B775" s="1" t="s">
        <v>60</v>
      </c>
      <c r="C775" s="1" t="s">
        <v>12</v>
      </c>
      <c r="D775" s="2">
        <v>23755</v>
      </c>
      <c r="E775" s="2">
        <v>218815</v>
      </c>
      <c r="F775" s="4">
        <v>92139</v>
      </c>
    </row>
    <row r="776" spans="1:6" x14ac:dyDescent="0.3">
      <c r="A776" s="3">
        <v>2019</v>
      </c>
      <c r="B776" s="1" t="s">
        <v>60</v>
      </c>
      <c r="C776" s="1" t="s">
        <v>13</v>
      </c>
      <c r="D776" s="2">
        <v>9421</v>
      </c>
      <c r="E776" s="2">
        <v>63844</v>
      </c>
      <c r="F776" s="4">
        <v>82658</v>
      </c>
    </row>
    <row r="777" spans="1:6" x14ac:dyDescent="0.3">
      <c r="A777" s="3">
        <v>2019</v>
      </c>
      <c r="B777" s="1" t="s">
        <v>60</v>
      </c>
      <c r="C777" s="1" t="s">
        <v>14</v>
      </c>
      <c r="D777" s="2">
        <v>170397</v>
      </c>
      <c r="E777" s="2">
        <v>1391050</v>
      </c>
      <c r="F777" s="4">
        <v>63740</v>
      </c>
    </row>
    <row r="778" spans="1:6" x14ac:dyDescent="0.3">
      <c r="A778" s="3">
        <v>2019</v>
      </c>
      <c r="B778" s="1" t="s">
        <v>60</v>
      </c>
      <c r="C778" s="1" t="s">
        <v>15</v>
      </c>
      <c r="D778" s="2">
        <v>56304</v>
      </c>
      <c r="E778" s="2">
        <v>717238</v>
      </c>
      <c r="F778" s="4">
        <v>71861</v>
      </c>
    </row>
    <row r="779" spans="1:6" x14ac:dyDescent="0.3">
      <c r="A779" s="3">
        <v>2019</v>
      </c>
      <c r="B779" s="1" t="s">
        <v>60</v>
      </c>
      <c r="C779" s="1" t="s">
        <v>16</v>
      </c>
      <c r="D779" s="2">
        <v>11359</v>
      </c>
      <c r="E779" s="2">
        <v>94181</v>
      </c>
      <c r="F779" s="4">
        <v>55072</v>
      </c>
    </row>
    <row r="780" spans="1:6" x14ac:dyDescent="0.3">
      <c r="A780" s="3">
        <v>2019</v>
      </c>
      <c r="B780" s="1" t="s">
        <v>60</v>
      </c>
      <c r="C780" s="1" t="s">
        <v>17</v>
      </c>
      <c r="D780" s="2">
        <v>75870</v>
      </c>
      <c r="E780" s="2">
        <v>948055</v>
      </c>
      <c r="F780" s="4">
        <v>78228</v>
      </c>
    </row>
    <row r="781" spans="1:6" x14ac:dyDescent="0.3">
      <c r="A781" s="3">
        <v>2019</v>
      </c>
      <c r="B781" s="1" t="s">
        <v>60</v>
      </c>
      <c r="C781" s="1" t="s">
        <v>18</v>
      </c>
      <c r="D781" s="2">
        <v>30165</v>
      </c>
      <c r="E781" s="2">
        <v>346667</v>
      </c>
      <c r="F781" s="4">
        <v>53817</v>
      </c>
    </row>
    <row r="782" spans="1:6" x14ac:dyDescent="0.3">
      <c r="A782" s="3">
        <v>2019</v>
      </c>
      <c r="B782" s="1" t="s">
        <v>60</v>
      </c>
      <c r="C782" s="1" t="s">
        <v>19</v>
      </c>
      <c r="D782" s="2">
        <v>16421</v>
      </c>
      <c r="E782" s="2">
        <v>139337</v>
      </c>
      <c r="F782" s="4">
        <v>56755</v>
      </c>
    </row>
    <row r="783" spans="1:6" x14ac:dyDescent="0.3">
      <c r="A783" s="3">
        <v>2019</v>
      </c>
      <c r="B783" s="1" t="s">
        <v>60</v>
      </c>
      <c r="C783" s="1" t="s">
        <v>20</v>
      </c>
      <c r="D783" s="2">
        <v>16598</v>
      </c>
      <c r="E783" s="2">
        <v>179211</v>
      </c>
      <c r="F783" s="4">
        <v>64554</v>
      </c>
    </row>
    <row r="784" spans="1:6" x14ac:dyDescent="0.3">
      <c r="A784" s="3">
        <v>2019</v>
      </c>
      <c r="B784" s="1" t="s">
        <v>60</v>
      </c>
      <c r="C784" s="1" t="s">
        <v>21</v>
      </c>
      <c r="D784" s="2">
        <v>20866</v>
      </c>
      <c r="E784" s="2">
        <v>216049</v>
      </c>
      <c r="F784" s="4">
        <v>52511</v>
      </c>
    </row>
    <row r="785" spans="1:6" x14ac:dyDescent="0.3">
      <c r="A785" s="3">
        <v>2019</v>
      </c>
      <c r="B785" s="1" t="s">
        <v>60</v>
      </c>
      <c r="C785" s="1" t="s">
        <v>22</v>
      </c>
      <c r="D785" s="2">
        <v>25304</v>
      </c>
      <c r="E785" s="2">
        <v>216009</v>
      </c>
      <c r="F785" s="4">
        <v>57624</v>
      </c>
    </row>
    <row r="786" spans="1:6" x14ac:dyDescent="0.3">
      <c r="A786" s="3">
        <v>2019</v>
      </c>
      <c r="B786" s="1" t="s">
        <v>60</v>
      </c>
      <c r="C786" s="1" t="s">
        <v>23</v>
      </c>
      <c r="D786" s="2">
        <v>10504</v>
      </c>
      <c r="E786" s="2">
        <v>69931</v>
      </c>
      <c r="F786" s="4">
        <v>60893</v>
      </c>
    </row>
    <row r="787" spans="1:6" x14ac:dyDescent="0.3">
      <c r="A787" s="3">
        <v>2019</v>
      </c>
      <c r="B787" s="1" t="s">
        <v>60</v>
      </c>
      <c r="C787" s="1" t="s">
        <v>24</v>
      </c>
      <c r="D787" s="2">
        <v>44172</v>
      </c>
      <c r="E787" s="2">
        <v>461724</v>
      </c>
      <c r="F787" s="4">
        <v>82573</v>
      </c>
    </row>
    <row r="788" spans="1:6" x14ac:dyDescent="0.3">
      <c r="A788" s="3">
        <v>2019</v>
      </c>
      <c r="B788" s="1" t="s">
        <v>60</v>
      </c>
      <c r="C788" s="1" t="s">
        <v>25</v>
      </c>
      <c r="D788" s="2">
        <v>47892</v>
      </c>
      <c r="E788" s="2">
        <v>605822</v>
      </c>
      <c r="F788" s="4">
        <v>113872</v>
      </c>
    </row>
    <row r="789" spans="1:6" x14ac:dyDescent="0.3">
      <c r="A789" s="3">
        <v>2019</v>
      </c>
      <c r="B789" s="1" t="s">
        <v>60</v>
      </c>
      <c r="C789" s="1" t="s">
        <v>26</v>
      </c>
      <c r="D789" s="2">
        <v>44483</v>
      </c>
      <c r="E789" s="2">
        <v>655188</v>
      </c>
      <c r="F789" s="4">
        <v>70805</v>
      </c>
    </row>
    <row r="790" spans="1:6" x14ac:dyDescent="0.3">
      <c r="A790" s="3">
        <v>2019</v>
      </c>
      <c r="B790" s="1" t="s">
        <v>60</v>
      </c>
      <c r="C790" s="1" t="s">
        <v>27</v>
      </c>
      <c r="D790" s="2">
        <v>32903</v>
      </c>
      <c r="E790" s="2">
        <v>383591</v>
      </c>
      <c r="F790" s="4">
        <v>85736</v>
      </c>
    </row>
    <row r="791" spans="1:6" x14ac:dyDescent="0.3">
      <c r="A791" s="3">
        <v>2019</v>
      </c>
      <c r="B791" s="1" t="s">
        <v>60</v>
      </c>
      <c r="C791" s="1" t="s">
        <v>28</v>
      </c>
      <c r="D791" s="2">
        <v>12421</v>
      </c>
      <c r="E791" s="2">
        <v>108490</v>
      </c>
      <c r="F791" s="4">
        <v>43023</v>
      </c>
    </row>
    <row r="792" spans="1:6" x14ac:dyDescent="0.3">
      <c r="A792" s="3">
        <v>2019</v>
      </c>
      <c r="B792" s="1" t="s">
        <v>60</v>
      </c>
      <c r="C792" s="1" t="s">
        <v>29</v>
      </c>
      <c r="D792" s="2">
        <v>34349</v>
      </c>
      <c r="E792" s="2">
        <v>382484</v>
      </c>
      <c r="F792" s="4">
        <v>68700</v>
      </c>
    </row>
    <row r="793" spans="1:6" x14ac:dyDescent="0.3">
      <c r="A793" s="3">
        <v>2019</v>
      </c>
      <c r="B793" s="1" t="s">
        <v>60</v>
      </c>
      <c r="C793" s="1" t="s">
        <v>30</v>
      </c>
      <c r="D793" s="2">
        <v>9482</v>
      </c>
      <c r="E793" s="2">
        <v>43417</v>
      </c>
      <c r="F793" s="4">
        <v>54553</v>
      </c>
    </row>
    <row r="794" spans="1:6" x14ac:dyDescent="0.3">
      <c r="A794" s="3">
        <v>2019</v>
      </c>
      <c r="B794" s="1" t="s">
        <v>60</v>
      </c>
      <c r="C794" s="1" t="s">
        <v>31</v>
      </c>
      <c r="D794" s="2">
        <v>11737</v>
      </c>
      <c r="E794" s="2">
        <v>120560</v>
      </c>
      <c r="F794" s="4">
        <v>60603</v>
      </c>
    </row>
    <row r="795" spans="1:6" x14ac:dyDescent="0.3">
      <c r="A795" s="3">
        <v>2019</v>
      </c>
      <c r="B795" s="1" t="s">
        <v>60</v>
      </c>
      <c r="C795" s="1" t="s">
        <v>32</v>
      </c>
      <c r="D795" s="2">
        <v>20106</v>
      </c>
      <c r="E795" s="2">
        <v>196204</v>
      </c>
      <c r="F795" s="4">
        <v>62008</v>
      </c>
    </row>
    <row r="796" spans="1:6" x14ac:dyDescent="0.3">
      <c r="A796" s="3">
        <v>2019</v>
      </c>
      <c r="B796" s="1" t="s">
        <v>60</v>
      </c>
      <c r="C796" s="1" t="s">
        <v>33</v>
      </c>
      <c r="D796" s="2">
        <v>12808</v>
      </c>
      <c r="E796" s="2">
        <v>83513</v>
      </c>
      <c r="F796" s="4">
        <v>80647</v>
      </c>
    </row>
    <row r="797" spans="1:6" x14ac:dyDescent="0.3">
      <c r="A797" s="3">
        <v>2019</v>
      </c>
      <c r="B797" s="1" t="s">
        <v>60</v>
      </c>
      <c r="C797" s="1" t="s">
        <v>34</v>
      </c>
      <c r="D797" s="2">
        <v>52040</v>
      </c>
      <c r="E797" s="2">
        <v>677810</v>
      </c>
      <c r="F797" s="4">
        <v>94022</v>
      </c>
    </row>
    <row r="798" spans="1:6" x14ac:dyDescent="0.3">
      <c r="A798" s="3">
        <v>2019</v>
      </c>
      <c r="B798" s="1" t="s">
        <v>60</v>
      </c>
      <c r="C798" s="1" t="s">
        <v>35</v>
      </c>
      <c r="D798" s="2">
        <v>11347</v>
      </c>
      <c r="E798" s="2">
        <v>111478</v>
      </c>
      <c r="F798" s="4">
        <v>64156</v>
      </c>
    </row>
    <row r="799" spans="1:6" x14ac:dyDescent="0.3">
      <c r="A799" s="3">
        <v>2019</v>
      </c>
      <c r="B799" s="1" t="s">
        <v>60</v>
      </c>
      <c r="C799" s="1" t="s">
        <v>36</v>
      </c>
      <c r="D799" s="2">
        <v>112890</v>
      </c>
      <c r="E799" s="2">
        <v>1368950</v>
      </c>
      <c r="F799" s="4">
        <v>99615</v>
      </c>
    </row>
    <row r="800" spans="1:6" x14ac:dyDescent="0.3">
      <c r="A800" s="3">
        <v>2019</v>
      </c>
      <c r="B800" s="1" t="s">
        <v>60</v>
      </c>
      <c r="C800" s="1" t="s">
        <v>37</v>
      </c>
      <c r="D800" s="2">
        <v>61321</v>
      </c>
      <c r="E800" s="2">
        <v>649747</v>
      </c>
      <c r="F800" s="4">
        <v>67705</v>
      </c>
    </row>
    <row r="801" spans="1:6" x14ac:dyDescent="0.3">
      <c r="A801" s="3">
        <v>2019</v>
      </c>
      <c r="B801" s="1" t="s">
        <v>60</v>
      </c>
      <c r="C801" s="1" t="s">
        <v>38</v>
      </c>
      <c r="D801" s="2">
        <v>5198</v>
      </c>
      <c r="E801" s="2">
        <v>32856</v>
      </c>
      <c r="F801" s="4">
        <v>63897</v>
      </c>
    </row>
    <row r="802" spans="1:6" x14ac:dyDescent="0.3">
      <c r="A802" s="3">
        <v>2019</v>
      </c>
      <c r="B802" s="1" t="s">
        <v>60</v>
      </c>
      <c r="C802" s="1" t="s">
        <v>39</v>
      </c>
      <c r="D802" s="2">
        <v>54330</v>
      </c>
      <c r="E802" s="2">
        <v>734963</v>
      </c>
      <c r="F802" s="4">
        <v>66752</v>
      </c>
    </row>
    <row r="803" spans="1:6" x14ac:dyDescent="0.3">
      <c r="A803" s="3">
        <v>2019</v>
      </c>
      <c r="B803" s="1" t="s">
        <v>60</v>
      </c>
      <c r="C803" s="1" t="s">
        <v>40</v>
      </c>
      <c r="D803" s="2">
        <v>21148</v>
      </c>
      <c r="E803" s="2">
        <v>194601</v>
      </c>
      <c r="F803" s="4">
        <v>54841</v>
      </c>
    </row>
    <row r="804" spans="1:6" x14ac:dyDescent="0.3">
      <c r="A804" s="3">
        <v>2019</v>
      </c>
      <c r="B804" s="1" t="s">
        <v>60</v>
      </c>
      <c r="C804" s="1" t="s">
        <v>41</v>
      </c>
      <c r="D804" s="2">
        <v>26161</v>
      </c>
      <c r="E804" s="2">
        <v>253667</v>
      </c>
      <c r="F804" s="4">
        <v>73460</v>
      </c>
    </row>
    <row r="805" spans="1:6" x14ac:dyDescent="0.3">
      <c r="A805" s="3">
        <v>2019</v>
      </c>
      <c r="B805" s="1" t="s">
        <v>60</v>
      </c>
      <c r="C805" s="1" t="s">
        <v>42</v>
      </c>
      <c r="D805" s="2">
        <v>64541</v>
      </c>
      <c r="E805" s="2">
        <v>816358</v>
      </c>
      <c r="F805" s="4">
        <v>81681</v>
      </c>
    </row>
    <row r="806" spans="1:6" x14ac:dyDescent="0.3">
      <c r="A806" s="3">
        <v>2019</v>
      </c>
      <c r="B806" s="1" t="s">
        <v>60</v>
      </c>
      <c r="C806" s="1" t="s">
        <v>43</v>
      </c>
      <c r="D806" s="2">
        <v>9043</v>
      </c>
      <c r="E806" s="2">
        <v>68259</v>
      </c>
      <c r="F806" s="4">
        <v>68454</v>
      </c>
    </row>
    <row r="807" spans="1:6" x14ac:dyDescent="0.3">
      <c r="A807" s="3">
        <v>2019</v>
      </c>
      <c r="B807" s="1" t="s">
        <v>60</v>
      </c>
      <c r="C807" s="1" t="s">
        <v>44</v>
      </c>
      <c r="D807" s="2">
        <v>29329</v>
      </c>
      <c r="E807" s="2">
        <v>298404</v>
      </c>
      <c r="F807" s="4">
        <v>52492</v>
      </c>
    </row>
    <row r="808" spans="1:6" x14ac:dyDescent="0.3">
      <c r="A808" s="3">
        <v>2019</v>
      </c>
      <c r="B808" s="1" t="s">
        <v>60</v>
      </c>
      <c r="C808" s="1" t="s">
        <v>45</v>
      </c>
      <c r="D808" s="2">
        <v>5498</v>
      </c>
      <c r="E808" s="2">
        <v>33117</v>
      </c>
      <c r="F808" s="4">
        <v>58619</v>
      </c>
    </row>
    <row r="809" spans="1:6" x14ac:dyDescent="0.3">
      <c r="A809" s="3">
        <v>2019</v>
      </c>
      <c r="B809" s="1" t="s">
        <v>60</v>
      </c>
      <c r="C809" s="1" t="s">
        <v>46</v>
      </c>
      <c r="D809" s="2">
        <v>30774</v>
      </c>
      <c r="E809" s="2">
        <v>425933</v>
      </c>
      <c r="F809" s="4">
        <v>62990</v>
      </c>
    </row>
    <row r="810" spans="1:6" x14ac:dyDescent="0.3">
      <c r="A810" s="3">
        <v>2019</v>
      </c>
      <c r="B810" s="1" t="s">
        <v>60</v>
      </c>
      <c r="C810" s="1" t="s">
        <v>47</v>
      </c>
      <c r="D810" s="2">
        <v>139953</v>
      </c>
      <c r="E810" s="2">
        <v>1794316</v>
      </c>
      <c r="F810" s="4">
        <v>77197</v>
      </c>
    </row>
    <row r="811" spans="1:6" x14ac:dyDescent="0.3">
      <c r="A811" s="3">
        <v>2019</v>
      </c>
      <c r="B811" s="1" t="s">
        <v>60</v>
      </c>
      <c r="C811" s="1" t="s">
        <v>48</v>
      </c>
      <c r="D811" s="2">
        <v>24485</v>
      </c>
      <c r="E811" s="2">
        <v>221851</v>
      </c>
      <c r="F811" s="4">
        <v>64641</v>
      </c>
    </row>
    <row r="812" spans="1:6" x14ac:dyDescent="0.3">
      <c r="A812" s="3">
        <v>2019</v>
      </c>
      <c r="B812" s="1" t="s">
        <v>60</v>
      </c>
      <c r="C812" s="1" t="s">
        <v>49</v>
      </c>
      <c r="D812" s="2">
        <v>5970</v>
      </c>
      <c r="E812" s="2">
        <v>29394</v>
      </c>
      <c r="F812" s="4">
        <v>68986</v>
      </c>
    </row>
    <row r="813" spans="1:6" x14ac:dyDescent="0.3">
      <c r="A813" s="3">
        <v>2019</v>
      </c>
      <c r="B813" s="1" t="s">
        <v>60</v>
      </c>
      <c r="C813" s="1" t="s">
        <v>50</v>
      </c>
      <c r="D813" s="2">
        <v>59342</v>
      </c>
      <c r="E813" s="2">
        <v>762590</v>
      </c>
      <c r="F813" s="4">
        <v>90327</v>
      </c>
    </row>
    <row r="814" spans="1:6" x14ac:dyDescent="0.3">
      <c r="A814" s="3">
        <v>2019</v>
      </c>
      <c r="B814" s="1" t="s">
        <v>60</v>
      </c>
      <c r="C814" s="1" t="s">
        <v>51</v>
      </c>
      <c r="D814" s="2">
        <v>41249</v>
      </c>
      <c r="E814" s="2">
        <v>425615</v>
      </c>
      <c r="F814" s="4">
        <v>85460</v>
      </c>
    </row>
    <row r="815" spans="1:6" x14ac:dyDescent="0.3">
      <c r="A815" s="3">
        <v>2019</v>
      </c>
      <c r="B815" s="1" t="s">
        <v>60</v>
      </c>
      <c r="C815" s="1" t="s">
        <v>52</v>
      </c>
      <c r="D815" s="2">
        <v>8381</v>
      </c>
      <c r="E815" s="2">
        <v>69069</v>
      </c>
      <c r="F815" s="4">
        <v>52180</v>
      </c>
    </row>
    <row r="816" spans="1:6" x14ac:dyDescent="0.3">
      <c r="A816" s="3">
        <v>2019</v>
      </c>
      <c r="B816" s="1" t="s">
        <v>60</v>
      </c>
      <c r="C816" s="1" t="s">
        <v>53</v>
      </c>
      <c r="D816" s="2">
        <v>26927</v>
      </c>
      <c r="E816" s="2">
        <v>326120</v>
      </c>
      <c r="F816" s="4">
        <v>63192</v>
      </c>
    </row>
    <row r="817" spans="1:6" x14ac:dyDescent="0.3">
      <c r="A817" s="3">
        <v>2019</v>
      </c>
      <c r="B817" s="1" t="s">
        <v>60</v>
      </c>
      <c r="C817" s="1" t="s">
        <v>54</v>
      </c>
      <c r="D817" s="2">
        <v>4728</v>
      </c>
      <c r="E817" s="2">
        <v>19196</v>
      </c>
      <c r="F817" s="4">
        <v>56253</v>
      </c>
    </row>
    <row r="818" spans="1:6" x14ac:dyDescent="0.3">
      <c r="A818" s="3">
        <v>2019</v>
      </c>
      <c r="B818" s="1" t="s">
        <v>61</v>
      </c>
      <c r="C818" s="1" t="s">
        <v>7</v>
      </c>
      <c r="D818" s="2">
        <v>13692</v>
      </c>
      <c r="E818" s="2">
        <v>238078</v>
      </c>
      <c r="F818" s="4">
        <v>47785</v>
      </c>
    </row>
    <row r="819" spans="1:6" x14ac:dyDescent="0.3">
      <c r="A819" s="3">
        <v>2019</v>
      </c>
      <c r="B819" s="1" t="s">
        <v>61</v>
      </c>
      <c r="C819" s="1" t="s">
        <v>8</v>
      </c>
      <c r="D819" s="2">
        <v>19924</v>
      </c>
      <c r="E819" s="2">
        <v>457984</v>
      </c>
      <c r="F819" s="4">
        <v>52632</v>
      </c>
    </row>
    <row r="820" spans="1:6" x14ac:dyDescent="0.3">
      <c r="A820" s="3">
        <v>2019</v>
      </c>
      <c r="B820" s="1" t="s">
        <v>61</v>
      </c>
      <c r="C820" s="1" t="s">
        <v>9</v>
      </c>
      <c r="D820" s="2">
        <v>15780</v>
      </c>
      <c r="E820" s="2">
        <v>187607</v>
      </c>
      <c r="F820" s="4">
        <v>43983</v>
      </c>
    </row>
    <row r="821" spans="1:6" x14ac:dyDescent="0.3">
      <c r="A821" s="3">
        <v>2019</v>
      </c>
      <c r="B821" s="1" t="s">
        <v>61</v>
      </c>
      <c r="C821" s="1" t="s">
        <v>10</v>
      </c>
      <c r="D821" s="2">
        <v>639529</v>
      </c>
      <c r="E821" s="2">
        <v>2734574</v>
      </c>
      <c r="F821" s="4">
        <v>53909</v>
      </c>
    </row>
    <row r="822" spans="1:6" x14ac:dyDescent="0.3">
      <c r="A822" s="3">
        <v>2019</v>
      </c>
      <c r="B822" s="1" t="s">
        <v>61</v>
      </c>
      <c r="C822" s="1" t="s">
        <v>11</v>
      </c>
      <c r="D822" s="2">
        <v>21747</v>
      </c>
      <c r="E822" s="2">
        <v>341496</v>
      </c>
      <c r="F822" s="4">
        <v>51600</v>
      </c>
    </row>
    <row r="823" spans="1:6" x14ac:dyDescent="0.3">
      <c r="A823" s="3">
        <v>2019</v>
      </c>
      <c r="B823" s="1" t="s">
        <v>61</v>
      </c>
      <c r="C823" s="1" t="s">
        <v>12</v>
      </c>
      <c r="D823" s="2">
        <v>13478</v>
      </c>
      <c r="E823" s="2">
        <v>330418</v>
      </c>
      <c r="F823" s="4">
        <v>57419</v>
      </c>
    </row>
    <row r="824" spans="1:6" x14ac:dyDescent="0.3">
      <c r="A824" s="3">
        <v>2019</v>
      </c>
      <c r="B824" s="1" t="s">
        <v>61</v>
      </c>
      <c r="C824" s="1" t="s">
        <v>13</v>
      </c>
      <c r="D824" s="2">
        <v>5386</v>
      </c>
      <c r="E824" s="2">
        <v>76932</v>
      </c>
      <c r="F824" s="4">
        <v>55284</v>
      </c>
    </row>
    <row r="825" spans="1:6" x14ac:dyDescent="0.3">
      <c r="A825" s="3">
        <v>2019</v>
      </c>
      <c r="B825" s="1" t="s">
        <v>61</v>
      </c>
      <c r="C825" s="1" t="s">
        <v>14</v>
      </c>
      <c r="D825" s="2">
        <v>76615</v>
      </c>
      <c r="E825" s="2">
        <v>1324281</v>
      </c>
      <c r="F825" s="4">
        <v>52039</v>
      </c>
    </row>
    <row r="826" spans="1:6" x14ac:dyDescent="0.3">
      <c r="A826" s="3">
        <v>2019</v>
      </c>
      <c r="B826" s="1" t="s">
        <v>61</v>
      </c>
      <c r="C826" s="1" t="s">
        <v>15</v>
      </c>
      <c r="D826" s="2">
        <v>29998</v>
      </c>
      <c r="E826" s="2">
        <v>580134</v>
      </c>
      <c r="F826" s="4">
        <v>53810</v>
      </c>
    </row>
    <row r="827" spans="1:6" x14ac:dyDescent="0.3">
      <c r="A827" s="3">
        <v>2019</v>
      </c>
      <c r="B827" s="1" t="s">
        <v>61</v>
      </c>
      <c r="C827" s="1" t="s">
        <v>16</v>
      </c>
      <c r="D827" s="2">
        <v>8163</v>
      </c>
      <c r="E827" s="2">
        <v>105424</v>
      </c>
      <c r="F827" s="4">
        <v>43475</v>
      </c>
    </row>
    <row r="828" spans="1:6" x14ac:dyDescent="0.3">
      <c r="A828" s="3">
        <v>2019</v>
      </c>
      <c r="B828" s="1" t="s">
        <v>61</v>
      </c>
      <c r="C828" s="1" t="s">
        <v>17</v>
      </c>
      <c r="D828" s="2">
        <v>35102</v>
      </c>
      <c r="E828" s="2">
        <v>924699</v>
      </c>
      <c r="F828" s="4">
        <v>52038</v>
      </c>
    </row>
    <row r="829" spans="1:6" x14ac:dyDescent="0.3">
      <c r="A829" s="3">
        <v>2019</v>
      </c>
      <c r="B829" s="1" t="s">
        <v>61</v>
      </c>
      <c r="C829" s="1" t="s">
        <v>18</v>
      </c>
      <c r="D829" s="2">
        <v>16247</v>
      </c>
      <c r="E829" s="2">
        <v>468491</v>
      </c>
      <c r="F829" s="4">
        <v>49107</v>
      </c>
    </row>
    <row r="830" spans="1:6" x14ac:dyDescent="0.3">
      <c r="A830" s="3">
        <v>2019</v>
      </c>
      <c r="B830" s="1" t="s">
        <v>61</v>
      </c>
      <c r="C830" s="1" t="s">
        <v>19</v>
      </c>
      <c r="D830" s="2">
        <v>11966</v>
      </c>
      <c r="E830" s="2">
        <v>219013</v>
      </c>
      <c r="F830" s="4">
        <v>44392</v>
      </c>
    </row>
    <row r="831" spans="1:6" x14ac:dyDescent="0.3">
      <c r="A831" s="3">
        <v>2019</v>
      </c>
      <c r="B831" s="1" t="s">
        <v>61</v>
      </c>
      <c r="C831" s="1" t="s">
        <v>20</v>
      </c>
      <c r="D831" s="2">
        <v>10085</v>
      </c>
      <c r="E831" s="2">
        <v>197874</v>
      </c>
      <c r="F831" s="4">
        <v>43909</v>
      </c>
    </row>
    <row r="832" spans="1:6" x14ac:dyDescent="0.3">
      <c r="A832" s="3">
        <v>2019</v>
      </c>
      <c r="B832" s="1" t="s">
        <v>61</v>
      </c>
      <c r="C832" s="1" t="s">
        <v>21</v>
      </c>
      <c r="D832" s="2">
        <v>18442</v>
      </c>
      <c r="E832" s="2">
        <v>272579</v>
      </c>
      <c r="F832" s="4">
        <v>49141</v>
      </c>
    </row>
    <row r="833" spans="1:6" x14ac:dyDescent="0.3">
      <c r="A833" s="3">
        <v>2019</v>
      </c>
      <c r="B833" s="1" t="s">
        <v>61</v>
      </c>
      <c r="C833" s="1" t="s">
        <v>22</v>
      </c>
      <c r="D833" s="2">
        <v>16110</v>
      </c>
      <c r="E833" s="2">
        <v>305742</v>
      </c>
      <c r="F833" s="4">
        <v>44832</v>
      </c>
    </row>
    <row r="834" spans="1:6" x14ac:dyDescent="0.3">
      <c r="A834" s="3">
        <v>2019</v>
      </c>
      <c r="B834" s="1" t="s">
        <v>61</v>
      </c>
      <c r="C834" s="1" t="s">
        <v>23</v>
      </c>
      <c r="D834" s="2">
        <v>5474</v>
      </c>
      <c r="E834" s="2">
        <v>120085</v>
      </c>
      <c r="F834" s="4">
        <v>49342</v>
      </c>
    </row>
    <row r="835" spans="1:6" x14ac:dyDescent="0.3">
      <c r="A835" s="3">
        <v>2019</v>
      </c>
      <c r="B835" s="1" t="s">
        <v>61</v>
      </c>
      <c r="C835" s="1" t="s">
        <v>24</v>
      </c>
      <c r="D835" s="2">
        <v>21419</v>
      </c>
      <c r="E835" s="2">
        <v>451332</v>
      </c>
      <c r="F835" s="4">
        <v>55476</v>
      </c>
    </row>
    <row r="836" spans="1:6" x14ac:dyDescent="0.3">
      <c r="A836" s="3">
        <v>2019</v>
      </c>
      <c r="B836" s="1" t="s">
        <v>61</v>
      </c>
      <c r="C836" s="1" t="s">
        <v>25</v>
      </c>
      <c r="D836" s="2">
        <v>68761</v>
      </c>
      <c r="E836" s="2">
        <v>790552</v>
      </c>
      <c r="F836" s="4">
        <v>59886</v>
      </c>
    </row>
    <row r="837" spans="1:6" x14ac:dyDescent="0.3">
      <c r="A837" s="3">
        <v>2019</v>
      </c>
      <c r="B837" s="1" t="s">
        <v>61</v>
      </c>
      <c r="C837" s="1" t="s">
        <v>26</v>
      </c>
      <c r="D837" s="2">
        <v>25357</v>
      </c>
      <c r="E837" s="2">
        <v>661203</v>
      </c>
      <c r="F837" s="4">
        <v>50845</v>
      </c>
    </row>
    <row r="838" spans="1:6" x14ac:dyDescent="0.3">
      <c r="A838" s="3">
        <v>2019</v>
      </c>
      <c r="B838" s="1" t="s">
        <v>61</v>
      </c>
      <c r="C838" s="1" t="s">
        <v>27</v>
      </c>
      <c r="D838" s="2">
        <v>20728</v>
      </c>
      <c r="E838" s="2">
        <v>530749</v>
      </c>
      <c r="F838" s="4">
        <v>52656</v>
      </c>
    </row>
    <row r="839" spans="1:6" x14ac:dyDescent="0.3">
      <c r="A839" s="3">
        <v>2019</v>
      </c>
      <c r="B839" s="1" t="s">
        <v>61</v>
      </c>
      <c r="C839" s="1" t="s">
        <v>28</v>
      </c>
      <c r="D839" s="2">
        <v>7557</v>
      </c>
      <c r="E839" s="2">
        <v>146077</v>
      </c>
      <c r="F839" s="4">
        <v>42620</v>
      </c>
    </row>
    <row r="840" spans="1:6" x14ac:dyDescent="0.3">
      <c r="A840" s="3">
        <v>2019</v>
      </c>
      <c r="B840" s="1" t="s">
        <v>61</v>
      </c>
      <c r="C840" s="1" t="s">
        <v>29</v>
      </c>
      <c r="D840" s="2">
        <v>52078</v>
      </c>
      <c r="E840" s="2">
        <v>462462</v>
      </c>
      <c r="F840" s="4">
        <v>47562</v>
      </c>
    </row>
    <row r="841" spans="1:6" x14ac:dyDescent="0.3">
      <c r="A841" s="3">
        <v>2019</v>
      </c>
      <c r="B841" s="1" t="s">
        <v>61</v>
      </c>
      <c r="C841" s="1" t="s">
        <v>30</v>
      </c>
      <c r="D841" s="2">
        <v>4834</v>
      </c>
      <c r="E841" s="2">
        <v>74646</v>
      </c>
      <c r="F841" s="4">
        <v>49258</v>
      </c>
    </row>
    <row r="842" spans="1:6" x14ac:dyDescent="0.3">
      <c r="A842" s="3">
        <v>2019</v>
      </c>
      <c r="B842" s="1" t="s">
        <v>61</v>
      </c>
      <c r="C842" s="1" t="s">
        <v>31</v>
      </c>
      <c r="D842" s="2">
        <v>11559</v>
      </c>
      <c r="E842" s="2">
        <v>139275</v>
      </c>
      <c r="F842" s="4">
        <v>48735</v>
      </c>
    </row>
    <row r="843" spans="1:6" x14ac:dyDescent="0.3">
      <c r="A843" s="3">
        <v>2019</v>
      </c>
      <c r="B843" s="1" t="s">
        <v>61</v>
      </c>
      <c r="C843" s="1" t="s">
        <v>32</v>
      </c>
      <c r="D843" s="2">
        <v>8934</v>
      </c>
      <c r="E843" s="2">
        <v>143417</v>
      </c>
      <c r="F843" s="4">
        <v>54808</v>
      </c>
    </row>
    <row r="844" spans="1:6" x14ac:dyDescent="0.3">
      <c r="A844" s="3">
        <v>2019</v>
      </c>
      <c r="B844" s="1" t="s">
        <v>61</v>
      </c>
      <c r="C844" s="1" t="s">
        <v>33</v>
      </c>
      <c r="D844" s="2">
        <v>4773</v>
      </c>
      <c r="E844" s="2">
        <v>114430</v>
      </c>
      <c r="F844" s="4">
        <v>58363</v>
      </c>
    </row>
    <row r="845" spans="1:6" x14ac:dyDescent="0.3">
      <c r="A845" s="3">
        <v>2019</v>
      </c>
      <c r="B845" s="1" t="s">
        <v>61</v>
      </c>
      <c r="C845" s="1" t="s">
        <v>34</v>
      </c>
      <c r="D845" s="2">
        <v>40687</v>
      </c>
      <c r="E845" s="2">
        <v>670070</v>
      </c>
      <c r="F845" s="4">
        <v>55124</v>
      </c>
    </row>
    <row r="846" spans="1:6" x14ac:dyDescent="0.3">
      <c r="A846" s="3">
        <v>2019</v>
      </c>
      <c r="B846" s="1" t="s">
        <v>61</v>
      </c>
      <c r="C846" s="1" t="s">
        <v>35</v>
      </c>
      <c r="D846" s="2">
        <v>10974</v>
      </c>
      <c r="E846" s="2">
        <v>130181</v>
      </c>
      <c r="F846" s="4">
        <v>42852</v>
      </c>
    </row>
    <row r="847" spans="1:6" x14ac:dyDescent="0.3">
      <c r="A847" s="3">
        <v>2019</v>
      </c>
      <c r="B847" s="1" t="s">
        <v>61</v>
      </c>
      <c r="C847" s="1" t="s">
        <v>36</v>
      </c>
      <c r="D847" s="2">
        <v>67202</v>
      </c>
      <c r="E847" s="2">
        <v>1981493</v>
      </c>
      <c r="F847" s="4">
        <v>54638</v>
      </c>
    </row>
    <row r="848" spans="1:6" x14ac:dyDescent="0.3">
      <c r="A848" s="3">
        <v>2019</v>
      </c>
      <c r="B848" s="1" t="s">
        <v>61</v>
      </c>
      <c r="C848" s="1" t="s">
        <v>37</v>
      </c>
      <c r="D848" s="2">
        <v>28199</v>
      </c>
      <c r="E848" s="2">
        <v>606564</v>
      </c>
      <c r="F848" s="4">
        <v>50123</v>
      </c>
    </row>
    <row r="849" spans="1:6" x14ac:dyDescent="0.3">
      <c r="A849" s="3">
        <v>2019</v>
      </c>
      <c r="B849" s="1" t="s">
        <v>61</v>
      </c>
      <c r="C849" s="1" t="s">
        <v>38</v>
      </c>
      <c r="D849" s="2">
        <v>2581</v>
      </c>
      <c r="E849" s="2">
        <v>65771</v>
      </c>
      <c r="F849" s="4">
        <v>52585</v>
      </c>
    </row>
    <row r="850" spans="1:6" x14ac:dyDescent="0.3">
      <c r="A850" s="3">
        <v>2019</v>
      </c>
      <c r="B850" s="1" t="s">
        <v>61</v>
      </c>
      <c r="C850" s="1" t="s">
        <v>39</v>
      </c>
      <c r="D850" s="2">
        <v>35525</v>
      </c>
      <c r="E850" s="2">
        <v>908891</v>
      </c>
      <c r="F850" s="4">
        <v>47891</v>
      </c>
    </row>
    <row r="851" spans="1:6" x14ac:dyDescent="0.3">
      <c r="A851" s="3">
        <v>2019</v>
      </c>
      <c r="B851" s="1" t="s">
        <v>61</v>
      </c>
      <c r="C851" s="1" t="s">
        <v>40</v>
      </c>
      <c r="D851" s="2">
        <v>13345</v>
      </c>
      <c r="E851" s="2">
        <v>213244</v>
      </c>
      <c r="F851" s="4">
        <v>46841</v>
      </c>
    </row>
    <row r="852" spans="1:6" x14ac:dyDescent="0.3">
      <c r="A852" s="3">
        <v>2019</v>
      </c>
      <c r="B852" s="1" t="s">
        <v>61</v>
      </c>
      <c r="C852" s="1" t="s">
        <v>41</v>
      </c>
      <c r="D852" s="2">
        <v>16113</v>
      </c>
      <c r="E852" s="2">
        <v>295311</v>
      </c>
      <c r="F852" s="4">
        <v>51842</v>
      </c>
    </row>
    <row r="853" spans="1:6" x14ac:dyDescent="0.3">
      <c r="A853" s="3">
        <v>2019</v>
      </c>
      <c r="B853" s="1" t="s">
        <v>61</v>
      </c>
      <c r="C853" s="1" t="s">
        <v>42</v>
      </c>
      <c r="D853" s="2">
        <v>57945</v>
      </c>
      <c r="E853" s="2">
        <v>1230922</v>
      </c>
      <c r="F853" s="4">
        <v>53416</v>
      </c>
    </row>
    <row r="854" spans="1:6" x14ac:dyDescent="0.3">
      <c r="A854" s="3">
        <v>2019</v>
      </c>
      <c r="B854" s="1" t="s">
        <v>61</v>
      </c>
      <c r="C854" s="1" t="s">
        <v>43</v>
      </c>
      <c r="D854" s="2">
        <v>4664</v>
      </c>
      <c r="E854" s="2">
        <v>102395</v>
      </c>
      <c r="F854" s="4">
        <v>50458</v>
      </c>
    </row>
    <row r="855" spans="1:6" x14ac:dyDescent="0.3">
      <c r="A855" s="3">
        <v>2019</v>
      </c>
      <c r="B855" s="1" t="s">
        <v>61</v>
      </c>
      <c r="C855" s="1" t="s">
        <v>44</v>
      </c>
      <c r="D855" s="2">
        <v>12757</v>
      </c>
      <c r="E855" s="2">
        <v>237600</v>
      </c>
      <c r="F855" s="4">
        <v>47296</v>
      </c>
    </row>
    <row r="856" spans="1:6" x14ac:dyDescent="0.3">
      <c r="A856" s="3">
        <v>2019</v>
      </c>
      <c r="B856" s="1" t="s">
        <v>61</v>
      </c>
      <c r="C856" s="1" t="s">
        <v>45</v>
      </c>
      <c r="D856" s="2">
        <v>2904</v>
      </c>
      <c r="E856" s="2">
        <v>68913</v>
      </c>
      <c r="F856" s="4">
        <v>52412</v>
      </c>
    </row>
    <row r="857" spans="1:6" x14ac:dyDescent="0.3">
      <c r="A857" s="3">
        <v>2019</v>
      </c>
      <c r="B857" s="1" t="s">
        <v>61</v>
      </c>
      <c r="C857" s="1" t="s">
        <v>46</v>
      </c>
      <c r="D857" s="2">
        <v>16563</v>
      </c>
      <c r="E857" s="2">
        <v>427328</v>
      </c>
      <c r="F857" s="4">
        <v>53183</v>
      </c>
    </row>
    <row r="858" spans="1:6" x14ac:dyDescent="0.3">
      <c r="A858" s="3">
        <v>2019</v>
      </c>
      <c r="B858" s="1" t="s">
        <v>61</v>
      </c>
      <c r="C858" s="1" t="s">
        <v>47</v>
      </c>
      <c r="D858" s="2">
        <v>94237</v>
      </c>
      <c r="E858" s="2">
        <v>1684606</v>
      </c>
      <c r="F858" s="4">
        <v>49322</v>
      </c>
    </row>
    <row r="859" spans="1:6" x14ac:dyDescent="0.3">
      <c r="A859" s="3">
        <v>2019</v>
      </c>
      <c r="B859" s="1" t="s">
        <v>61</v>
      </c>
      <c r="C859" s="1" t="s">
        <v>48</v>
      </c>
      <c r="D859" s="2">
        <v>12857</v>
      </c>
      <c r="E859" s="2">
        <v>193373</v>
      </c>
      <c r="F859" s="4">
        <v>44983</v>
      </c>
    </row>
    <row r="860" spans="1:6" x14ac:dyDescent="0.3">
      <c r="A860" s="3">
        <v>2019</v>
      </c>
      <c r="B860" s="1" t="s">
        <v>61</v>
      </c>
      <c r="C860" s="1" t="s">
        <v>49</v>
      </c>
      <c r="D860" s="2">
        <v>2503</v>
      </c>
      <c r="E860" s="2">
        <v>62317</v>
      </c>
      <c r="F860" s="4">
        <v>48501</v>
      </c>
    </row>
    <row r="861" spans="1:6" x14ac:dyDescent="0.3">
      <c r="A861" s="3">
        <v>2019</v>
      </c>
      <c r="B861" s="1" t="s">
        <v>61</v>
      </c>
      <c r="C861" s="1" t="s">
        <v>50</v>
      </c>
      <c r="D861" s="2">
        <v>50144</v>
      </c>
      <c r="E861" s="2">
        <v>517645</v>
      </c>
      <c r="F861" s="4">
        <v>50876</v>
      </c>
    </row>
    <row r="862" spans="1:6" x14ac:dyDescent="0.3">
      <c r="A862" s="3">
        <v>2019</v>
      </c>
      <c r="B862" s="1" t="s">
        <v>61</v>
      </c>
      <c r="C862" s="1" t="s">
        <v>51</v>
      </c>
      <c r="D862" s="2">
        <v>64023</v>
      </c>
      <c r="E862" s="2">
        <v>478274</v>
      </c>
      <c r="F862" s="4">
        <v>53267</v>
      </c>
    </row>
    <row r="863" spans="1:6" x14ac:dyDescent="0.3">
      <c r="A863" s="3">
        <v>2019</v>
      </c>
      <c r="B863" s="1" t="s">
        <v>61</v>
      </c>
      <c r="C863" s="1" t="s">
        <v>52</v>
      </c>
      <c r="D863" s="2">
        <v>5755</v>
      </c>
      <c r="E863" s="2">
        <v>125528</v>
      </c>
      <c r="F863" s="4">
        <v>47876</v>
      </c>
    </row>
    <row r="864" spans="1:6" x14ac:dyDescent="0.3">
      <c r="A864" s="3">
        <v>2019</v>
      </c>
      <c r="B864" s="1" t="s">
        <v>61</v>
      </c>
      <c r="C864" s="1" t="s">
        <v>53</v>
      </c>
      <c r="D864" s="2">
        <v>29257</v>
      </c>
      <c r="E864" s="2">
        <v>440255</v>
      </c>
      <c r="F864" s="4">
        <v>50951</v>
      </c>
    </row>
    <row r="865" spans="1:6" x14ac:dyDescent="0.3">
      <c r="A865" s="3">
        <v>2019</v>
      </c>
      <c r="B865" s="1" t="s">
        <v>61</v>
      </c>
      <c r="C865" s="1" t="s">
        <v>54</v>
      </c>
      <c r="D865" s="2">
        <v>3384</v>
      </c>
      <c r="E865" s="2">
        <v>27323</v>
      </c>
      <c r="F865" s="4">
        <v>44083</v>
      </c>
    </row>
    <row r="866" spans="1:6" x14ac:dyDescent="0.3">
      <c r="A866" s="3">
        <v>2019</v>
      </c>
      <c r="B866" s="1" t="s">
        <v>62</v>
      </c>
      <c r="C866" s="1" t="s">
        <v>7</v>
      </c>
      <c r="D866" s="2">
        <v>11180</v>
      </c>
      <c r="E866" s="2">
        <v>208446</v>
      </c>
      <c r="F866" s="4">
        <v>17618</v>
      </c>
    </row>
    <row r="867" spans="1:6" x14ac:dyDescent="0.3">
      <c r="A867" s="3">
        <v>2019</v>
      </c>
      <c r="B867" s="1" t="s">
        <v>62</v>
      </c>
      <c r="C867" s="1" t="s">
        <v>8</v>
      </c>
      <c r="D867" s="2">
        <v>14256</v>
      </c>
      <c r="E867" s="2">
        <v>331295</v>
      </c>
      <c r="F867" s="4">
        <v>25557</v>
      </c>
    </row>
    <row r="868" spans="1:6" x14ac:dyDescent="0.3">
      <c r="A868" s="3">
        <v>2019</v>
      </c>
      <c r="B868" s="1" t="s">
        <v>62</v>
      </c>
      <c r="C868" s="1" t="s">
        <v>9</v>
      </c>
      <c r="D868" s="2">
        <v>7315</v>
      </c>
      <c r="E868" s="2">
        <v>120644</v>
      </c>
      <c r="F868" s="4">
        <v>17299</v>
      </c>
    </row>
    <row r="869" spans="1:6" x14ac:dyDescent="0.3">
      <c r="A869" s="3">
        <v>2019</v>
      </c>
      <c r="B869" s="1" t="s">
        <v>62</v>
      </c>
      <c r="C869" s="1" t="s">
        <v>10</v>
      </c>
      <c r="D869" s="2">
        <v>116191</v>
      </c>
      <c r="E869" s="2">
        <v>2034920</v>
      </c>
      <c r="F869" s="4">
        <v>32379</v>
      </c>
    </row>
    <row r="870" spans="1:6" x14ac:dyDescent="0.3">
      <c r="A870" s="3">
        <v>2019</v>
      </c>
      <c r="B870" s="1" t="s">
        <v>62</v>
      </c>
      <c r="C870" s="1" t="s">
        <v>11</v>
      </c>
      <c r="D870" s="2">
        <v>17317</v>
      </c>
      <c r="E870" s="2">
        <v>344935</v>
      </c>
      <c r="F870" s="4">
        <v>27131</v>
      </c>
    </row>
    <row r="871" spans="1:6" x14ac:dyDescent="0.3">
      <c r="A871" s="3">
        <v>2019</v>
      </c>
      <c r="B871" s="1" t="s">
        <v>62</v>
      </c>
      <c r="C871" s="1" t="s">
        <v>12</v>
      </c>
      <c r="D871" s="2">
        <v>10917</v>
      </c>
      <c r="E871" s="2">
        <v>157574</v>
      </c>
      <c r="F871" s="4">
        <v>24451</v>
      </c>
    </row>
    <row r="872" spans="1:6" x14ac:dyDescent="0.3">
      <c r="A872" s="3">
        <v>2019</v>
      </c>
      <c r="B872" s="1" t="s">
        <v>62</v>
      </c>
      <c r="C872" s="1" t="s">
        <v>13</v>
      </c>
      <c r="D872" s="2">
        <v>2710</v>
      </c>
      <c r="E872" s="2">
        <v>53038</v>
      </c>
      <c r="F872" s="4">
        <v>21264</v>
      </c>
    </row>
    <row r="873" spans="1:6" x14ac:dyDescent="0.3">
      <c r="A873" s="3">
        <v>2019</v>
      </c>
      <c r="B873" s="1" t="s">
        <v>62</v>
      </c>
      <c r="C873" s="1" t="s">
        <v>14</v>
      </c>
      <c r="D873" s="2">
        <v>58596</v>
      </c>
      <c r="E873" s="2">
        <v>1257201</v>
      </c>
      <c r="F873" s="4">
        <v>26675</v>
      </c>
    </row>
    <row r="874" spans="1:6" x14ac:dyDescent="0.3">
      <c r="A874" s="3">
        <v>2019</v>
      </c>
      <c r="B874" s="1" t="s">
        <v>62</v>
      </c>
      <c r="C874" s="1" t="s">
        <v>15</v>
      </c>
      <c r="D874" s="2">
        <v>25254</v>
      </c>
      <c r="E874" s="2">
        <v>498529</v>
      </c>
      <c r="F874" s="4">
        <v>21342</v>
      </c>
    </row>
    <row r="875" spans="1:6" x14ac:dyDescent="0.3">
      <c r="A875" s="3">
        <v>2019</v>
      </c>
      <c r="B875" s="1" t="s">
        <v>62</v>
      </c>
      <c r="C875" s="1" t="s">
        <v>16</v>
      </c>
      <c r="D875" s="2">
        <v>5038</v>
      </c>
      <c r="E875" s="2">
        <v>82521</v>
      </c>
      <c r="F875" s="4">
        <v>17770</v>
      </c>
    </row>
    <row r="876" spans="1:6" x14ac:dyDescent="0.3">
      <c r="A876" s="3">
        <v>2019</v>
      </c>
      <c r="B876" s="1" t="s">
        <v>62</v>
      </c>
      <c r="C876" s="1" t="s">
        <v>17</v>
      </c>
      <c r="D876" s="2">
        <v>33183</v>
      </c>
      <c r="E876" s="2">
        <v>622987</v>
      </c>
      <c r="F876" s="4">
        <v>24703</v>
      </c>
    </row>
    <row r="877" spans="1:6" x14ac:dyDescent="0.3">
      <c r="A877" s="3">
        <v>2019</v>
      </c>
      <c r="B877" s="1" t="s">
        <v>62</v>
      </c>
      <c r="C877" s="1" t="s">
        <v>18</v>
      </c>
      <c r="D877" s="2">
        <v>15776</v>
      </c>
      <c r="E877" s="2">
        <v>313889</v>
      </c>
      <c r="F877" s="4">
        <v>19660</v>
      </c>
    </row>
    <row r="878" spans="1:6" x14ac:dyDescent="0.3">
      <c r="A878" s="3">
        <v>2019</v>
      </c>
      <c r="B878" s="1" t="s">
        <v>62</v>
      </c>
      <c r="C878" s="1" t="s">
        <v>19</v>
      </c>
      <c r="D878" s="2">
        <v>8796</v>
      </c>
      <c r="E878" s="2">
        <v>144265</v>
      </c>
      <c r="F878" s="4">
        <v>17261</v>
      </c>
    </row>
    <row r="879" spans="1:6" x14ac:dyDescent="0.3">
      <c r="A879" s="3">
        <v>2019</v>
      </c>
      <c r="B879" s="1" t="s">
        <v>62</v>
      </c>
      <c r="C879" s="1" t="s">
        <v>20</v>
      </c>
      <c r="D879" s="2">
        <v>6871</v>
      </c>
      <c r="E879" s="2">
        <v>130101</v>
      </c>
      <c r="F879" s="4">
        <v>17333</v>
      </c>
    </row>
    <row r="880" spans="1:6" x14ac:dyDescent="0.3">
      <c r="A880" s="3">
        <v>2019</v>
      </c>
      <c r="B880" s="1" t="s">
        <v>62</v>
      </c>
      <c r="C880" s="1" t="s">
        <v>21</v>
      </c>
      <c r="D880" s="2">
        <v>10118</v>
      </c>
      <c r="E880" s="2">
        <v>201748</v>
      </c>
      <c r="F880" s="4">
        <v>18350</v>
      </c>
    </row>
    <row r="881" spans="1:6" x14ac:dyDescent="0.3">
      <c r="A881" s="3">
        <v>2019</v>
      </c>
      <c r="B881" s="1" t="s">
        <v>62</v>
      </c>
      <c r="C881" s="1" t="s">
        <v>22</v>
      </c>
      <c r="D881" s="2">
        <v>12912</v>
      </c>
      <c r="E881" s="2">
        <v>237469</v>
      </c>
      <c r="F881" s="4">
        <v>21789</v>
      </c>
    </row>
    <row r="882" spans="1:6" x14ac:dyDescent="0.3">
      <c r="A882" s="3">
        <v>2019</v>
      </c>
      <c r="B882" s="1" t="s">
        <v>62</v>
      </c>
      <c r="C882" s="1" t="s">
        <v>23</v>
      </c>
      <c r="D882" s="2">
        <v>5132</v>
      </c>
      <c r="E882" s="2">
        <v>69501</v>
      </c>
      <c r="F882" s="4">
        <v>23169</v>
      </c>
    </row>
    <row r="883" spans="1:6" x14ac:dyDescent="0.3">
      <c r="A883" s="3">
        <v>2019</v>
      </c>
      <c r="B883" s="1" t="s">
        <v>62</v>
      </c>
      <c r="C883" s="1" t="s">
        <v>24</v>
      </c>
      <c r="D883" s="2">
        <v>15043</v>
      </c>
      <c r="E883" s="2">
        <v>282746</v>
      </c>
      <c r="F883" s="4">
        <v>24758</v>
      </c>
    </row>
    <row r="884" spans="1:6" x14ac:dyDescent="0.3">
      <c r="A884" s="3">
        <v>2019</v>
      </c>
      <c r="B884" s="1" t="s">
        <v>62</v>
      </c>
      <c r="C884" s="1" t="s">
        <v>25</v>
      </c>
      <c r="D884" s="2">
        <v>20740</v>
      </c>
      <c r="E884" s="2">
        <v>379863</v>
      </c>
      <c r="F884" s="4">
        <v>29500</v>
      </c>
    </row>
    <row r="885" spans="1:6" x14ac:dyDescent="0.3">
      <c r="A885" s="3">
        <v>2019</v>
      </c>
      <c r="B885" s="1" t="s">
        <v>62</v>
      </c>
      <c r="C885" s="1" t="s">
        <v>26</v>
      </c>
      <c r="D885" s="2">
        <v>23113</v>
      </c>
      <c r="E885" s="2">
        <v>434299</v>
      </c>
      <c r="F885" s="4">
        <v>21121</v>
      </c>
    </row>
    <row r="886" spans="1:6" x14ac:dyDescent="0.3">
      <c r="A886" s="3">
        <v>2019</v>
      </c>
      <c r="B886" s="1" t="s">
        <v>62</v>
      </c>
      <c r="C886" s="1" t="s">
        <v>27</v>
      </c>
      <c r="D886" s="2">
        <v>15325</v>
      </c>
      <c r="E886" s="2">
        <v>275608</v>
      </c>
      <c r="F886" s="4">
        <v>23261</v>
      </c>
    </row>
    <row r="887" spans="1:6" x14ac:dyDescent="0.3">
      <c r="A887" s="3">
        <v>2019</v>
      </c>
      <c r="B887" s="1" t="s">
        <v>62</v>
      </c>
      <c r="C887" s="1" t="s">
        <v>28</v>
      </c>
      <c r="D887" s="2">
        <v>6514</v>
      </c>
      <c r="E887" s="2">
        <v>136282</v>
      </c>
      <c r="F887" s="4">
        <v>17817</v>
      </c>
    </row>
    <row r="888" spans="1:6" x14ac:dyDescent="0.3">
      <c r="A888" s="3">
        <v>2019</v>
      </c>
      <c r="B888" s="1" t="s">
        <v>62</v>
      </c>
      <c r="C888" s="1" t="s">
        <v>29</v>
      </c>
      <c r="D888" s="2">
        <v>15195</v>
      </c>
      <c r="E888" s="2">
        <v>308646</v>
      </c>
      <c r="F888" s="4">
        <v>21614</v>
      </c>
    </row>
    <row r="889" spans="1:6" x14ac:dyDescent="0.3">
      <c r="A889" s="3">
        <v>2019</v>
      </c>
      <c r="B889" s="1" t="s">
        <v>62</v>
      </c>
      <c r="C889" s="1" t="s">
        <v>30</v>
      </c>
      <c r="D889" s="2">
        <v>5052</v>
      </c>
      <c r="E889" s="2">
        <v>67008</v>
      </c>
      <c r="F889" s="4">
        <v>19955</v>
      </c>
    </row>
    <row r="890" spans="1:6" x14ac:dyDescent="0.3">
      <c r="A890" s="3">
        <v>2019</v>
      </c>
      <c r="B890" s="1" t="s">
        <v>62</v>
      </c>
      <c r="C890" s="1" t="s">
        <v>31</v>
      </c>
      <c r="D890" s="2">
        <v>5609</v>
      </c>
      <c r="E890" s="2">
        <v>93856</v>
      </c>
      <c r="F890" s="4">
        <v>17213</v>
      </c>
    </row>
    <row r="891" spans="1:6" x14ac:dyDescent="0.3">
      <c r="A891" s="3">
        <v>2019</v>
      </c>
      <c r="B891" s="1" t="s">
        <v>62</v>
      </c>
      <c r="C891" s="1" t="s">
        <v>32</v>
      </c>
      <c r="D891" s="2">
        <v>8716</v>
      </c>
      <c r="E891" s="2">
        <v>355178</v>
      </c>
      <c r="F891" s="4">
        <v>34432</v>
      </c>
    </row>
    <row r="892" spans="1:6" x14ac:dyDescent="0.3">
      <c r="A892" s="3">
        <v>2019</v>
      </c>
      <c r="B892" s="1" t="s">
        <v>62</v>
      </c>
      <c r="C892" s="1" t="s">
        <v>33</v>
      </c>
      <c r="D892" s="2">
        <v>4675</v>
      </c>
      <c r="E892" s="2">
        <v>73214</v>
      </c>
      <c r="F892" s="4">
        <v>22783</v>
      </c>
    </row>
    <row r="893" spans="1:6" x14ac:dyDescent="0.3">
      <c r="A893" s="3">
        <v>2019</v>
      </c>
      <c r="B893" s="1" t="s">
        <v>62</v>
      </c>
      <c r="C893" s="1" t="s">
        <v>34</v>
      </c>
      <c r="D893" s="2">
        <v>24526</v>
      </c>
      <c r="E893" s="2">
        <v>391519</v>
      </c>
      <c r="F893" s="4">
        <v>26347</v>
      </c>
    </row>
    <row r="894" spans="1:6" x14ac:dyDescent="0.3">
      <c r="A894" s="3">
        <v>2019</v>
      </c>
      <c r="B894" s="1" t="s">
        <v>62</v>
      </c>
      <c r="C894" s="1" t="s">
        <v>35</v>
      </c>
      <c r="D894" s="2">
        <v>5277</v>
      </c>
      <c r="E894" s="2">
        <v>99656</v>
      </c>
      <c r="F894" s="4">
        <v>19571</v>
      </c>
    </row>
    <row r="895" spans="1:6" x14ac:dyDescent="0.3">
      <c r="A895" s="3">
        <v>2019</v>
      </c>
      <c r="B895" s="1" t="s">
        <v>62</v>
      </c>
      <c r="C895" s="1" t="s">
        <v>36</v>
      </c>
      <c r="D895" s="2">
        <v>65868</v>
      </c>
      <c r="E895" s="2">
        <v>957897</v>
      </c>
      <c r="F895" s="4">
        <v>35828</v>
      </c>
    </row>
    <row r="896" spans="1:6" x14ac:dyDescent="0.3">
      <c r="A896" s="3">
        <v>2019</v>
      </c>
      <c r="B896" s="1" t="s">
        <v>62</v>
      </c>
      <c r="C896" s="1" t="s">
        <v>37</v>
      </c>
      <c r="D896" s="2">
        <v>26474</v>
      </c>
      <c r="E896" s="2">
        <v>515152</v>
      </c>
      <c r="F896" s="4">
        <v>20460</v>
      </c>
    </row>
    <row r="897" spans="1:6" x14ac:dyDescent="0.3">
      <c r="A897" s="3">
        <v>2019</v>
      </c>
      <c r="B897" s="1" t="s">
        <v>62</v>
      </c>
      <c r="C897" s="1" t="s">
        <v>38</v>
      </c>
      <c r="D897" s="2">
        <v>2610</v>
      </c>
      <c r="E897" s="2">
        <v>40423</v>
      </c>
      <c r="F897" s="4">
        <v>18573</v>
      </c>
    </row>
    <row r="898" spans="1:6" x14ac:dyDescent="0.3">
      <c r="A898" s="3">
        <v>2019</v>
      </c>
      <c r="B898" s="1" t="s">
        <v>62</v>
      </c>
      <c r="C898" s="1" t="s">
        <v>39</v>
      </c>
      <c r="D898" s="2">
        <v>29035</v>
      </c>
      <c r="E898" s="2">
        <v>570254</v>
      </c>
      <c r="F898" s="4">
        <v>20197</v>
      </c>
    </row>
    <row r="899" spans="1:6" x14ac:dyDescent="0.3">
      <c r="A899" s="3">
        <v>2019</v>
      </c>
      <c r="B899" s="1" t="s">
        <v>62</v>
      </c>
      <c r="C899" s="1" t="s">
        <v>40</v>
      </c>
      <c r="D899" s="2">
        <v>9209</v>
      </c>
      <c r="E899" s="2">
        <v>174213</v>
      </c>
      <c r="F899" s="4">
        <v>18600</v>
      </c>
    </row>
    <row r="900" spans="1:6" x14ac:dyDescent="0.3">
      <c r="A900" s="3">
        <v>2019</v>
      </c>
      <c r="B900" s="1" t="s">
        <v>62</v>
      </c>
      <c r="C900" s="1" t="s">
        <v>41</v>
      </c>
      <c r="D900" s="2">
        <v>14116</v>
      </c>
      <c r="E900" s="2">
        <v>213454</v>
      </c>
      <c r="F900" s="4">
        <v>23818</v>
      </c>
    </row>
    <row r="901" spans="1:6" x14ac:dyDescent="0.3">
      <c r="A901" s="3">
        <v>2019</v>
      </c>
      <c r="B901" s="1" t="s">
        <v>62</v>
      </c>
      <c r="C901" s="1" t="s">
        <v>42</v>
      </c>
      <c r="D901" s="2">
        <v>33729</v>
      </c>
      <c r="E901" s="2">
        <v>577911</v>
      </c>
      <c r="F901" s="4">
        <v>22011</v>
      </c>
    </row>
    <row r="902" spans="1:6" x14ac:dyDescent="0.3">
      <c r="A902" s="3">
        <v>2019</v>
      </c>
      <c r="B902" s="1" t="s">
        <v>62</v>
      </c>
      <c r="C902" s="1" t="s">
        <v>43</v>
      </c>
      <c r="D902" s="2">
        <v>3873</v>
      </c>
      <c r="E902" s="2">
        <v>60008</v>
      </c>
      <c r="F902" s="4">
        <v>23680</v>
      </c>
    </row>
    <row r="903" spans="1:6" x14ac:dyDescent="0.3">
      <c r="A903" s="3">
        <v>2019</v>
      </c>
      <c r="B903" s="1" t="s">
        <v>62</v>
      </c>
      <c r="C903" s="1" t="s">
        <v>44</v>
      </c>
      <c r="D903" s="2">
        <v>13400</v>
      </c>
      <c r="E903" s="2">
        <v>270473</v>
      </c>
      <c r="F903" s="4">
        <v>18816</v>
      </c>
    </row>
    <row r="904" spans="1:6" x14ac:dyDescent="0.3">
      <c r="A904" s="3">
        <v>2019</v>
      </c>
      <c r="B904" s="1" t="s">
        <v>62</v>
      </c>
      <c r="C904" s="1" t="s">
        <v>45</v>
      </c>
      <c r="D904" s="2">
        <v>3191</v>
      </c>
      <c r="E904" s="2">
        <v>47413</v>
      </c>
      <c r="F904" s="4">
        <v>17519</v>
      </c>
    </row>
    <row r="905" spans="1:6" x14ac:dyDescent="0.3">
      <c r="A905" s="3">
        <v>2019</v>
      </c>
      <c r="B905" s="1" t="s">
        <v>62</v>
      </c>
      <c r="C905" s="1" t="s">
        <v>46</v>
      </c>
      <c r="D905" s="2">
        <v>16924</v>
      </c>
      <c r="E905" s="2">
        <v>347181</v>
      </c>
      <c r="F905" s="4">
        <v>23878</v>
      </c>
    </row>
    <row r="906" spans="1:6" x14ac:dyDescent="0.3">
      <c r="A906" s="3">
        <v>2019</v>
      </c>
      <c r="B906" s="1" t="s">
        <v>62</v>
      </c>
      <c r="C906" s="1" t="s">
        <v>47</v>
      </c>
      <c r="D906" s="2">
        <v>65057</v>
      </c>
      <c r="E906" s="2">
        <v>1394036</v>
      </c>
      <c r="F906" s="4">
        <v>22762</v>
      </c>
    </row>
    <row r="907" spans="1:6" x14ac:dyDescent="0.3">
      <c r="A907" s="3">
        <v>2019</v>
      </c>
      <c r="B907" s="1" t="s">
        <v>62</v>
      </c>
      <c r="C907" s="1" t="s">
        <v>48</v>
      </c>
      <c r="D907" s="2">
        <v>7570</v>
      </c>
      <c r="E907" s="2">
        <v>153412</v>
      </c>
      <c r="F907" s="4">
        <v>20955</v>
      </c>
    </row>
    <row r="908" spans="1:6" x14ac:dyDescent="0.3">
      <c r="A908" s="3">
        <v>2019</v>
      </c>
      <c r="B908" s="1" t="s">
        <v>62</v>
      </c>
      <c r="C908" s="1" t="s">
        <v>49</v>
      </c>
      <c r="D908" s="2">
        <v>2268</v>
      </c>
      <c r="E908" s="2">
        <v>37208</v>
      </c>
      <c r="F908" s="4">
        <v>23863</v>
      </c>
    </row>
    <row r="909" spans="1:6" x14ac:dyDescent="0.3">
      <c r="A909" s="3">
        <v>2019</v>
      </c>
      <c r="B909" s="1" t="s">
        <v>62</v>
      </c>
      <c r="C909" s="1" t="s">
        <v>50</v>
      </c>
      <c r="D909" s="2">
        <v>20743</v>
      </c>
      <c r="E909" s="2">
        <v>408354</v>
      </c>
      <c r="F909" s="4">
        <v>21582</v>
      </c>
    </row>
    <row r="910" spans="1:6" x14ac:dyDescent="0.3">
      <c r="A910" s="3">
        <v>2019</v>
      </c>
      <c r="B910" s="1" t="s">
        <v>62</v>
      </c>
      <c r="C910" s="1" t="s">
        <v>51</v>
      </c>
      <c r="D910" s="2">
        <v>20637</v>
      </c>
      <c r="E910" s="2">
        <v>341265</v>
      </c>
      <c r="F910" s="4">
        <v>26566</v>
      </c>
    </row>
    <row r="911" spans="1:6" x14ac:dyDescent="0.3">
      <c r="A911" s="3">
        <v>2019</v>
      </c>
      <c r="B911" s="1" t="s">
        <v>62</v>
      </c>
      <c r="C911" s="1" t="s">
        <v>52</v>
      </c>
      <c r="D911" s="2">
        <v>4658</v>
      </c>
      <c r="E911" s="2">
        <v>75027</v>
      </c>
      <c r="F911" s="4">
        <v>18256</v>
      </c>
    </row>
    <row r="912" spans="1:6" x14ac:dyDescent="0.3">
      <c r="A912" s="3">
        <v>2019</v>
      </c>
      <c r="B912" s="1" t="s">
        <v>62</v>
      </c>
      <c r="C912" s="1" t="s">
        <v>53</v>
      </c>
      <c r="D912" s="2">
        <v>17015</v>
      </c>
      <c r="E912" s="2">
        <v>285279</v>
      </c>
      <c r="F912" s="4">
        <v>18758</v>
      </c>
    </row>
    <row r="913" spans="1:6" x14ac:dyDescent="0.3">
      <c r="A913" s="3">
        <v>2019</v>
      </c>
      <c r="B913" s="1" t="s">
        <v>62</v>
      </c>
      <c r="C913" s="1" t="s">
        <v>54</v>
      </c>
      <c r="D913" s="2">
        <v>2398</v>
      </c>
      <c r="E913" s="2">
        <v>37041</v>
      </c>
      <c r="F913" s="4">
        <v>21994</v>
      </c>
    </row>
    <row r="914" spans="1:6" x14ac:dyDescent="0.3">
      <c r="A914" s="3">
        <v>2019</v>
      </c>
      <c r="B914" s="1" t="s">
        <v>63</v>
      </c>
      <c r="C914" s="1" t="s">
        <v>7</v>
      </c>
      <c r="D914" s="2">
        <v>10189</v>
      </c>
      <c r="E914" s="2">
        <v>46816</v>
      </c>
      <c r="F914" s="4">
        <v>38607</v>
      </c>
    </row>
    <row r="915" spans="1:6" x14ac:dyDescent="0.3">
      <c r="A915" s="3">
        <v>2019</v>
      </c>
      <c r="B915" s="1" t="s">
        <v>63</v>
      </c>
      <c r="C915" s="1" t="s">
        <v>8</v>
      </c>
      <c r="D915" s="2">
        <v>10674</v>
      </c>
      <c r="E915" s="2">
        <v>75782</v>
      </c>
      <c r="F915" s="4">
        <v>39965</v>
      </c>
    </row>
    <row r="916" spans="1:6" x14ac:dyDescent="0.3">
      <c r="A916" s="3">
        <v>2019</v>
      </c>
      <c r="B916" s="1" t="s">
        <v>63</v>
      </c>
      <c r="C916" s="1" t="s">
        <v>9</v>
      </c>
      <c r="D916" s="2">
        <v>5359</v>
      </c>
      <c r="E916" s="2">
        <v>25279</v>
      </c>
      <c r="F916" s="4">
        <v>36115</v>
      </c>
    </row>
    <row r="917" spans="1:6" x14ac:dyDescent="0.3">
      <c r="A917" s="3">
        <v>2019</v>
      </c>
      <c r="B917" s="1" t="s">
        <v>63</v>
      </c>
      <c r="C917" s="1" t="s">
        <v>10</v>
      </c>
      <c r="D917" s="2">
        <v>97442</v>
      </c>
      <c r="E917" s="2">
        <v>547972</v>
      </c>
      <c r="F917" s="4">
        <v>42293</v>
      </c>
    </row>
    <row r="918" spans="1:6" x14ac:dyDescent="0.3">
      <c r="A918" s="3">
        <v>2019</v>
      </c>
      <c r="B918" s="1" t="s">
        <v>63</v>
      </c>
      <c r="C918" s="1" t="s">
        <v>11</v>
      </c>
      <c r="D918" s="2">
        <v>17008</v>
      </c>
      <c r="E918" s="2">
        <v>84571</v>
      </c>
      <c r="F918" s="4">
        <v>42381</v>
      </c>
    </row>
    <row r="919" spans="1:6" x14ac:dyDescent="0.3">
      <c r="A919" s="3">
        <v>2019</v>
      </c>
      <c r="B919" s="1" t="s">
        <v>63</v>
      </c>
      <c r="C919" s="1" t="s">
        <v>12</v>
      </c>
      <c r="D919" s="2">
        <v>18146</v>
      </c>
      <c r="E919" s="2">
        <v>66497</v>
      </c>
      <c r="F919" s="4">
        <v>34861</v>
      </c>
    </row>
    <row r="920" spans="1:6" x14ac:dyDescent="0.3">
      <c r="A920" s="3">
        <v>2019</v>
      </c>
      <c r="B920" s="1" t="s">
        <v>63</v>
      </c>
      <c r="C920" s="1" t="s">
        <v>13</v>
      </c>
      <c r="D920" s="2">
        <v>2052</v>
      </c>
      <c r="E920" s="2">
        <v>12125</v>
      </c>
      <c r="F920" s="4">
        <v>35636</v>
      </c>
    </row>
    <row r="921" spans="1:6" x14ac:dyDescent="0.3">
      <c r="A921" s="3">
        <v>2019</v>
      </c>
      <c r="B921" s="1" t="s">
        <v>63</v>
      </c>
      <c r="C921" s="1" t="s">
        <v>14</v>
      </c>
      <c r="D921" s="2">
        <v>56765</v>
      </c>
      <c r="E921" s="2">
        <v>281975</v>
      </c>
      <c r="F921" s="4">
        <v>37969</v>
      </c>
    </row>
    <row r="922" spans="1:6" x14ac:dyDescent="0.3">
      <c r="A922" s="3">
        <v>2019</v>
      </c>
      <c r="B922" s="1" t="s">
        <v>63</v>
      </c>
      <c r="C922" s="1" t="s">
        <v>15</v>
      </c>
      <c r="D922" s="2">
        <v>18227</v>
      </c>
      <c r="E922" s="2">
        <v>111902</v>
      </c>
      <c r="F922" s="4">
        <v>37971</v>
      </c>
    </row>
    <row r="923" spans="1:6" x14ac:dyDescent="0.3">
      <c r="A923" s="3">
        <v>2019</v>
      </c>
      <c r="B923" s="1" t="s">
        <v>63</v>
      </c>
      <c r="C923" s="1" t="s">
        <v>16</v>
      </c>
      <c r="D923" s="2">
        <v>3845</v>
      </c>
      <c r="E923" s="2">
        <v>19414</v>
      </c>
      <c r="F923" s="4">
        <v>32615</v>
      </c>
    </row>
    <row r="924" spans="1:6" x14ac:dyDescent="0.3">
      <c r="A924" s="3">
        <v>2019</v>
      </c>
      <c r="B924" s="1" t="s">
        <v>63</v>
      </c>
      <c r="C924" s="1" t="s">
        <v>17</v>
      </c>
      <c r="D924" s="2">
        <v>39884</v>
      </c>
      <c r="E924" s="2">
        <v>209967</v>
      </c>
      <c r="F924" s="4">
        <v>43714</v>
      </c>
    </row>
    <row r="925" spans="1:6" x14ac:dyDescent="0.3">
      <c r="A925" s="3">
        <v>2019</v>
      </c>
      <c r="B925" s="1" t="s">
        <v>63</v>
      </c>
      <c r="C925" s="1" t="s">
        <v>18</v>
      </c>
      <c r="D925" s="2">
        <v>12916</v>
      </c>
      <c r="E925" s="2">
        <v>89273</v>
      </c>
      <c r="F925" s="4">
        <v>33759</v>
      </c>
    </row>
    <row r="926" spans="1:6" x14ac:dyDescent="0.3">
      <c r="A926" s="3">
        <v>2019</v>
      </c>
      <c r="B926" s="1" t="s">
        <v>63</v>
      </c>
      <c r="C926" s="1" t="s">
        <v>19</v>
      </c>
      <c r="D926" s="2">
        <v>8547</v>
      </c>
      <c r="E926" s="2">
        <v>42519</v>
      </c>
      <c r="F926" s="4">
        <v>36534</v>
      </c>
    </row>
    <row r="927" spans="1:6" x14ac:dyDescent="0.3">
      <c r="A927" s="3">
        <v>2019</v>
      </c>
      <c r="B927" s="1" t="s">
        <v>63</v>
      </c>
      <c r="C927" s="1" t="s">
        <v>20</v>
      </c>
      <c r="D927" s="2">
        <v>5938</v>
      </c>
      <c r="E927" s="2">
        <v>34833</v>
      </c>
      <c r="F927" s="4">
        <v>35624</v>
      </c>
    </row>
    <row r="928" spans="1:6" x14ac:dyDescent="0.3">
      <c r="A928" s="3">
        <v>2019</v>
      </c>
      <c r="B928" s="1" t="s">
        <v>63</v>
      </c>
      <c r="C928" s="1" t="s">
        <v>21</v>
      </c>
      <c r="D928" s="2">
        <v>10404</v>
      </c>
      <c r="E928" s="2">
        <v>46571</v>
      </c>
      <c r="F928" s="4">
        <v>34846</v>
      </c>
    </row>
    <row r="929" spans="1:6" x14ac:dyDescent="0.3">
      <c r="A929" s="3">
        <v>2019</v>
      </c>
      <c r="B929" s="1" t="s">
        <v>63</v>
      </c>
      <c r="C929" s="1" t="s">
        <v>22</v>
      </c>
      <c r="D929" s="2">
        <v>9280</v>
      </c>
      <c r="E929" s="2">
        <v>46391</v>
      </c>
      <c r="F929" s="4">
        <v>38963</v>
      </c>
    </row>
    <row r="930" spans="1:6" x14ac:dyDescent="0.3">
      <c r="A930" s="3">
        <v>2019</v>
      </c>
      <c r="B930" s="1" t="s">
        <v>63</v>
      </c>
      <c r="C930" s="1" t="s">
        <v>23</v>
      </c>
      <c r="D930" s="2">
        <v>3777</v>
      </c>
      <c r="E930" s="2">
        <v>17863</v>
      </c>
      <c r="F930" s="4">
        <v>35322</v>
      </c>
    </row>
    <row r="931" spans="1:6" x14ac:dyDescent="0.3">
      <c r="A931" s="3">
        <v>2019</v>
      </c>
      <c r="B931" s="1" t="s">
        <v>63</v>
      </c>
      <c r="C931" s="1" t="s">
        <v>24</v>
      </c>
      <c r="D931" s="2">
        <v>19358</v>
      </c>
      <c r="E931" s="2">
        <v>91545</v>
      </c>
      <c r="F931" s="4">
        <v>44150</v>
      </c>
    </row>
    <row r="932" spans="1:6" x14ac:dyDescent="0.3">
      <c r="A932" s="3">
        <v>2019</v>
      </c>
      <c r="B932" s="1" t="s">
        <v>63</v>
      </c>
      <c r="C932" s="1" t="s">
        <v>25</v>
      </c>
      <c r="D932" s="2">
        <v>22046</v>
      </c>
      <c r="E932" s="2">
        <v>121404</v>
      </c>
      <c r="F932" s="4">
        <v>40421</v>
      </c>
    </row>
    <row r="933" spans="1:6" x14ac:dyDescent="0.3">
      <c r="A933" s="3">
        <v>2019</v>
      </c>
      <c r="B933" s="1" t="s">
        <v>63</v>
      </c>
      <c r="C933" s="1" t="s">
        <v>26</v>
      </c>
      <c r="D933" s="2">
        <v>32480</v>
      </c>
      <c r="E933" s="2">
        <v>140352</v>
      </c>
      <c r="F933" s="4">
        <v>34330</v>
      </c>
    </row>
    <row r="934" spans="1:6" x14ac:dyDescent="0.3">
      <c r="A934" s="3">
        <v>2019</v>
      </c>
      <c r="B934" s="1" t="s">
        <v>63</v>
      </c>
      <c r="C934" s="1" t="s">
        <v>27</v>
      </c>
      <c r="D934" s="2">
        <v>17266</v>
      </c>
      <c r="E934" s="2">
        <v>91238</v>
      </c>
      <c r="F934" s="4">
        <v>35478</v>
      </c>
    </row>
    <row r="935" spans="1:6" x14ac:dyDescent="0.3">
      <c r="A935" s="3">
        <v>2019</v>
      </c>
      <c r="B935" s="1" t="s">
        <v>63</v>
      </c>
      <c r="C935" s="1" t="s">
        <v>28</v>
      </c>
      <c r="D935" s="2">
        <v>4589</v>
      </c>
      <c r="E935" s="2">
        <v>21043</v>
      </c>
      <c r="F935" s="4">
        <v>36243</v>
      </c>
    </row>
    <row r="936" spans="1:6" x14ac:dyDescent="0.3">
      <c r="A936" s="3">
        <v>2019</v>
      </c>
      <c r="B936" s="1" t="s">
        <v>63</v>
      </c>
      <c r="C936" s="1" t="s">
        <v>29</v>
      </c>
      <c r="D936" s="2">
        <v>13240</v>
      </c>
      <c r="E936" s="2">
        <v>75829</v>
      </c>
      <c r="F936" s="4">
        <v>35224</v>
      </c>
    </row>
    <row r="937" spans="1:6" x14ac:dyDescent="0.3">
      <c r="A937" s="3">
        <v>2019</v>
      </c>
      <c r="B937" s="1" t="s">
        <v>63</v>
      </c>
      <c r="C937" s="1" t="s">
        <v>30</v>
      </c>
      <c r="D937" s="2">
        <v>4153</v>
      </c>
      <c r="E937" s="2">
        <v>18442</v>
      </c>
      <c r="F937" s="4">
        <v>31791</v>
      </c>
    </row>
    <row r="938" spans="1:6" x14ac:dyDescent="0.3">
      <c r="A938" s="3">
        <v>2019</v>
      </c>
      <c r="B938" s="1" t="s">
        <v>63</v>
      </c>
      <c r="C938" s="1" t="s">
        <v>31</v>
      </c>
      <c r="D938" s="2">
        <v>4572</v>
      </c>
      <c r="E938" s="2">
        <v>25509</v>
      </c>
      <c r="F938" s="4">
        <v>33587</v>
      </c>
    </row>
    <row r="939" spans="1:6" x14ac:dyDescent="0.3">
      <c r="A939" s="3">
        <v>2019</v>
      </c>
      <c r="B939" s="1" t="s">
        <v>63</v>
      </c>
      <c r="C939" s="1" t="s">
        <v>32</v>
      </c>
      <c r="D939" s="2">
        <v>5140</v>
      </c>
      <c r="E939" s="2">
        <v>35449</v>
      </c>
      <c r="F939" s="4">
        <v>38479</v>
      </c>
    </row>
    <row r="940" spans="1:6" x14ac:dyDescent="0.3">
      <c r="A940" s="3">
        <v>2019</v>
      </c>
      <c r="B940" s="1" t="s">
        <v>63</v>
      </c>
      <c r="C940" s="1" t="s">
        <v>33</v>
      </c>
      <c r="D940" s="2">
        <v>4011</v>
      </c>
      <c r="E940" s="2">
        <v>21600</v>
      </c>
      <c r="F940" s="4">
        <v>39236</v>
      </c>
    </row>
    <row r="941" spans="1:6" x14ac:dyDescent="0.3">
      <c r="A941" s="3">
        <v>2019</v>
      </c>
      <c r="B941" s="1" t="s">
        <v>63</v>
      </c>
      <c r="C941" s="1" t="s">
        <v>34</v>
      </c>
      <c r="D941" s="2">
        <v>24469</v>
      </c>
      <c r="E941" s="2">
        <v>138255</v>
      </c>
      <c r="F941" s="4">
        <v>37373</v>
      </c>
    </row>
    <row r="942" spans="1:6" x14ac:dyDescent="0.3">
      <c r="A942" s="3">
        <v>2019</v>
      </c>
      <c r="B942" s="1" t="s">
        <v>63</v>
      </c>
      <c r="C942" s="1" t="s">
        <v>35</v>
      </c>
      <c r="D942" s="2">
        <v>4216</v>
      </c>
      <c r="E942" s="2">
        <v>21214</v>
      </c>
      <c r="F942" s="4">
        <v>35417</v>
      </c>
    </row>
    <row r="943" spans="1:6" x14ac:dyDescent="0.3">
      <c r="A943" s="3">
        <v>2019</v>
      </c>
      <c r="B943" s="1" t="s">
        <v>63</v>
      </c>
      <c r="C943" s="1" t="s">
        <v>36</v>
      </c>
      <c r="D943" s="2">
        <v>72430</v>
      </c>
      <c r="E943" s="2">
        <v>371218</v>
      </c>
      <c r="F943" s="4">
        <v>43410</v>
      </c>
    </row>
    <row r="944" spans="1:6" x14ac:dyDescent="0.3">
      <c r="A944" s="3">
        <v>2019</v>
      </c>
      <c r="B944" s="1" t="s">
        <v>63</v>
      </c>
      <c r="C944" s="1" t="s">
        <v>37</v>
      </c>
      <c r="D944" s="2">
        <v>24457</v>
      </c>
      <c r="E944" s="2">
        <v>115119</v>
      </c>
      <c r="F944" s="4">
        <v>36624</v>
      </c>
    </row>
    <row r="945" spans="1:6" x14ac:dyDescent="0.3">
      <c r="A945" s="3">
        <v>2019</v>
      </c>
      <c r="B945" s="1" t="s">
        <v>63</v>
      </c>
      <c r="C945" s="1" t="s">
        <v>38</v>
      </c>
      <c r="D945" s="2">
        <v>2047</v>
      </c>
      <c r="E945" s="2">
        <v>11337</v>
      </c>
      <c r="F945" s="4">
        <v>38696</v>
      </c>
    </row>
    <row r="946" spans="1:6" x14ac:dyDescent="0.3">
      <c r="A946" s="3">
        <v>2019</v>
      </c>
      <c r="B946" s="1" t="s">
        <v>63</v>
      </c>
      <c r="C946" s="1" t="s">
        <v>39</v>
      </c>
      <c r="D946" s="2">
        <v>23639</v>
      </c>
      <c r="E946" s="2">
        <v>157001</v>
      </c>
      <c r="F946" s="4">
        <v>35006</v>
      </c>
    </row>
    <row r="947" spans="1:6" x14ac:dyDescent="0.3">
      <c r="A947" s="3">
        <v>2019</v>
      </c>
      <c r="B947" s="1" t="s">
        <v>63</v>
      </c>
      <c r="C947" s="1" t="s">
        <v>40</v>
      </c>
      <c r="D947" s="2">
        <v>6589</v>
      </c>
      <c r="E947" s="2">
        <v>36706</v>
      </c>
      <c r="F947" s="4">
        <v>36151</v>
      </c>
    </row>
    <row r="948" spans="1:6" x14ac:dyDescent="0.3">
      <c r="A948" s="3">
        <v>2019</v>
      </c>
      <c r="B948" s="1" t="s">
        <v>63</v>
      </c>
      <c r="C948" s="1" t="s">
        <v>41</v>
      </c>
      <c r="D948" s="2">
        <v>25468</v>
      </c>
      <c r="E948" s="2">
        <v>78423</v>
      </c>
      <c r="F948" s="4">
        <v>35467</v>
      </c>
    </row>
    <row r="949" spans="1:6" x14ac:dyDescent="0.3">
      <c r="A949" s="3">
        <v>2019</v>
      </c>
      <c r="B949" s="1" t="s">
        <v>63</v>
      </c>
      <c r="C949" s="1" t="s">
        <v>42</v>
      </c>
      <c r="D949" s="2">
        <v>33082</v>
      </c>
      <c r="E949" s="2">
        <v>202171</v>
      </c>
      <c r="F949" s="4">
        <v>35131</v>
      </c>
    </row>
    <row r="950" spans="1:6" x14ac:dyDescent="0.3">
      <c r="A950" s="3">
        <v>2019</v>
      </c>
      <c r="B950" s="1" t="s">
        <v>63</v>
      </c>
      <c r="C950" s="1" t="s">
        <v>43</v>
      </c>
      <c r="D950" s="2">
        <v>3537</v>
      </c>
      <c r="E950" s="2">
        <v>18157</v>
      </c>
      <c r="F950" s="4">
        <v>34466</v>
      </c>
    </row>
    <row r="951" spans="1:6" x14ac:dyDescent="0.3">
      <c r="A951" s="3">
        <v>2019</v>
      </c>
      <c r="B951" s="1" t="s">
        <v>63</v>
      </c>
      <c r="C951" s="1" t="s">
        <v>44</v>
      </c>
      <c r="D951" s="2">
        <v>12142</v>
      </c>
      <c r="E951" s="2">
        <v>54906</v>
      </c>
      <c r="F951" s="4">
        <v>34386</v>
      </c>
    </row>
    <row r="952" spans="1:6" x14ac:dyDescent="0.3">
      <c r="A952" s="3">
        <v>2019</v>
      </c>
      <c r="B952" s="1" t="s">
        <v>63</v>
      </c>
      <c r="C952" s="1" t="s">
        <v>45</v>
      </c>
      <c r="D952" s="2">
        <v>2223</v>
      </c>
      <c r="E952" s="2">
        <v>11326</v>
      </c>
      <c r="F952" s="4">
        <v>34233</v>
      </c>
    </row>
    <row r="953" spans="1:6" x14ac:dyDescent="0.3">
      <c r="A953" s="3">
        <v>2019</v>
      </c>
      <c r="B953" s="1" t="s">
        <v>63</v>
      </c>
      <c r="C953" s="1" t="s">
        <v>46</v>
      </c>
      <c r="D953" s="2">
        <v>15931</v>
      </c>
      <c r="E953" s="2">
        <v>80484</v>
      </c>
      <c r="F953" s="4">
        <v>36227</v>
      </c>
    </row>
    <row r="954" spans="1:6" x14ac:dyDescent="0.3">
      <c r="A954" s="3">
        <v>2019</v>
      </c>
      <c r="B954" s="1" t="s">
        <v>63</v>
      </c>
      <c r="C954" s="1" t="s">
        <v>47</v>
      </c>
      <c r="D954" s="2">
        <v>57504</v>
      </c>
      <c r="E954" s="2">
        <v>343287</v>
      </c>
      <c r="F954" s="4">
        <v>41110</v>
      </c>
    </row>
    <row r="955" spans="1:6" x14ac:dyDescent="0.3">
      <c r="A955" s="3">
        <v>2019</v>
      </c>
      <c r="B955" s="1" t="s">
        <v>63</v>
      </c>
      <c r="C955" s="1" t="s">
        <v>48</v>
      </c>
      <c r="D955" s="2">
        <v>6492</v>
      </c>
      <c r="E955" s="2">
        <v>37200</v>
      </c>
      <c r="F955" s="4">
        <v>37389</v>
      </c>
    </row>
    <row r="956" spans="1:6" x14ac:dyDescent="0.3">
      <c r="A956" s="3">
        <v>2019</v>
      </c>
      <c r="B956" s="1" t="s">
        <v>63</v>
      </c>
      <c r="C956" s="1" t="s">
        <v>49</v>
      </c>
      <c r="D956" s="2">
        <v>1990</v>
      </c>
      <c r="E956" s="2">
        <v>8772</v>
      </c>
      <c r="F956" s="4">
        <v>37394</v>
      </c>
    </row>
    <row r="957" spans="1:6" x14ac:dyDescent="0.3">
      <c r="A957" s="3">
        <v>2019</v>
      </c>
      <c r="B957" s="1" t="s">
        <v>63</v>
      </c>
      <c r="C957" s="1" t="s">
        <v>50</v>
      </c>
      <c r="D957" s="2">
        <v>29777</v>
      </c>
      <c r="E957" s="2">
        <v>140456</v>
      </c>
      <c r="F957" s="4">
        <v>45136</v>
      </c>
    </row>
    <row r="958" spans="1:6" x14ac:dyDescent="0.3">
      <c r="A958" s="3">
        <v>2019</v>
      </c>
      <c r="B958" s="1" t="s">
        <v>63</v>
      </c>
      <c r="C958" s="1" t="s">
        <v>51</v>
      </c>
      <c r="D958" s="2">
        <v>19915</v>
      </c>
      <c r="E958" s="2">
        <v>102632</v>
      </c>
      <c r="F958" s="4">
        <v>42585</v>
      </c>
    </row>
    <row r="959" spans="1:6" x14ac:dyDescent="0.3">
      <c r="A959" s="3">
        <v>2019</v>
      </c>
      <c r="B959" s="1" t="s">
        <v>63</v>
      </c>
      <c r="C959" s="1" t="s">
        <v>52</v>
      </c>
      <c r="D959" s="2">
        <v>5797</v>
      </c>
      <c r="E959" s="2">
        <v>20164</v>
      </c>
      <c r="F959" s="4">
        <v>32080</v>
      </c>
    </row>
    <row r="960" spans="1:6" x14ac:dyDescent="0.3">
      <c r="A960" s="3">
        <v>2019</v>
      </c>
      <c r="B960" s="1" t="s">
        <v>63</v>
      </c>
      <c r="C960" s="1" t="s">
        <v>53</v>
      </c>
      <c r="D960" s="2">
        <v>13757</v>
      </c>
      <c r="E960" s="2">
        <v>84267</v>
      </c>
      <c r="F960" s="4">
        <v>31908</v>
      </c>
    </row>
    <row r="961" spans="1:6" x14ac:dyDescent="0.3">
      <c r="A961" s="3">
        <v>2019</v>
      </c>
      <c r="B961" s="1" t="s">
        <v>63</v>
      </c>
      <c r="C961" s="1" t="s">
        <v>54</v>
      </c>
      <c r="D961" s="2">
        <v>1655</v>
      </c>
      <c r="E961" s="2">
        <v>7188</v>
      </c>
      <c r="F961" s="4">
        <v>39255</v>
      </c>
    </row>
    <row r="962" spans="1:6" x14ac:dyDescent="0.3">
      <c r="A962" s="3">
        <v>2018</v>
      </c>
      <c r="B962" s="1" t="s">
        <v>6</v>
      </c>
      <c r="C962" s="1" t="s">
        <v>7</v>
      </c>
      <c r="D962" s="2">
        <v>1843</v>
      </c>
      <c r="E962" s="2">
        <v>18397</v>
      </c>
      <c r="F962" s="4">
        <v>56388</v>
      </c>
    </row>
    <row r="963" spans="1:6" x14ac:dyDescent="0.3">
      <c r="A963" s="3">
        <v>2018</v>
      </c>
      <c r="B963" s="1" t="s">
        <v>6</v>
      </c>
      <c r="C963" s="1" t="s">
        <v>8</v>
      </c>
      <c r="D963" s="2">
        <v>1328</v>
      </c>
      <c r="E963" s="2">
        <v>38653</v>
      </c>
      <c r="F963" s="4">
        <v>50854</v>
      </c>
    </row>
    <row r="964" spans="1:6" x14ac:dyDescent="0.3">
      <c r="A964" s="3">
        <v>2018</v>
      </c>
      <c r="B964" s="1" t="s">
        <v>6</v>
      </c>
      <c r="C964" s="1" t="s">
        <v>9</v>
      </c>
      <c r="D964" s="2">
        <v>2525</v>
      </c>
      <c r="E964" s="2">
        <v>16334</v>
      </c>
      <c r="F964" s="4">
        <v>47616</v>
      </c>
    </row>
    <row r="965" spans="1:6" x14ac:dyDescent="0.3">
      <c r="A965" s="3">
        <v>2018</v>
      </c>
      <c r="B965" s="1" t="s">
        <v>6</v>
      </c>
      <c r="C965" s="1" t="s">
        <v>10</v>
      </c>
      <c r="D965" s="2">
        <v>17605</v>
      </c>
      <c r="E965" s="2">
        <v>443542</v>
      </c>
      <c r="F965" s="4">
        <v>38595</v>
      </c>
    </row>
    <row r="966" spans="1:6" x14ac:dyDescent="0.3">
      <c r="A966" s="3">
        <v>2018</v>
      </c>
      <c r="B966" s="1" t="s">
        <v>6</v>
      </c>
      <c r="C966" s="1" t="s">
        <v>11</v>
      </c>
      <c r="D966" s="2">
        <v>3256</v>
      </c>
      <c r="E966" s="2">
        <v>46357</v>
      </c>
      <c r="F966" s="4">
        <v>88489</v>
      </c>
    </row>
    <row r="967" spans="1:6" x14ac:dyDescent="0.3">
      <c r="A967" s="3">
        <v>2018</v>
      </c>
      <c r="B967" s="1" t="s">
        <v>6</v>
      </c>
      <c r="C967" s="1" t="s">
        <v>12</v>
      </c>
      <c r="D967" s="1">
        <v>441</v>
      </c>
      <c r="E967" s="2">
        <v>5272</v>
      </c>
      <c r="F967" s="4">
        <v>40054</v>
      </c>
    </row>
    <row r="968" spans="1:6" x14ac:dyDescent="0.3">
      <c r="A968" s="3">
        <v>2018</v>
      </c>
      <c r="B968" s="1" t="s">
        <v>6</v>
      </c>
      <c r="C968" s="1" t="s">
        <v>13</v>
      </c>
      <c r="D968" s="1">
        <v>177</v>
      </c>
      <c r="E968" s="2">
        <v>1535</v>
      </c>
      <c r="F968" s="4">
        <v>39987</v>
      </c>
    </row>
    <row r="969" spans="1:6" x14ac:dyDescent="0.3">
      <c r="A969" s="3">
        <v>2018</v>
      </c>
      <c r="B969" s="1" t="s">
        <v>6</v>
      </c>
      <c r="C969" s="1" t="s">
        <v>14</v>
      </c>
      <c r="D969" s="2">
        <v>5289</v>
      </c>
      <c r="E969" s="2">
        <v>72507</v>
      </c>
      <c r="F969" s="4">
        <v>34681</v>
      </c>
    </row>
    <row r="970" spans="1:6" x14ac:dyDescent="0.3">
      <c r="A970" s="3">
        <v>2018</v>
      </c>
      <c r="B970" s="1" t="s">
        <v>6</v>
      </c>
      <c r="C970" s="1" t="s">
        <v>15</v>
      </c>
      <c r="D970" s="2">
        <v>2630</v>
      </c>
      <c r="E970" s="2">
        <v>29395</v>
      </c>
      <c r="F970" s="4">
        <v>42010</v>
      </c>
    </row>
    <row r="971" spans="1:6" x14ac:dyDescent="0.3">
      <c r="A971" s="3">
        <v>2018</v>
      </c>
      <c r="B971" s="1" t="s">
        <v>6</v>
      </c>
      <c r="C971" s="1" t="s">
        <v>16</v>
      </c>
      <c r="D971" s="2">
        <v>2500</v>
      </c>
      <c r="E971" s="2">
        <v>26636</v>
      </c>
      <c r="F971" s="4">
        <v>39998</v>
      </c>
    </row>
    <row r="972" spans="1:6" x14ac:dyDescent="0.3">
      <c r="A972" s="3">
        <v>2018</v>
      </c>
      <c r="B972" s="1" t="s">
        <v>6</v>
      </c>
      <c r="C972" s="1" t="s">
        <v>17</v>
      </c>
      <c r="D972" s="2">
        <v>2785</v>
      </c>
      <c r="E972" s="2">
        <v>26452</v>
      </c>
      <c r="F972" s="4">
        <v>50101</v>
      </c>
    </row>
    <row r="973" spans="1:6" x14ac:dyDescent="0.3">
      <c r="A973" s="3">
        <v>2018</v>
      </c>
      <c r="B973" s="1" t="s">
        <v>6</v>
      </c>
      <c r="C973" s="1" t="s">
        <v>18</v>
      </c>
      <c r="D973" s="2">
        <v>2217</v>
      </c>
      <c r="E973" s="2">
        <v>21236</v>
      </c>
      <c r="F973" s="4">
        <v>48605</v>
      </c>
    </row>
    <row r="974" spans="1:6" x14ac:dyDescent="0.3">
      <c r="A974" s="3">
        <v>2018</v>
      </c>
      <c r="B974" s="1" t="s">
        <v>6</v>
      </c>
      <c r="C974" s="1" t="s">
        <v>19</v>
      </c>
      <c r="D974" s="2">
        <v>2830</v>
      </c>
      <c r="E974" s="2">
        <v>23077</v>
      </c>
      <c r="F974" s="4">
        <v>42989</v>
      </c>
    </row>
    <row r="975" spans="1:6" x14ac:dyDescent="0.3">
      <c r="A975" s="3">
        <v>2018</v>
      </c>
      <c r="B975" s="1" t="s">
        <v>6</v>
      </c>
      <c r="C975" s="1" t="s">
        <v>20</v>
      </c>
      <c r="D975" s="2">
        <v>2658</v>
      </c>
      <c r="E975" s="2">
        <v>19284</v>
      </c>
      <c r="F975" s="4">
        <v>47004</v>
      </c>
    </row>
    <row r="976" spans="1:6" x14ac:dyDescent="0.3">
      <c r="A976" s="3">
        <v>2018</v>
      </c>
      <c r="B976" s="1" t="s">
        <v>6</v>
      </c>
      <c r="C976" s="1" t="s">
        <v>21</v>
      </c>
      <c r="D976" s="2">
        <v>1559</v>
      </c>
      <c r="E976" s="2">
        <v>18569</v>
      </c>
      <c r="F976" s="4">
        <v>56223</v>
      </c>
    </row>
    <row r="977" spans="1:6" x14ac:dyDescent="0.3">
      <c r="A977" s="3">
        <v>2018</v>
      </c>
      <c r="B977" s="1" t="s">
        <v>6</v>
      </c>
      <c r="C977" s="1" t="s">
        <v>22</v>
      </c>
      <c r="D977" s="2">
        <v>3089</v>
      </c>
      <c r="E977" s="2">
        <v>43598</v>
      </c>
      <c r="F977" s="4">
        <v>84277</v>
      </c>
    </row>
    <row r="978" spans="1:6" x14ac:dyDescent="0.3">
      <c r="A978" s="3">
        <v>2018</v>
      </c>
      <c r="B978" s="1" t="s">
        <v>6</v>
      </c>
      <c r="C978" s="1" t="s">
        <v>23</v>
      </c>
      <c r="D978" s="2">
        <v>1372</v>
      </c>
      <c r="E978" s="2">
        <v>7143</v>
      </c>
      <c r="F978" s="4">
        <v>41187</v>
      </c>
    </row>
    <row r="979" spans="1:6" x14ac:dyDescent="0.3">
      <c r="A979" s="3">
        <v>2018</v>
      </c>
      <c r="B979" s="1" t="s">
        <v>6</v>
      </c>
      <c r="C979" s="1" t="s">
        <v>24</v>
      </c>
      <c r="D979" s="1">
        <v>723</v>
      </c>
      <c r="E979" s="2">
        <v>6447</v>
      </c>
      <c r="F979" s="4">
        <v>43100</v>
      </c>
    </row>
    <row r="980" spans="1:6" x14ac:dyDescent="0.3">
      <c r="A980" s="3">
        <v>2018</v>
      </c>
      <c r="B980" s="1" t="s">
        <v>6</v>
      </c>
      <c r="C980" s="1" t="s">
        <v>25</v>
      </c>
      <c r="D980" s="1">
        <v>985</v>
      </c>
      <c r="E980" s="2">
        <v>9626</v>
      </c>
      <c r="F980" s="4">
        <v>61244</v>
      </c>
    </row>
    <row r="981" spans="1:6" x14ac:dyDescent="0.3">
      <c r="A981" s="3">
        <v>2018</v>
      </c>
      <c r="B981" s="1" t="s">
        <v>6</v>
      </c>
      <c r="C981" s="1" t="s">
        <v>26</v>
      </c>
      <c r="D981" s="2">
        <v>3282</v>
      </c>
      <c r="E981" s="2">
        <v>35874</v>
      </c>
      <c r="F981" s="4">
        <v>40516</v>
      </c>
    </row>
    <row r="982" spans="1:6" x14ac:dyDescent="0.3">
      <c r="A982" s="3">
        <v>2018</v>
      </c>
      <c r="B982" s="1" t="s">
        <v>6</v>
      </c>
      <c r="C982" s="1" t="s">
        <v>27</v>
      </c>
      <c r="D982" s="2">
        <v>3071</v>
      </c>
      <c r="E982" s="2">
        <v>27642</v>
      </c>
      <c r="F982" s="4">
        <v>50521</v>
      </c>
    </row>
    <row r="983" spans="1:6" x14ac:dyDescent="0.3">
      <c r="A983" s="3">
        <v>2018</v>
      </c>
      <c r="B983" s="1" t="s">
        <v>6</v>
      </c>
      <c r="C983" s="1" t="s">
        <v>28</v>
      </c>
      <c r="D983" s="2">
        <v>2153</v>
      </c>
      <c r="E983" s="2">
        <v>16234</v>
      </c>
      <c r="F983" s="4">
        <v>47028</v>
      </c>
    </row>
    <row r="984" spans="1:6" x14ac:dyDescent="0.3">
      <c r="A984" s="3">
        <v>2018</v>
      </c>
      <c r="B984" s="1" t="s">
        <v>6</v>
      </c>
      <c r="C984" s="1" t="s">
        <v>29</v>
      </c>
      <c r="D984" s="2">
        <v>1935</v>
      </c>
      <c r="E984" s="2">
        <v>16642</v>
      </c>
      <c r="F984" s="4">
        <v>43331</v>
      </c>
    </row>
    <row r="985" spans="1:6" x14ac:dyDescent="0.3">
      <c r="A985" s="3">
        <v>2018</v>
      </c>
      <c r="B985" s="1" t="s">
        <v>6</v>
      </c>
      <c r="C985" s="1" t="s">
        <v>30</v>
      </c>
      <c r="D985" s="2">
        <v>1771</v>
      </c>
      <c r="E985" s="2">
        <v>12503</v>
      </c>
      <c r="F985" s="4">
        <v>67090</v>
      </c>
    </row>
    <row r="986" spans="1:6" x14ac:dyDescent="0.3">
      <c r="A986" s="3">
        <v>2018</v>
      </c>
      <c r="B986" s="1" t="s">
        <v>6</v>
      </c>
      <c r="C986" s="1" t="s">
        <v>31</v>
      </c>
      <c r="D986" s="2">
        <v>2378</v>
      </c>
      <c r="E986" s="2">
        <v>15823</v>
      </c>
      <c r="F986" s="4">
        <v>41084</v>
      </c>
    </row>
    <row r="987" spans="1:6" x14ac:dyDescent="0.3">
      <c r="A987" s="3">
        <v>2018</v>
      </c>
      <c r="B987" s="1" t="s">
        <v>6</v>
      </c>
      <c r="C987" s="1" t="s">
        <v>32</v>
      </c>
      <c r="D987" s="1">
        <v>641</v>
      </c>
      <c r="E987" s="2">
        <v>19336</v>
      </c>
      <c r="F987" s="4">
        <v>82872</v>
      </c>
    </row>
    <row r="988" spans="1:6" x14ac:dyDescent="0.3">
      <c r="A988" s="3">
        <v>2018</v>
      </c>
      <c r="B988" s="1" t="s">
        <v>6</v>
      </c>
      <c r="C988" s="1" t="s">
        <v>33</v>
      </c>
      <c r="D988" s="1">
        <v>344</v>
      </c>
      <c r="E988" s="2">
        <v>2619</v>
      </c>
      <c r="F988" s="4">
        <v>42081</v>
      </c>
    </row>
    <row r="989" spans="1:6" x14ac:dyDescent="0.3">
      <c r="A989" s="3">
        <v>2018</v>
      </c>
      <c r="B989" s="1" t="s">
        <v>6</v>
      </c>
      <c r="C989" s="1" t="s">
        <v>34</v>
      </c>
      <c r="D989" s="2">
        <v>1003</v>
      </c>
      <c r="E989" s="2">
        <v>12165</v>
      </c>
      <c r="F989" s="4">
        <v>39981</v>
      </c>
    </row>
    <row r="990" spans="1:6" x14ac:dyDescent="0.3">
      <c r="A990" s="3">
        <v>2018</v>
      </c>
      <c r="B990" s="1" t="s">
        <v>6</v>
      </c>
      <c r="C990" s="1" t="s">
        <v>35</v>
      </c>
      <c r="D990" s="2">
        <v>2007</v>
      </c>
      <c r="E990" s="2">
        <v>35856</v>
      </c>
      <c r="F990" s="4">
        <v>64393</v>
      </c>
    </row>
    <row r="991" spans="1:6" x14ac:dyDescent="0.3">
      <c r="A991" s="3">
        <v>2018</v>
      </c>
      <c r="B991" s="1" t="s">
        <v>6</v>
      </c>
      <c r="C991" s="1" t="s">
        <v>36</v>
      </c>
      <c r="D991" s="2">
        <v>3062</v>
      </c>
      <c r="E991" s="2">
        <v>31787</v>
      </c>
      <c r="F991" s="4">
        <v>41230</v>
      </c>
    </row>
    <row r="992" spans="1:6" x14ac:dyDescent="0.3">
      <c r="A992" s="3">
        <v>2018</v>
      </c>
      <c r="B992" s="1" t="s">
        <v>6</v>
      </c>
      <c r="C992" s="1" t="s">
        <v>37</v>
      </c>
      <c r="D992" s="2">
        <v>3330</v>
      </c>
      <c r="E992" s="2">
        <v>30208</v>
      </c>
      <c r="F992" s="4">
        <v>39062</v>
      </c>
    </row>
    <row r="993" spans="1:6" x14ac:dyDescent="0.3">
      <c r="A993" s="3">
        <v>2018</v>
      </c>
      <c r="B993" s="1" t="s">
        <v>6</v>
      </c>
      <c r="C993" s="1" t="s">
        <v>38</v>
      </c>
      <c r="D993" s="2">
        <v>1766</v>
      </c>
      <c r="E993" s="2">
        <v>25422</v>
      </c>
      <c r="F993" s="4">
        <v>95073</v>
      </c>
    </row>
    <row r="994" spans="1:6" x14ac:dyDescent="0.3">
      <c r="A994" s="3">
        <v>2018</v>
      </c>
      <c r="B994" s="1" t="s">
        <v>6</v>
      </c>
      <c r="C994" s="1" t="s">
        <v>39</v>
      </c>
      <c r="D994" s="2">
        <v>2470</v>
      </c>
      <c r="E994" s="2">
        <v>28520</v>
      </c>
      <c r="F994" s="4">
        <v>51145</v>
      </c>
    </row>
    <row r="995" spans="1:6" x14ac:dyDescent="0.3">
      <c r="A995" s="3">
        <v>2018</v>
      </c>
      <c r="B995" s="1" t="s">
        <v>6</v>
      </c>
      <c r="C995" s="1" t="s">
        <v>40</v>
      </c>
      <c r="D995" s="2">
        <v>4348</v>
      </c>
      <c r="E995" s="2">
        <v>64020</v>
      </c>
      <c r="F995" s="4">
        <v>91135</v>
      </c>
    </row>
    <row r="996" spans="1:6" x14ac:dyDescent="0.3">
      <c r="A996" s="3">
        <v>2018</v>
      </c>
      <c r="B996" s="1" t="s">
        <v>6</v>
      </c>
      <c r="C996" s="1" t="s">
        <v>41</v>
      </c>
      <c r="D996" s="2">
        <v>4560</v>
      </c>
      <c r="E996" s="2">
        <v>53530</v>
      </c>
      <c r="F996" s="4">
        <v>37495</v>
      </c>
    </row>
    <row r="997" spans="1:6" x14ac:dyDescent="0.3">
      <c r="A997" s="3">
        <v>2018</v>
      </c>
      <c r="B997" s="1" t="s">
        <v>6</v>
      </c>
      <c r="C997" s="1" t="s">
        <v>42</v>
      </c>
      <c r="D997" s="2">
        <v>3585</v>
      </c>
      <c r="E997" s="2">
        <v>52523</v>
      </c>
      <c r="F997" s="4">
        <v>62951</v>
      </c>
    </row>
    <row r="998" spans="1:6" x14ac:dyDescent="0.3">
      <c r="A998" s="3">
        <v>2018</v>
      </c>
      <c r="B998" s="1" t="s">
        <v>6</v>
      </c>
      <c r="C998" s="1" t="s">
        <v>43</v>
      </c>
      <c r="D998" s="1">
        <v>194</v>
      </c>
      <c r="E998" s="2">
        <v>1056</v>
      </c>
      <c r="F998" s="4">
        <v>39071</v>
      </c>
    </row>
    <row r="999" spans="1:6" x14ac:dyDescent="0.3">
      <c r="A999" s="3">
        <v>2018</v>
      </c>
      <c r="B999" s="1" t="s">
        <v>6</v>
      </c>
      <c r="C999" s="1" t="s">
        <v>44</v>
      </c>
      <c r="D999" s="2">
        <v>1286</v>
      </c>
      <c r="E999" s="2">
        <v>12662</v>
      </c>
      <c r="F999" s="4">
        <v>40536</v>
      </c>
    </row>
    <row r="1000" spans="1:6" x14ac:dyDescent="0.3">
      <c r="A1000" s="3">
        <v>2018</v>
      </c>
      <c r="B1000" s="1" t="s">
        <v>6</v>
      </c>
      <c r="C1000" s="1" t="s">
        <v>45</v>
      </c>
      <c r="D1000" s="2">
        <v>1047</v>
      </c>
      <c r="E1000" s="2">
        <v>6831</v>
      </c>
      <c r="F1000" s="4">
        <v>42904</v>
      </c>
    </row>
    <row r="1001" spans="1:6" x14ac:dyDescent="0.3">
      <c r="A1001" s="3">
        <v>2018</v>
      </c>
      <c r="B1001" s="1" t="s">
        <v>6</v>
      </c>
      <c r="C1001" s="1" t="s">
        <v>46</v>
      </c>
      <c r="D1001" s="2">
        <v>1099</v>
      </c>
      <c r="E1001" s="2">
        <v>11051</v>
      </c>
      <c r="F1001" s="4">
        <v>46634</v>
      </c>
    </row>
    <row r="1002" spans="1:6" x14ac:dyDescent="0.3">
      <c r="A1002" s="3">
        <v>2018</v>
      </c>
      <c r="B1002" s="1" t="s">
        <v>6</v>
      </c>
      <c r="C1002" s="1" t="s">
        <v>47</v>
      </c>
      <c r="D1002" s="2">
        <v>19761</v>
      </c>
      <c r="E1002" s="2">
        <v>304275</v>
      </c>
      <c r="F1002" s="4">
        <v>109449</v>
      </c>
    </row>
    <row r="1003" spans="1:6" x14ac:dyDescent="0.3">
      <c r="A1003" s="3">
        <v>2018</v>
      </c>
      <c r="B1003" s="1" t="s">
        <v>6</v>
      </c>
      <c r="C1003" s="1" t="s">
        <v>48</v>
      </c>
      <c r="D1003" s="2">
        <v>1002</v>
      </c>
      <c r="E1003" s="2">
        <v>15159</v>
      </c>
      <c r="F1003" s="4">
        <v>61171</v>
      </c>
    </row>
    <row r="1004" spans="1:6" x14ac:dyDescent="0.3">
      <c r="A1004" s="3">
        <v>2018</v>
      </c>
      <c r="B1004" s="1" t="s">
        <v>6</v>
      </c>
      <c r="C1004" s="1" t="s">
        <v>49</v>
      </c>
      <c r="D1004" s="1">
        <v>548</v>
      </c>
      <c r="E1004" s="2">
        <v>3930</v>
      </c>
      <c r="F1004" s="4">
        <v>38605</v>
      </c>
    </row>
    <row r="1005" spans="1:6" x14ac:dyDescent="0.3">
      <c r="A1005" s="3">
        <v>2018</v>
      </c>
      <c r="B1005" s="1" t="s">
        <v>6</v>
      </c>
      <c r="C1005" s="1" t="s">
        <v>50</v>
      </c>
      <c r="D1005" s="2">
        <v>2101</v>
      </c>
      <c r="E1005" s="2">
        <v>19281</v>
      </c>
      <c r="F1005" s="4">
        <v>47043</v>
      </c>
    </row>
    <row r="1006" spans="1:6" x14ac:dyDescent="0.3">
      <c r="A1006" s="3">
        <v>2018</v>
      </c>
      <c r="B1006" s="1" t="s">
        <v>6</v>
      </c>
      <c r="C1006" s="1" t="s">
        <v>51</v>
      </c>
      <c r="D1006" s="2">
        <v>7317</v>
      </c>
      <c r="E1006" s="2">
        <v>109210</v>
      </c>
      <c r="F1006" s="4">
        <v>33346</v>
      </c>
    </row>
    <row r="1007" spans="1:6" x14ac:dyDescent="0.3">
      <c r="A1007" s="3">
        <v>2018</v>
      </c>
      <c r="B1007" s="1" t="s">
        <v>6</v>
      </c>
      <c r="C1007" s="1" t="s">
        <v>52</v>
      </c>
      <c r="D1007" s="2">
        <v>1199</v>
      </c>
      <c r="E1007" s="2">
        <v>23481</v>
      </c>
      <c r="F1007" s="4">
        <v>80012</v>
      </c>
    </row>
    <row r="1008" spans="1:6" x14ac:dyDescent="0.3">
      <c r="A1008" s="3">
        <v>2018</v>
      </c>
      <c r="B1008" s="1" t="s">
        <v>6</v>
      </c>
      <c r="C1008" s="1" t="s">
        <v>53</v>
      </c>
      <c r="D1008" s="2">
        <v>2926</v>
      </c>
      <c r="E1008" s="2">
        <v>32257</v>
      </c>
      <c r="F1008" s="4">
        <v>39437</v>
      </c>
    </row>
    <row r="1009" spans="1:6" x14ac:dyDescent="0.3">
      <c r="A1009" s="3">
        <v>2018</v>
      </c>
      <c r="B1009" s="1" t="s">
        <v>6</v>
      </c>
      <c r="C1009" s="1" t="s">
        <v>54</v>
      </c>
      <c r="D1009" s="2">
        <v>1438</v>
      </c>
      <c r="E1009" s="2">
        <v>23488</v>
      </c>
      <c r="F1009" s="4">
        <v>83751</v>
      </c>
    </row>
    <row r="1010" spans="1:6" x14ac:dyDescent="0.3">
      <c r="A1010" s="3">
        <v>2018</v>
      </c>
      <c r="B1010" s="1" t="s">
        <v>55</v>
      </c>
      <c r="C1010" s="1" t="s">
        <v>7</v>
      </c>
      <c r="D1010" s="2">
        <v>9897</v>
      </c>
      <c r="E1010" s="2">
        <v>89207</v>
      </c>
      <c r="F1010" s="4">
        <v>53957</v>
      </c>
    </row>
    <row r="1011" spans="1:6" x14ac:dyDescent="0.3">
      <c r="A1011" s="3">
        <v>2018</v>
      </c>
      <c r="B1011" s="1" t="s">
        <v>55</v>
      </c>
      <c r="C1011" s="1" t="s">
        <v>8</v>
      </c>
      <c r="D1011" s="2">
        <v>12867</v>
      </c>
      <c r="E1011" s="2">
        <v>158251</v>
      </c>
      <c r="F1011" s="4">
        <v>55989</v>
      </c>
    </row>
    <row r="1012" spans="1:6" x14ac:dyDescent="0.3">
      <c r="A1012" s="3">
        <v>2018</v>
      </c>
      <c r="B1012" s="1" t="s">
        <v>55</v>
      </c>
      <c r="C1012" s="1" t="s">
        <v>9</v>
      </c>
      <c r="D1012" s="2">
        <v>6945</v>
      </c>
      <c r="E1012" s="2">
        <v>50848</v>
      </c>
      <c r="F1012" s="4">
        <v>47988</v>
      </c>
    </row>
    <row r="1013" spans="1:6" x14ac:dyDescent="0.3">
      <c r="A1013" s="3">
        <v>2018</v>
      </c>
      <c r="B1013" s="1" t="s">
        <v>55</v>
      </c>
      <c r="C1013" s="1" t="s">
        <v>10</v>
      </c>
      <c r="D1013" s="2">
        <v>80657</v>
      </c>
      <c r="E1013" s="2">
        <v>860278</v>
      </c>
      <c r="F1013" s="4">
        <v>70084</v>
      </c>
    </row>
    <row r="1014" spans="1:6" x14ac:dyDescent="0.3">
      <c r="A1014" s="3">
        <v>2018</v>
      </c>
      <c r="B1014" s="1" t="s">
        <v>55</v>
      </c>
      <c r="C1014" s="1" t="s">
        <v>11</v>
      </c>
      <c r="D1014" s="2">
        <v>19884</v>
      </c>
      <c r="E1014" s="2">
        <v>173096</v>
      </c>
      <c r="F1014" s="4">
        <v>62414</v>
      </c>
    </row>
    <row r="1015" spans="1:6" x14ac:dyDescent="0.3">
      <c r="A1015" s="3">
        <v>2018</v>
      </c>
      <c r="B1015" s="1" t="s">
        <v>55</v>
      </c>
      <c r="C1015" s="1" t="s">
        <v>12</v>
      </c>
      <c r="D1015" s="2">
        <v>9399</v>
      </c>
      <c r="E1015" s="2">
        <v>58769</v>
      </c>
      <c r="F1015" s="4">
        <v>69727</v>
      </c>
    </row>
    <row r="1016" spans="1:6" x14ac:dyDescent="0.3">
      <c r="A1016" s="3">
        <v>2018</v>
      </c>
      <c r="B1016" s="1" t="s">
        <v>55</v>
      </c>
      <c r="C1016" s="1" t="s">
        <v>13</v>
      </c>
      <c r="D1016" s="2">
        <v>2871</v>
      </c>
      <c r="E1016" s="2">
        <v>22192</v>
      </c>
      <c r="F1016" s="4">
        <v>59797</v>
      </c>
    </row>
    <row r="1017" spans="1:6" x14ac:dyDescent="0.3">
      <c r="A1017" s="3">
        <v>2018</v>
      </c>
      <c r="B1017" s="1" t="s">
        <v>55</v>
      </c>
      <c r="C1017" s="1" t="s">
        <v>14</v>
      </c>
      <c r="D1017" s="2">
        <v>70819</v>
      </c>
      <c r="E1017" s="2">
        <v>541083</v>
      </c>
      <c r="F1017" s="4">
        <v>51286</v>
      </c>
    </row>
    <row r="1018" spans="1:6" x14ac:dyDescent="0.3">
      <c r="A1018" s="3">
        <v>2018</v>
      </c>
      <c r="B1018" s="1" t="s">
        <v>55</v>
      </c>
      <c r="C1018" s="1" t="s">
        <v>15</v>
      </c>
      <c r="D1018" s="2">
        <v>20577</v>
      </c>
      <c r="E1018" s="2">
        <v>195221</v>
      </c>
      <c r="F1018" s="4">
        <v>61018</v>
      </c>
    </row>
    <row r="1019" spans="1:6" x14ac:dyDescent="0.3">
      <c r="A1019" s="3">
        <v>2018</v>
      </c>
      <c r="B1019" s="1" t="s">
        <v>55</v>
      </c>
      <c r="C1019" s="1" t="s">
        <v>16</v>
      </c>
      <c r="D1019" s="2">
        <v>8174</v>
      </c>
      <c r="E1019" s="2">
        <v>46827</v>
      </c>
      <c r="F1019" s="4">
        <v>44285</v>
      </c>
    </row>
    <row r="1020" spans="1:6" x14ac:dyDescent="0.3">
      <c r="A1020" s="3">
        <v>2018</v>
      </c>
      <c r="B1020" s="1" t="s">
        <v>55</v>
      </c>
      <c r="C1020" s="1" t="s">
        <v>17</v>
      </c>
      <c r="D1020" s="2">
        <v>32305</v>
      </c>
      <c r="E1020" s="2">
        <v>225991</v>
      </c>
      <c r="F1020" s="4">
        <v>71957</v>
      </c>
    </row>
    <row r="1021" spans="1:6" x14ac:dyDescent="0.3">
      <c r="A1021" s="3">
        <v>2018</v>
      </c>
      <c r="B1021" s="1" t="s">
        <v>55</v>
      </c>
      <c r="C1021" s="1" t="s">
        <v>18</v>
      </c>
      <c r="D1021" s="2">
        <v>15176</v>
      </c>
      <c r="E1021" s="2">
        <v>141028</v>
      </c>
      <c r="F1021" s="4">
        <v>58404</v>
      </c>
    </row>
    <row r="1022" spans="1:6" x14ac:dyDescent="0.3">
      <c r="A1022" s="3">
        <v>2018</v>
      </c>
      <c r="B1022" s="1" t="s">
        <v>55</v>
      </c>
      <c r="C1022" s="1" t="s">
        <v>19</v>
      </c>
      <c r="D1022" s="2">
        <v>9447</v>
      </c>
      <c r="E1022" s="2">
        <v>77230</v>
      </c>
      <c r="F1022" s="4">
        <v>57435</v>
      </c>
    </row>
    <row r="1023" spans="1:6" x14ac:dyDescent="0.3">
      <c r="A1023" s="3">
        <v>2018</v>
      </c>
      <c r="B1023" s="1" t="s">
        <v>55</v>
      </c>
      <c r="C1023" s="1" t="s">
        <v>20</v>
      </c>
      <c r="D1023" s="2">
        <v>7555</v>
      </c>
      <c r="E1023" s="2">
        <v>61206</v>
      </c>
      <c r="F1023" s="4">
        <v>54735</v>
      </c>
    </row>
    <row r="1024" spans="1:6" x14ac:dyDescent="0.3">
      <c r="A1024" s="3">
        <v>2018</v>
      </c>
      <c r="B1024" s="1" t="s">
        <v>55</v>
      </c>
      <c r="C1024" s="1" t="s">
        <v>21</v>
      </c>
      <c r="D1024" s="2">
        <v>9466</v>
      </c>
      <c r="E1024" s="2">
        <v>77934</v>
      </c>
      <c r="F1024" s="4">
        <v>53957</v>
      </c>
    </row>
    <row r="1025" spans="1:6" x14ac:dyDescent="0.3">
      <c r="A1025" s="3">
        <v>2018</v>
      </c>
      <c r="B1025" s="1" t="s">
        <v>55</v>
      </c>
      <c r="C1025" s="1" t="s">
        <v>22</v>
      </c>
      <c r="D1025" s="2">
        <v>10844</v>
      </c>
      <c r="E1025" s="2">
        <v>151993</v>
      </c>
      <c r="F1025" s="4">
        <v>63892</v>
      </c>
    </row>
    <row r="1026" spans="1:6" x14ac:dyDescent="0.3">
      <c r="A1026" s="3">
        <v>2018</v>
      </c>
      <c r="B1026" s="1" t="s">
        <v>55</v>
      </c>
      <c r="C1026" s="1" t="s">
        <v>23</v>
      </c>
      <c r="D1026" s="2">
        <v>5475</v>
      </c>
      <c r="E1026" s="2">
        <v>29285</v>
      </c>
      <c r="F1026" s="4">
        <v>49575</v>
      </c>
    </row>
    <row r="1027" spans="1:6" x14ac:dyDescent="0.3">
      <c r="A1027" s="3">
        <v>2018</v>
      </c>
      <c r="B1027" s="1" t="s">
        <v>55</v>
      </c>
      <c r="C1027" s="1" t="s">
        <v>24</v>
      </c>
      <c r="D1027" s="2">
        <v>16487</v>
      </c>
      <c r="E1027" s="2">
        <v>163210</v>
      </c>
      <c r="F1027" s="4">
        <v>65971</v>
      </c>
    </row>
    <row r="1028" spans="1:6" x14ac:dyDescent="0.3">
      <c r="A1028" s="3">
        <v>2018</v>
      </c>
      <c r="B1028" s="1" t="s">
        <v>55</v>
      </c>
      <c r="C1028" s="1" t="s">
        <v>25</v>
      </c>
      <c r="D1028" s="2">
        <v>21120</v>
      </c>
      <c r="E1028" s="2">
        <v>158656</v>
      </c>
      <c r="F1028" s="4">
        <v>78802</v>
      </c>
    </row>
    <row r="1029" spans="1:6" x14ac:dyDescent="0.3">
      <c r="A1029" s="3">
        <v>2018</v>
      </c>
      <c r="B1029" s="1" t="s">
        <v>55</v>
      </c>
      <c r="C1029" s="1" t="s">
        <v>26</v>
      </c>
      <c r="D1029" s="2">
        <v>19952</v>
      </c>
      <c r="E1029" s="2">
        <v>168632</v>
      </c>
      <c r="F1029" s="4">
        <v>62378</v>
      </c>
    </row>
    <row r="1030" spans="1:6" x14ac:dyDescent="0.3">
      <c r="A1030" s="3">
        <v>2018</v>
      </c>
      <c r="B1030" s="1" t="s">
        <v>55</v>
      </c>
      <c r="C1030" s="1" t="s">
        <v>27</v>
      </c>
      <c r="D1030" s="2">
        <v>16480</v>
      </c>
      <c r="E1030" s="2">
        <v>121665</v>
      </c>
      <c r="F1030" s="4">
        <v>67248</v>
      </c>
    </row>
    <row r="1031" spans="1:6" x14ac:dyDescent="0.3">
      <c r="A1031" s="3">
        <v>2018</v>
      </c>
      <c r="B1031" s="1" t="s">
        <v>55</v>
      </c>
      <c r="C1031" s="1" t="s">
        <v>28</v>
      </c>
      <c r="D1031" s="2">
        <v>5760</v>
      </c>
      <c r="E1031" s="2">
        <v>43911</v>
      </c>
      <c r="F1031" s="4">
        <v>50325</v>
      </c>
    </row>
    <row r="1032" spans="1:6" x14ac:dyDescent="0.3">
      <c r="A1032" s="3">
        <v>2018</v>
      </c>
      <c r="B1032" s="1" t="s">
        <v>55</v>
      </c>
      <c r="C1032" s="1" t="s">
        <v>29</v>
      </c>
      <c r="D1032" s="2">
        <v>14591</v>
      </c>
      <c r="E1032" s="2">
        <v>122662</v>
      </c>
      <c r="F1032" s="4">
        <v>59442</v>
      </c>
    </row>
    <row r="1033" spans="1:6" x14ac:dyDescent="0.3">
      <c r="A1033" s="3">
        <v>2018</v>
      </c>
      <c r="B1033" s="1" t="s">
        <v>55</v>
      </c>
      <c r="C1033" s="1" t="s">
        <v>30</v>
      </c>
      <c r="D1033" s="2">
        <v>6514</v>
      </c>
      <c r="E1033" s="2">
        <v>29077</v>
      </c>
      <c r="F1033" s="4">
        <v>52969</v>
      </c>
    </row>
    <row r="1034" spans="1:6" x14ac:dyDescent="0.3">
      <c r="A1034" s="3">
        <v>2018</v>
      </c>
      <c r="B1034" s="1" t="s">
        <v>55</v>
      </c>
      <c r="C1034" s="1" t="s">
        <v>31</v>
      </c>
      <c r="D1034" s="2">
        <v>7068</v>
      </c>
      <c r="E1034" s="2">
        <v>52320</v>
      </c>
      <c r="F1034" s="4">
        <v>51657</v>
      </c>
    </row>
    <row r="1035" spans="1:6" x14ac:dyDescent="0.3">
      <c r="A1035" s="3">
        <v>2018</v>
      </c>
      <c r="B1035" s="1" t="s">
        <v>55</v>
      </c>
      <c r="C1035" s="1" t="s">
        <v>32</v>
      </c>
      <c r="D1035" s="2">
        <v>5898</v>
      </c>
      <c r="E1035" s="2">
        <v>89125</v>
      </c>
      <c r="F1035" s="4">
        <v>61123</v>
      </c>
    </row>
    <row r="1036" spans="1:6" x14ac:dyDescent="0.3">
      <c r="A1036" s="3">
        <v>2018</v>
      </c>
      <c r="B1036" s="1" t="s">
        <v>55</v>
      </c>
      <c r="C1036" s="1" t="s">
        <v>33</v>
      </c>
      <c r="D1036" s="2">
        <v>4498</v>
      </c>
      <c r="E1036" s="2">
        <v>26890</v>
      </c>
      <c r="F1036" s="4">
        <v>62661</v>
      </c>
    </row>
    <row r="1037" spans="1:6" x14ac:dyDescent="0.3">
      <c r="A1037" s="3">
        <v>2018</v>
      </c>
      <c r="B1037" s="1" t="s">
        <v>55</v>
      </c>
      <c r="C1037" s="1" t="s">
        <v>34</v>
      </c>
      <c r="D1037" s="2">
        <v>22416</v>
      </c>
      <c r="E1037" s="2">
        <v>157147</v>
      </c>
      <c r="F1037" s="4">
        <v>72658</v>
      </c>
    </row>
    <row r="1038" spans="1:6" x14ac:dyDescent="0.3">
      <c r="A1038" s="3">
        <v>2018</v>
      </c>
      <c r="B1038" s="1" t="s">
        <v>55</v>
      </c>
      <c r="C1038" s="1" t="s">
        <v>35</v>
      </c>
      <c r="D1038" s="2">
        <v>5337</v>
      </c>
      <c r="E1038" s="2">
        <v>47224</v>
      </c>
      <c r="F1038" s="4">
        <v>49350</v>
      </c>
    </row>
    <row r="1039" spans="1:6" x14ac:dyDescent="0.3">
      <c r="A1039" s="3">
        <v>2018</v>
      </c>
      <c r="B1039" s="1" t="s">
        <v>55</v>
      </c>
      <c r="C1039" s="1" t="s">
        <v>36</v>
      </c>
      <c r="D1039" s="2">
        <v>50281</v>
      </c>
      <c r="E1039" s="2">
        <v>399629</v>
      </c>
      <c r="F1039" s="4">
        <v>73248</v>
      </c>
    </row>
    <row r="1040" spans="1:6" x14ac:dyDescent="0.3">
      <c r="A1040" s="3">
        <v>2018</v>
      </c>
      <c r="B1040" s="1" t="s">
        <v>55</v>
      </c>
      <c r="C1040" s="1" t="s">
        <v>37</v>
      </c>
      <c r="D1040" s="2">
        <v>26741</v>
      </c>
      <c r="E1040" s="2">
        <v>220692</v>
      </c>
      <c r="F1040" s="4">
        <v>54587</v>
      </c>
    </row>
    <row r="1041" spans="1:6" x14ac:dyDescent="0.3">
      <c r="A1041" s="3">
        <v>2018</v>
      </c>
      <c r="B1041" s="1" t="s">
        <v>55</v>
      </c>
      <c r="C1041" s="1" t="s">
        <v>38</v>
      </c>
      <c r="D1041" s="2">
        <v>3798</v>
      </c>
      <c r="E1041" s="2">
        <v>26002</v>
      </c>
      <c r="F1041" s="4">
        <v>64586</v>
      </c>
    </row>
    <row r="1042" spans="1:6" x14ac:dyDescent="0.3">
      <c r="A1042" s="3">
        <v>2018</v>
      </c>
      <c r="B1042" s="1" t="s">
        <v>55</v>
      </c>
      <c r="C1042" s="1" t="s">
        <v>39</v>
      </c>
      <c r="D1042" s="2">
        <v>23076</v>
      </c>
      <c r="E1042" s="2">
        <v>220709</v>
      </c>
      <c r="F1042" s="4">
        <v>61194</v>
      </c>
    </row>
    <row r="1043" spans="1:6" x14ac:dyDescent="0.3">
      <c r="A1043" s="3">
        <v>2018</v>
      </c>
      <c r="B1043" s="1" t="s">
        <v>55</v>
      </c>
      <c r="C1043" s="1" t="s">
        <v>40</v>
      </c>
      <c r="D1043" s="2">
        <v>9765</v>
      </c>
      <c r="E1043" s="2">
        <v>80295</v>
      </c>
      <c r="F1043" s="4">
        <v>52777</v>
      </c>
    </row>
    <row r="1044" spans="1:6" x14ac:dyDescent="0.3">
      <c r="A1044" s="3">
        <v>2018</v>
      </c>
      <c r="B1044" s="1" t="s">
        <v>55</v>
      </c>
      <c r="C1044" s="1" t="s">
        <v>41</v>
      </c>
      <c r="D1044" s="2">
        <v>14244</v>
      </c>
      <c r="E1044" s="2">
        <v>104561</v>
      </c>
      <c r="F1044" s="4">
        <v>60523</v>
      </c>
    </row>
    <row r="1045" spans="1:6" x14ac:dyDescent="0.3">
      <c r="A1045" s="3">
        <v>2018</v>
      </c>
      <c r="B1045" s="1" t="s">
        <v>55</v>
      </c>
      <c r="C1045" s="1" t="s">
        <v>42</v>
      </c>
      <c r="D1045" s="2">
        <v>28749</v>
      </c>
      <c r="E1045" s="2">
        <v>255910</v>
      </c>
      <c r="F1045" s="4">
        <v>66852</v>
      </c>
    </row>
    <row r="1046" spans="1:6" x14ac:dyDescent="0.3">
      <c r="A1046" s="3">
        <v>2018</v>
      </c>
      <c r="B1046" s="1" t="s">
        <v>55</v>
      </c>
      <c r="C1046" s="1" t="s">
        <v>43</v>
      </c>
      <c r="D1046" s="2">
        <v>3743</v>
      </c>
      <c r="E1046" s="2">
        <v>19229</v>
      </c>
      <c r="F1046" s="4">
        <v>61579</v>
      </c>
    </row>
    <row r="1047" spans="1:6" x14ac:dyDescent="0.3">
      <c r="A1047" s="3">
        <v>2018</v>
      </c>
      <c r="B1047" s="1" t="s">
        <v>55</v>
      </c>
      <c r="C1047" s="1" t="s">
        <v>44</v>
      </c>
      <c r="D1047" s="2">
        <v>12124</v>
      </c>
      <c r="E1047" s="2">
        <v>104324</v>
      </c>
      <c r="F1047" s="4">
        <v>52634</v>
      </c>
    </row>
    <row r="1048" spans="1:6" x14ac:dyDescent="0.3">
      <c r="A1048" s="3">
        <v>2018</v>
      </c>
      <c r="B1048" s="1" t="s">
        <v>55</v>
      </c>
      <c r="C1048" s="1" t="s">
        <v>45</v>
      </c>
      <c r="D1048" s="2">
        <v>3884</v>
      </c>
      <c r="E1048" s="2">
        <v>22971</v>
      </c>
      <c r="F1048" s="4">
        <v>48981</v>
      </c>
    </row>
    <row r="1049" spans="1:6" x14ac:dyDescent="0.3">
      <c r="A1049" s="3">
        <v>2018</v>
      </c>
      <c r="B1049" s="1" t="s">
        <v>55</v>
      </c>
      <c r="C1049" s="1" t="s">
        <v>46</v>
      </c>
      <c r="D1049" s="2">
        <v>12110</v>
      </c>
      <c r="E1049" s="2">
        <v>124488</v>
      </c>
      <c r="F1049" s="4">
        <v>57033</v>
      </c>
    </row>
    <row r="1050" spans="1:6" x14ac:dyDescent="0.3">
      <c r="A1050" s="3">
        <v>2018</v>
      </c>
      <c r="B1050" s="1" t="s">
        <v>55</v>
      </c>
      <c r="C1050" s="1" t="s">
        <v>47</v>
      </c>
      <c r="D1050" s="2">
        <v>51405</v>
      </c>
      <c r="E1050" s="2">
        <v>739156</v>
      </c>
      <c r="F1050" s="4">
        <v>65554</v>
      </c>
    </row>
    <row r="1051" spans="1:6" x14ac:dyDescent="0.3">
      <c r="A1051" s="3">
        <v>2018</v>
      </c>
      <c r="B1051" s="1" t="s">
        <v>55</v>
      </c>
      <c r="C1051" s="1" t="s">
        <v>48</v>
      </c>
      <c r="D1051" s="2">
        <v>11572</v>
      </c>
      <c r="E1051" s="2">
        <v>104339</v>
      </c>
      <c r="F1051" s="4">
        <v>51052</v>
      </c>
    </row>
    <row r="1052" spans="1:6" x14ac:dyDescent="0.3">
      <c r="A1052" s="3">
        <v>2018</v>
      </c>
      <c r="B1052" s="1" t="s">
        <v>55</v>
      </c>
      <c r="C1052" s="1" t="s">
        <v>49</v>
      </c>
      <c r="D1052" s="2">
        <v>2878</v>
      </c>
      <c r="E1052" s="2">
        <v>15262</v>
      </c>
      <c r="F1052" s="4">
        <v>51025</v>
      </c>
    </row>
    <row r="1053" spans="1:6" x14ac:dyDescent="0.3">
      <c r="A1053" s="3">
        <v>2018</v>
      </c>
      <c r="B1053" s="1" t="s">
        <v>55</v>
      </c>
      <c r="C1053" s="1" t="s">
        <v>50</v>
      </c>
      <c r="D1053" s="2">
        <v>21508</v>
      </c>
      <c r="E1053" s="2">
        <v>197292</v>
      </c>
      <c r="F1053" s="4">
        <v>58050</v>
      </c>
    </row>
    <row r="1054" spans="1:6" x14ac:dyDescent="0.3">
      <c r="A1054" s="3">
        <v>2018</v>
      </c>
      <c r="B1054" s="1" t="s">
        <v>55</v>
      </c>
      <c r="C1054" s="1" t="s">
        <v>51</v>
      </c>
      <c r="D1054" s="2">
        <v>26015</v>
      </c>
      <c r="E1054" s="2">
        <v>199867</v>
      </c>
      <c r="F1054" s="4">
        <v>64432</v>
      </c>
    </row>
    <row r="1055" spans="1:6" x14ac:dyDescent="0.3">
      <c r="A1055" s="3">
        <v>2018</v>
      </c>
      <c r="B1055" s="1" t="s">
        <v>55</v>
      </c>
      <c r="C1055" s="1" t="s">
        <v>52</v>
      </c>
      <c r="D1055" s="2">
        <v>4435</v>
      </c>
      <c r="E1055" s="2">
        <v>40126</v>
      </c>
      <c r="F1055" s="4">
        <v>72255</v>
      </c>
    </row>
    <row r="1056" spans="1:6" x14ac:dyDescent="0.3">
      <c r="A1056" s="3">
        <v>2018</v>
      </c>
      <c r="B1056" s="1" t="s">
        <v>55</v>
      </c>
      <c r="C1056" s="1" t="s">
        <v>53</v>
      </c>
      <c r="D1056" s="2">
        <v>14814</v>
      </c>
      <c r="E1056" s="2">
        <v>122396</v>
      </c>
      <c r="F1056" s="4">
        <v>62063</v>
      </c>
    </row>
    <row r="1057" spans="1:6" x14ac:dyDescent="0.3">
      <c r="A1057" s="3">
        <v>2018</v>
      </c>
      <c r="B1057" s="1" t="s">
        <v>55</v>
      </c>
      <c r="C1057" s="1" t="s">
        <v>54</v>
      </c>
      <c r="D1057" s="2">
        <v>3375</v>
      </c>
      <c r="E1057" s="2">
        <v>20253</v>
      </c>
      <c r="F1057" s="4">
        <v>53554</v>
      </c>
    </row>
    <row r="1058" spans="1:6" x14ac:dyDescent="0.3">
      <c r="A1058" s="3">
        <v>2018</v>
      </c>
      <c r="B1058" s="1" t="s">
        <v>56</v>
      </c>
      <c r="C1058" s="1" t="s">
        <v>7</v>
      </c>
      <c r="D1058" s="2">
        <v>5566</v>
      </c>
      <c r="E1058" s="2">
        <v>266798</v>
      </c>
      <c r="F1058" s="4">
        <v>57068</v>
      </c>
    </row>
    <row r="1059" spans="1:6" x14ac:dyDescent="0.3">
      <c r="A1059" s="3">
        <v>2018</v>
      </c>
      <c r="B1059" s="1" t="s">
        <v>56</v>
      </c>
      <c r="C1059" s="1" t="s">
        <v>8</v>
      </c>
      <c r="D1059" s="2">
        <v>4926</v>
      </c>
      <c r="E1059" s="2">
        <v>169675</v>
      </c>
      <c r="F1059" s="4">
        <v>76139</v>
      </c>
    </row>
    <row r="1060" spans="1:6" x14ac:dyDescent="0.3">
      <c r="A1060" s="3">
        <v>2018</v>
      </c>
      <c r="B1060" s="1" t="s">
        <v>56</v>
      </c>
      <c r="C1060" s="1" t="s">
        <v>9</v>
      </c>
      <c r="D1060" s="2">
        <v>2918</v>
      </c>
      <c r="E1060" s="2">
        <v>160597</v>
      </c>
      <c r="F1060" s="4">
        <v>47984</v>
      </c>
    </row>
    <row r="1061" spans="1:6" x14ac:dyDescent="0.3">
      <c r="A1061" s="3">
        <v>2018</v>
      </c>
      <c r="B1061" s="1" t="s">
        <v>56</v>
      </c>
      <c r="C1061" s="1" t="s">
        <v>10</v>
      </c>
      <c r="D1061" s="2">
        <v>44706</v>
      </c>
      <c r="E1061" s="2">
        <v>1320068</v>
      </c>
      <c r="F1061" s="4">
        <v>95627</v>
      </c>
    </row>
    <row r="1062" spans="1:6" x14ac:dyDescent="0.3">
      <c r="A1062" s="3">
        <v>2018</v>
      </c>
      <c r="B1062" s="1" t="s">
        <v>56</v>
      </c>
      <c r="C1062" s="1" t="s">
        <v>11</v>
      </c>
      <c r="D1062" s="2">
        <v>5804</v>
      </c>
      <c r="E1062" s="2">
        <v>147285</v>
      </c>
      <c r="F1062" s="4">
        <v>70677</v>
      </c>
    </row>
    <row r="1063" spans="1:6" x14ac:dyDescent="0.3">
      <c r="A1063" s="3">
        <v>2018</v>
      </c>
      <c r="B1063" s="1" t="s">
        <v>56</v>
      </c>
      <c r="C1063" s="1" t="s">
        <v>12</v>
      </c>
      <c r="D1063" s="2">
        <v>4408</v>
      </c>
      <c r="E1063" s="2">
        <v>160500</v>
      </c>
      <c r="F1063" s="4">
        <v>82569</v>
      </c>
    </row>
    <row r="1064" spans="1:6" x14ac:dyDescent="0.3">
      <c r="A1064" s="3">
        <v>2018</v>
      </c>
      <c r="B1064" s="1" t="s">
        <v>56</v>
      </c>
      <c r="C1064" s="1" t="s">
        <v>13</v>
      </c>
      <c r="D1064" s="1">
        <v>661</v>
      </c>
      <c r="E1064" s="2">
        <v>27077</v>
      </c>
      <c r="F1064" s="4">
        <v>64153</v>
      </c>
    </row>
    <row r="1065" spans="1:6" x14ac:dyDescent="0.3">
      <c r="A1065" s="3">
        <v>2018</v>
      </c>
      <c r="B1065" s="1" t="s">
        <v>56</v>
      </c>
      <c r="C1065" s="1" t="s">
        <v>14</v>
      </c>
      <c r="D1065" s="2">
        <v>20548</v>
      </c>
      <c r="E1065" s="2">
        <v>371590</v>
      </c>
      <c r="F1065" s="4">
        <v>61740</v>
      </c>
    </row>
    <row r="1066" spans="1:6" x14ac:dyDescent="0.3">
      <c r="A1066" s="3">
        <v>2018</v>
      </c>
      <c r="B1066" s="1" t="s">
        <v>56</v>
      </c>
      <c r="C1066" s="1" t="s">
        <v>15</v>
      </c>
      <c r="D1066" s="2">
        <v>9884</v>
      </c>
      <c r="E1066" s="2">
        <v>406818</v>
      </c>
      <c r="F1066" s="4">
        <v>59168</v>
      </c>
    </row>
    <row r="1067" spans="1:6" x14ac:dyDescent="0.3">
      <c r="A1067" s="3">
        <v>2018</v>
      </c>
      <c r="B1067" s="1" t="s">
        <v>56</v>
      </c>
      <c r="C1067" s="1" t="s">
        <v>16</v>
      </c>
      <c r="D1067" s="2">
        <v>2807</v>
      </c>
      <c r="E1067" s="2">
        <v>67792</v>
      </c>
      <c r="F1067" s="4">
        <v>63932</v>
      </c>
    </row>
    <row r="1068" spans="1:6" x14ac:dyDescent="0.3">
      <c r="A1068" s="3">
        <v>2018</v>
      </c>
      <c r="B1068" s="1" t="s">
        <v>56</v>
      </c>
      <c r="C1068" s="1" t="s">
        <v>17</v>
      </c>
      <c r="D1068" s="2">
        <v>17883</v>
      </c>
      <c r="E1068" s="2">
        <v>586130</v>
      </c>
      <c r="F1068" s="4">
        <v>71895</v>
      </c>
    </row>
    <row r="1069" spans="1:6" x14ac:dyDescent="0.3">
      <c r="A1069" s="3">
        <v>2018</v>
      </c>
      <c r="B1069" s="1" t="s">
        <v>56</v>
      </c>
      <c r="C1069" s="1" t="s">
        <v>18</v>
      </c>
      <c r="D1069" s="2">
        <v>8825</v>
      </c>
      <c r="E1069" s="2">
        <v>541836</v>
      </c>
      <c r="F1069" s="4">
        <v>62680</v>
      </c>
    </row>
    <row r="1070" spans="1:6" x14ac:dyDescent="0.3">
      <c r="A1070" s="3">
        <v>2018</v>
      </c>
      <c r="B1070" s="1" t="s">
        <v>56</v>
      </c>
      <c r="C1070" s="1" t="s">
        <v>19</v>
      </c>
      <c r="D1070" s="2">
        <v>4142</v>
      </c>
      <c r="E1070" s="2">
        <v>222586</v>
      </c>
      <c r="F1070" s="4">
        <v>60257</v>
      </c>
    </row>
    <row r="1071" spans="1:6" x14ac:dyDescent="0.3">
      <c r="A1071" s="3">
        <v>2018</v>
      </c>
      <c r="B1071" s="1" t="s">
        <v>56</v>
      </c>
      <c r="C1071" s="1" t="s">
        <v>20</v>
      </c>
      <c r="D1071" s="2">
        <v>3143</v>
      </c>
      <c r="E1071" s="2">
        <v>165056</v>
      </c>
      <c r="F1071" s="4">
        <v>59206</v>
      </c>
    </row>
    <row r="1072" spans="1:6" x14ac:dyDescent="0.3">
      <c r="A1072" s="3">
        <v>2018</v>
      </c>
      <c r="B1072" s="1" t="s">
        <v>56</v>
      </c>
      <c r="C1072" s="1" t="s">
        <v>21</v>
      </c>
      <c r="D1072" s="2">
        <v>4443</v>
      </c>
      <c r="E1072" s="2">
        <v>251454</v>
      </c>
      <c r="F1072" s="4">
        <v>59208</v>
      </c>
    </row>
    <row r="1073" spans="1:6" x14ac:dyDescent="0.3">
      <c r="A1073" s="3">
        <v>2018</v>
      </c>
      <c r="B1073" s="1" t="s">
        <v>56</v>
      </c>
      <c r="C1073" s="1" t="s">
        <v>22</v>
      </c>
      <c r="D1073" s="2">
        <v>4428</v>
      </c>
      <c r="E1073" s="2">
        <v>135510</v>
      </c>
      <c r="F1073" s="4">
        <v>75881</v>
      </c>
    </row>
    <row r="1074" spans="1:6" x14ac:dyDescent="0.3">
      <c r="A1074" s="3">
        <v>2018</v>
      </c>
      <c r="B1074" s="1" t="s">
        <v>56</v>
      </c>
      <c r="C1074" s="1" t="s">
        <v>23</v>
      </c>
      <c r="D1074" s="2">
        <v>1856</v>
      </c>
      <c r="E1074" s="2">
        <v>51836</v>
      </c>
      <c r="F1074" s="4">
        <v>55894</v>
      </c>
    </row>
    <row r="1075" spans="1:6" x14ac:dyDescent="0.3">
      <c r="A1075" s="3">
        <v>2018</v>
      </c>
      <c r="B1075" s="1" t="s">
        <v>56</v>
      </c>
      <c r="C1075" s="1" t="s">
        <v>24</v>
      </c>
      <c r="D1075" s="2">
        <v>4035</v>
      </c>
      <c r="E1075" s="2">
        <v>109683</v>
      </c>
      <c r="F1075" s="4">
        <v>78350</v>
      </c>
    </row>
    <row r="1076" spans="1:6" x14ac:dyDescent="0.3">
      <c r="A1076" s="3">
        <v>2018</v>
      </c>
      <c r="B1076" s="1" t="s">
        <v>56</v>
      </c>
      <c r="C1076" s="1" t="s">
        <v>25</v>
      </c>
      <c r="D1076" s="2">
        <v>6711</v>
      </c>
      <c r="E1076" s="2">
        <v>245091</v>
      </c>
      <c r="F1076" s="4">
        <v>88576</v>
      </c>
    </row>
    <row r="1077" spans="1:6" x14ac:dyDescent="0.3">
      <c r="A1077" s="3">
        <v>2018</v>
      </c>
      <c r="B1077" s="1" t="s">
        <v>56</v>
      </c>
      <c r="C1077" s="1" t="s">
        <v>26</v>
      </c>
      <c r="D1077" s="2">
        <v>16070</v>
      </c>
      <c r="E1077" s="2">
        <v>627751</v>
      </c>
      <c r="F1077" s="4">
        <v>67537</v>
      </c>
    </row>
    <row r="1078" spans="1:6" x14ac:dyDescent="0.3">
      <c r="A1078" s="3">
        <v>2018</v>
      </c>
      <c r="B1078" s="1" t="s">
        <v>56</v>
      </c>
      <c r="C1078" s="1" t="s">
        <v>27</v>
      </c>
      <c r="D1078" s="2">
        <v>8487</v>
      </c>
      <c r="E1078" s="2">
        <v>321908</v>
      </c>
      <c r="F1078" s="4">
        <v>67096</v>
      </c>
    </row>
    <row r="1079" spans="1:6" x14ac:dyDescent="0.3">
      <c r="A1079" s="3">
        <v>2018</v>
      </c>
      <c r="B1079" s="1" t="s">
        <v>56</v>
      </c>
      <c r="C1079" s="1" t="s">
        <v>28</v>
      </c>
      <c r="D1079" s="2">
        <v>2421</v>
      </c>
      <c r="E1079" s="2">
        <v>144816</v>
      </c>
      <c r="F1079" s="4">
        <v>49254</v>
      </c>
    </row>
    <row r="1080" spans="1:6" x14ac:dyDescent="0.3">
      <c r="A1080" s="3">
        <v>2018</v>
      </c>
      <c r="B1080" s="1" t="s">
        <v>56</v>
      </c>
      <c r="C1080" s="1" t="s">
        <v>29</v>
      </c>
      <c r="D1080" s="2">
        <v>6476</v>
      </c>
      <c r="E1080" s="2">
        <v>273163</v>
      </c>
      <c r="F1080" s="4">
        <v>58359</v>
      </c>
    </row>
    <row r="1081" spans="1:6" x14ac:dyDescent="0.3">
      <c r="A1081" s="3">
        <v>2018</v>
      </c>
      <c r="B1081" s="1" t="s">
        <v>56</v>
      </c>
      <c r="C1081" s="1" t="s">
        <v>30</v>
      </c>
      <c r="D1081" s="2">
        <v>1634</v>
      </c>
      <c r="E1081" s="2">
        <v>20560</v>
      </c>
      <c r="F1081" s="4">
        <v>50194</v>
      </c>
    </row>
    <row r="1082" spans="1:6" x14ac:dyDescent="0.3">
      <c r="A1082" s="3">
        <v>2018</v>
      </c>
      <c r="B1082" s="1" t="s">
        <v>56</v>
      </c>
      <c r="C1082" s="1" t="s">
        <v>31</v>
      </c>
      <c r="D1082" s="2">
        <v>1988</v>
      </c>
      <c r="E1082" s="2">
        <v>99807</v>
      </c>
      <c r="F1082" s="4">
        <v>51566</v>
      </c>
    </row>
    <row r="1083" spans="1:6" x14ac:dyDescent="0.3">
      <c r="A1083" s="3">
        <v>2018</v>
      </c>
      <c r="B1083" s="1" t="s">
        <v>56</v>
      </c>
      <c r="C1083" s="1" t="s">
        <v>32</v>
      </c>
      <c r="D1083" s="2">
        <v>2066</v>
      </c>
      <c r="E1083" s="2">
        <v>55405</v>
      </c>
      <c r="F1083" s="4">
        <v>58543</v>
      </c>
    </row>
    <row r="1084" spans="1:6" x14ac:dyDescent="0.3">
      <c r="A1084" s="3">
        <v>2018</v>
      </c>
      <c r="B1084" s="1" t="s">
        <v>56</v>
      </c>
      <c r="C1084" s="1" t="s">
        <v>33</v>
      </c>
      <c r="D1084" s="2">
        <v>2032</v>
      </c>
      <c r="E1084" s="2">
        <v>70582</v>
      </c>
      <c r="F1084" s="4">
        <v>71722</v>
      </c>
    </row>
    <row r="1085" spans="1:6" x14ac:dyDescent="0.3">
      <c r="A1085" s="3">
        <v>2018</v>
      </c>
      <c r="B1085" s="1" t="s">
        <v>56</v>
      </c>
      <c r="C1085" s="1" t="s">
        <v>34</v>
      </c>
      <c r="D1085" s="2">
        <v>8976</v>
      </c>
      <c r="E1085" s="2">
        <v>245593</v>
      </c>
      <c r="F1085" s="4">
        <v>80088</v>
      </c>
    </row>
    <row r="1086" spans="1:6" x14ac:dyDescent="0.3">
      <c r="A1086" s="3">
        <v>2018</v>
      </c>
      <c r="B1086" s="1" t="s">
        <v>56</v>
      </c>
      <c r="C1086" s="1" t="s">
        <v>35</v>
      </c>
      <c r="D1086" s="2">
        <v>1768</v>
      </c>
      <c r="E1086" s="2">
        <v>27145</v>
      </c>
      <c r="F1086" s="4">
        <v>53139</v>
      </c>
    </row>
    <row r="1087" spans="1:6" x14ac:dyDescent="0.3">
      <c r="A1087" s="3">
        <v>2018</v>
      </c>
      <c r="B1087" s="1" t="s">
        <v>56</v>
      </c>
      <c r="C1087" s="1" t="s">
        <v>36</v>
      </c>
      <c r="D1087" s="2">
        <v>16910</v>
      </c>
      <c r="E1087" s="2">
        <v>441590</v>
      </c>
      <c r="F1087" s="4">
        <v>67614</v>
      </c>
    </row>
    <row r="1088" spans="1:6" x14ac:dyDescent="0.3">
      <c r="A1088" s="3">
        <v>2018</v>
      </c>
      <c r="B1088" s="1" t="s">
        <v>56</v>
      </c>
      <c r="C1088" s="1" t="s">
        <v>37</v>
      </c>
      <c r="D1088" s="2">
        <v>10219</v>
      </c>
      <c r="E1088" s="2">
        <v>474932</v>
      </c>
      <c r="F1088" s="4">
        <v>59827</v>
      </c>
    </row>
    <row r="1089" spans="1:6" x14ac:dyDescent="0.3">
      <c r="A1089" s="3">
        <v>2018</v>
      </c>
      <c r="B1089" s="1" t="s">
        <v>56</v>
      </c>
      <c r="C1089" s="1" t="s">
        <v>38</v>
      </c>
      <c r="D1089" s="1">
        <v>807</v>
      </c>
      <c r="E1089" s="2">
        <v>25906</v>
      </c>
      <c r="F1089" s="4">
        <v>53882</v>
      </c>
    </row>
    <row r="1090" spans="1:6" x14ac:dyDescent="0.3">
      <c r="A1090" s="3">
        <v>2018</v>
      </c>
      <c r="B1090" s="1" t="s">
        <v>56</v>
      </c>
      <c r="C1090" s="1" t="s">
        <v>39</v>
      </c>
      <c r="D1090" s="2">
        <v>15409</v>
      </c>
      <c r="E1090" s="2">
        <v>698950</v>
      </c>
      <c r="F1090" s="4">
        <v>61487</v>
      </c>
    </row>
    <row r="1091" spans="1:6" x14ac:dyDescent="0.3">
      <c r="A1091" s="3">
        <v>2018</v>
      </c>
      <c r="B1091" s="1" t="s">
        <v>56</v>
      </c>
      <c r="C1091" s="1" t="s">
        <v>40</v>
      </c>
      <c r="D1091" s="2">
        <v>4164</v>
      </c>
      <c r="E1091" s="2">
        <v>137739</v>
      </c>
      <c r="F1091" s="4">
        <v>58770</v>
      </c>
    </row>
    <row r="1092" spans="1:6" x14ac:dyDescent="0.3">
      <c r="A1092" s="3">
        <v>2018</v>
      </c>
      <c r="B1092" s="1" t="s">
        <v>56</v>
      </c>
      <c r="C1092" s="1" t="s">
        <v>41</v>
      </c>
      <c r="D1092" s="2">
        <v>6240</v>
      </c>
      <c r="E1092" s="2">
        <v>194693</v>
      </c>
      <c r="F1092" s="4">
        <v>70641</v>
      </c>
    </row>
    <row r="1093" spans="1:6" x14ac:dyDescent="0.3">
      <c r="A1093" s="3">
        <v>2018</v>
      </c>
      <c r="B1093" s="1" t="s">
        <v>56</v>
      </c>
      <c r="C1093" s="1" t="s">
        <v>42</v>
      </c>
      <c r="D1093" s="2">
        <v>14407</v>
      </c>
      <c r="E1093" s="2">
        <v>569811</v>
      </c>
      <c r="F1093" s="4">
        <v>62561</v>
      </c>
    </row>
    <row r="1094" spans="1:6" x14ac:dyDescent="0.3">
      <c r="A1094" s="3">
        <v>2018</v>
      </c>
      <c r="B1094" s="1" t="s">
        <v>56</v>
      </c>
      <c r="C1094" s="1" t="s">
        <v>43</v>
      </c>
      <c r="D1094" s="2">
        <v>1572</v>
      </c>
      <c r="E1094" s="2">
        <v>40340</v>
      </c>
      <c r="F1094" s="4">
        <v>58468</v>
      </c>
    </row>
    <row r="1095" spans="1:6" x14ac:dyDescent="0.3">
      <c r="A1095" s="3">
        <v>2018</v>
      </c>
      <c r="B1095" s="1" t="s">
        <v>56</v>
      </c>
      <c r="C1095" s="1" t="s">
        <v>44</v>
      </c>
      <c r="D1095" s="2">
        <v>6087</v>
      </c>
      <c r="E1095" s="2">
        <v>249719</v>
      </c>
      <c r="F1095" s="4">
        <v>59522</v>
      </c>
    </row>
    <row r="1096" spans="1:6" x14ac:dyDescent="0.3">
      <c r="A1096" s="3">
        <v>2018</v>
      </c>
      <c r="B1096" s="1" t="s">
        <v>56</v>
      </c>
      <c r="C1096" s="1" t="s">
        <v>45</v>
      </c>
      <c r="D1096" s="2">
        <v>1084</v>
      </c>
      <c r="E1096" s="2">
        <v>44442</v>
      </c>
      <c r="F1096" s="4">
        <v>49320</v>
      </c>
    </row>
    <row r="1097" spans="1:6" x14ac:dyDescent="0.3">
      <c r="A1097" s="3">
        <v>2018</v>
      </c>
      <c r="B1097" s="1" t="s">
        <v>56</v>
      </c>
      <c r="C1097" s="1" t="s">
        <v>46</v>
      </c>
      <c r="D1097" s="2">
        <v>7051</v>
      </c>
      <c r="E1097" s="2">
        <v>351073</v>
      </c>
      <c r="F1097" s="4">
        <v>59495</v>
      </c>
    </row>
    <row r="1098" spans="1:6" x14ac:dyDescent="0.3">
      <c r="A1098" s="3">
        <v>2018</v>
      </c>
      <c r="B1098" s="1" t="s">
        <v>56</v>
      </c>
      <c r="C1098" s="1" t="s">
        <v>47</v>
      </c>
      <c r="D1098" s="2">
        <v>24758</v>
      </c>
      <c r="E1098" s="2">
        <v>879509</v>
      </c>
      <c r="F1098" s="4">
        <v>77648</v>
      </c>
    </row>
    <row r="1099" spans="1:6" x14ac:dyDescent="0.3">
      <c r="A1099" s="3">
        <v>2018</v>
      </c>
      <c r="B1099" s="1" t="s">
        <v>56</v>
      </c>
      <c r="C1099" s="1" t="s">
        <v>48</v>
      </c>
      <c r="D1099" s="2">
        <v>4386</v>
      </c>
      <c r="E1099" s="2">
        <v>132149</v>
      </c>
      <c r="F1099" s="4">
        <v>58006</v>
      </c>
    </row>
    <row r="1100" spans="1:6" x14ac:dyDescent="0.3">
      <c r="A1100" s="3">
        <v>2018</v>
      </c>
      <c r="B1100" s="1" t="s">
        <v>56</v>
      </c>
      <c r="C1100" s="1" t="s">
        <v>49</v>
      </c>
      <c r="D1100" s="2">
        <v>1108</v>
      </c>
      <c r="E1100" s="2">
        <v>29827</v>
      </c>
      <c r="F1100" s="4">
        <v>59390</v>
      </c>
    </row>
    <row r="1101" spans="1:6" x14ac:dyDescent="0.3">
      <c r="A1101" s="3">
        <v>2018</v>
      </c>
      <c r="B1101" s="1" t="s">
        <v>56</v>
      </c>
      <c r="C1101" s="1" t="s">
        <v>50</v>
      </c>
      <c r="D1101" s="2">
        <v>6750</v>
      </c>
      <c r="E1101" s="2">
        <v>238645</v>
      </c>
      <c r="F1101" s="4">
        <v>59974</v>
      </c>
    </row>
    <row r="1102" spans="1:6" x14ac:dyDescent="0.3">
      <c r="A1102" s="3">
        <v>2018</v>
      </c>
      <c r="B1102" s="1" t="s">
        <v>56</v>
      </c>
      <c r="C1102" s="1" t="s">
        <v>51</v>
      </c>
      <c r="D1102" s="2">
        <v>7798</v>
      </c>
      <c r="E1102" s="2">
        <v>284112</v>
      </c>
      <c r="F1102" s="4">
        <v>79321</v>
      </c>
    </row>
    <row r="1103" spans="1:6" x14ac:dyDescent="0.3">
      <c r="A1103" s="3">
        <v>2018</v>
      </c>
      <c r="B1103" s="1" t="s">
        <v>56</v>
      </c>
      <c r="C1103" s="1" t="s">
        <v>52</v>
      </c>
      <c r="D1103" s="2">
        <v>1268</v>
      </c>
      <c r="E1103" s="2">
        <v>46952</v>
      </c>
      <c r="F1103" s="4">
        <v>60459</v>
      </c>
    </row>
    <row r="1104" spans="1:6" x14ac:dyDescent="0.3">
      <c r="A1104" s="3">
        <v>2018</v>
      </c>
      <c r="B1104" s="1" t="s">
        <v>56</v>
      </c>
      <c r="C1104" s="1" t="s">
        <v>53</v>
      </c>
      <c r="D1104" s="2">
        <v>9432</v>
      </c>
      <c r="E1104" s="2">
        <v>475510</v>
      </c>
      <c r="F1104" s="4">
        <v>58047</v>
      </c>
    </row>
    <row r="1105" spans="1:6" x14ac:dyDescent="0.3">
      <c r="A1105" s="3">
        <v>2018</v>
      </c>
      <c r="B1105" s="1" t="s">
        <v>56</v>
      </c>
      <c r="C1105" s="1" t="s">
        <v>54</v>
      </c>
      <c r="D1105" s="1">
        <v>600</v>
      </c>
      <c r="E1105" s="2">
        <v>9721</v>
      </c>
      <c r="F1105" s="4">
        <v>67060</v>
      </c>
    </row>
    <row r="1106" spans="1:6" x14ac:dyDescent="0.3">
      <c r="A1106" s="3">
        <v>2018</v>
      </c>
      <c r="B1106" s="1" t="s">
        <v>57</v>
      </c>
      <c r="C1106" s="1" t="s">
        <v>7</v>
      </c>
      <c r="D1106" s="2">
        <v>32481</v>
      </c>
      <c r="E1106" s="2">
        <v>377561</v>
      </c>
      <c r="F1106" s="4">
        <v>41970</v>
      </c>
    </row>
    <row r="1107" spans="1:6" x14ac:dyDescent="0.3">
      <c r="A1107" s="3">
        <v>2018</v>
      </c>
      <c r="B1107" s="1" t="s">
        <v>57</v>
      </c>
      <c r="C1107" s="1" t="s">
        <v>8</v>
      </c>
      <c r="D1107" s="2">
        <v>31775</v>
      </c>
      <c r="E1107" s="2">
        <v>532318</v>
      </c>
      <c r="F1107" s="4">
        <v>46734</v>
      </c>
    </row>
    <row r="1108" spans="1:6" x14ac:dyDescent="0.3">
      <c r="A1108" s="3">
        <v>2018</v>
      </c>
      <c r="B1108" s="1" t="s">
        <v>57</v>
      </c>
      <c r="C1108" s="1" t="s">
        <v>9</v>
      </c>
      <c r="D1108" s="2">
        <v>21642</v>
      </c>
      <c r="E1108" s="2">
        <v>248584</v>
      </c>
      <c r="F1108" s="4">
        <v>41450</v>
      </c>
    </row>
    <row r="1109" spans="1:6" x14ac:dyDescent="0.3">
      <c r="A1109" s="3">
        <v>2018</v>
      </c>
      <c r="B1109" s="1" t="s">
        <v>57</v>
      </c>
      <c r="C1109" s="1" t="s">
        <v>10</v>
      </c>
      <c r="D1109" s="2">
        <v>196511</v>
      </c>
      <c r="E1109" s="2">
        <v>3033009</v>
      </c>
      <c r="F1109" s="4">
        <v>52020</v>
      </c>
    </row>
    <row r="1110" spans="1:6" x14ac:dyDescent="0.3">
      <c r="A1110" s="3">
        <v>2018</v>
      </c>
      <c r="B1110" s="1" t="s">
        <v>57</v>
      </c>
      <c r="C1110" s="1" t="s">
        <v>11</v>
      </c>
      <c r="D1110" s="2">
        <v>35891</v>
      </c>
      <c r="E1110" s="2">
        <v>466602</v>
      </c>
      <c r="F1110" s="4">
        <v>50043</v>
      </c>
    </row>
    <row r="1111" spans="1:6" x14ac:dyDescent="0.3">
      <c r="A1111" s="3">
        <v>2018</v>
      </c>
      <c r="B1111" s="1" t="s">
        <v>57</v>
      </c>
      <c r="C1111" s="1" t="s">
        <v>12</v>
      </c>
      <c r="D1111" s="2">
        <v>24902</v>
      </c>
      <c r="E1111" s="2">
        <v>296173</v>
      </c>
      <c r="F1111" s="4">
        <v>51041</v>
      </c>
    </row>
    <row r="1112" spans="1:6" x14ac:dyDescent="0.3">
      <c r="A1112" s="3">
        <v>2018</v>
      </c>
      <c r="B1112" s="1" t="s">
        <v>57</v>
      </c>
      <c r="C1112" s="1" t="s">
        <v>13</v>
      </c>
      <c r="D1112" s="2">
        <v>6850</v>
      </c>
      <c r="E1112" s="2">
        <v>79300</v>
      </c>
      <c r="F1112" s="4">
        <v>40843</v>
      </c>
    </row>
    <row r="1113" spans="1:6" x14ac:dyDescent="0.3">
      <c r="A1113" s="3">
        <v>2018</v>
      </c>
      <c r="B1113" s="1" t="s">
        <v>57</v>
      </c>
      <c r="C1113" s="1" t="s">
        <v>14</v>
      </c>
      <c r="D1113" s="2">
        <v>139486</v>
      </c>
      <c r="E1113" s="2">
        <v>1772605</v>
      </c>
      <c r="F1113" s="4">
        <v>44766</v>
      </c>
    </row>
    <row r="1114" spans="1:6" x14ac:dyDescent="0.3">
      <c r="A1114" s="3">
        <v>2018</v>
      </c>
      <c r="B1114" s="1" t="s">
        <v>57</v>
      </c>
      <c r="C1114" s="1" t="s">
        <v>15</v>
      </c>
      <c r="D1114" s="2">
        <v>60996</v>
      </c>
      <c r="E1114" s="2">
        <v>934259</v>
      </c>
      <c r="F1114" s="4">
        <v>49352</v>
      </c>
    </row>
    <row r="1115" spans="1:6" x14ac:dyDescent="0.3">
      <c r="A1115" s="3">
        <v>2018</v>
      </c>
      <c r="B1115" s="1" t="s">
        <v>57</v>
      </c>
      <c r="C1115" s="1" t="s">
        <v>16</v>
      </c>
      <c r="D1115" s="2">
        <v>11969</v>
      </c>
      <c r="E1115" s="2">
        <v>139473</v>
      </c>
      <c r="F1115" s="4">
        <v>39972</v>
      </c>
    </row>
    <row r="1116" spans="1:6" x14ac:dyDescent="0.3">
      <c r="A1116" s="3">
        <v>2018</v>
      </c>
      <c r="B1116" s="1" t="s">
        <v>57</v>
      </c>
      <c r="C1116" s="1" t="s">
        <v>17</v>
      </c>
      <c r="D1116" s="2">
        <v>78063</v>
      </c>
      <c r="E1116" s="2">
        <v>1192654</v>
      </c>
      <c r="F1116" s="4">
        <v>51570</v>
      </c>
    </row>
    <row r="1117" spans="1:6" x14ac:dyDescent="0.3">
      <c r="A1117" s="3">
        <v>2018</v>
      </c>
      <c r="B1117" s="1" t="s">
        <v>57</v>
      </c>
      <c r="C1117" s="1" t="s">
        <v>18</v>
      </c>
      <c r="D1117" s="2">
        <v>40681</v>
      </c>
      <c r="E1117" s="2">
        <v>591234</v>
      </c>
      <c r="F1117" s="4">
        <v>42092</v>
      </c>
    </row>
    <row r="1118" spans="1:6" x14ac:dyDescent="0.3">
      <c r="A1118" s="3">
        <v>2018</v>
      </c>
      <c r="B1118" s="1" t="s">
        <v>57</v>
      </c>
      <c r="C1118" s="1" t="s">
        <v>19</v>
      </c>
      <c r="D1118" s="2">
        <v>23521</v>
      </c>
      <c r="E1118" s="2">
        <v>309603</v>
      </c>
      <c r="F1118" s="4">
        <v>40539</v>
      </c>
    </row>
    <row r="1119" spans="1:6" x14ac:dyDescent="0.3">
      <c r="A1119" s="3">
        <v>2018</v>
      </c>
      <c r="B1119" s="1" t="s">
        <v>57</v>
      </c>
      <c r="C1119" s="1" t="s">
        <v>20</v>
      </c>
      <c r="D1119" s="2">
        <v>20370</v>
      </c>
      <c r="E1119" s="2">
        <v>263858</v>
      </c>
      <c r="F1119" s="4">
        <v>42235</v>
      </c>
    </row>
    <row r="1120" spans="1:6" x14ac:dyDescent="0.3">
      <c r="A1120" s="3">
        <v>2018</v>
      </c>
      <c r="B1120" s="1" t="s">
        <v>57</v>
      </c>
      <c r="C1120" s="1" t="s">
        <v>21</v>
      </c>
      <c r="D1120" s="2">
        <v>28056</v>
      </c>
      <c r="E1120" s="2">
        <v>399946</v>
      </c>
      <c r="F1120" s="4">
        <v>42623</v>
      </c>
    </row>
    <row r="1121" spans="1:6" x14ac:dyDescent="0.3">
      <c r="A1121" s="3">
        <v>2018</v>
      </c>
      <c r="B1121" s="1" t="s">
        <v>57</v>
      </c>
      <c r="C1121" s="1" t="s">
        <v>22</v>
      </c>
      <c r="D1121" s="2">
        <v>30545</v>
      </c>
      <c r="E1121" s="2">
        <v>377555</v>
      </c>
      <c r="F1121" s="4">
        <v>42196</v>
      </c>
    </row>
    <row r="1122" spans="1:6" x14ac:dyDescent="0.3">
      <c r="A1122" s="3">
        <v>2018</v>
      </c>
      <c r="B1122" s="1" t="s">
        <v>57</v>
      </c>
      <c r="C1122" s="1" t="s">
        <v>23</v>
      </c>
      <c r="D1122" s="2">
        <v>10761</v>
      </c>
      <c r="E1122" s="2">
        <v>118191</v>
      </c>
      <c r="F1122" s="4">
        <v>37589</v>
      </c>
    </row>
    <row r="1123" spans="1:6" x14ac:dyDescent="0.3">
      <c r="A1123" s="3">
        <v>2018</v>
      </c>
      <c r="B1123" s="1" t="s">
        <v>57</v>
      </c>
      <c r="C1123" s="1" t="s">
        <v>24</v>
      </c>
      <c r="D1123" s="2">
        <v>32767</v>
      </c>
      <c r="E1123" s="2">
        <v>462590</v>
      </c>
      <c r="F1123" s="4">
        <v>46648</v>
      </c>
    </row>
    <row r="1124" spans="1:6" x14ac:dyDescent="0.3">
      <c r="A1124" s="3">
        <v>2018</v>
      </c>
      <c r="B1124" s="1" t="s">
        <v>57</v>
      </c>
      <c r="C1124" s="1" t="s">
        <v>25</v>
      </c>
      <c r="D1124" s="2">
        <v>42171</v>
      </c>
      <c r="E1124" s="2">
        <v>577061</v>
      </c>
      <c r="F1124" s="4">
        <v>52937</v>
      </c>
    </row>
    <row r="1125" spans="1:6" x14ac:dyDescent="0.3">
      <c r="A1125" s="3">
        <v>2018</v>
      </c>
      <c r="B1125" s="1" t="s">
        <v>57</v>
      </c>
      <c r="C1125" s="1" t="s">
        <v>26</v>
      </c>
      <c r="D1125" s="2">
        <v>52459</v>
      </c>
      <c r="E1125" s="2">
        <v>786892</v>
      </c>
      <c r="F1125" s="4">
        <v>47200</v>
      </c>
    </row>
    <row r="1126" spans="1:6" x14ac:dyDescent="0.3">
      <c r="A1126" s="3">
        <v>2018</v>
      </c>
      <c r="B1126" s="1" t="s">
        <v>57</v>
      </c>
      <c r="C1126" s="1" t="s">
        <v>27</v>
      </c>
      <c r="D1126" s="2">
        <v>37272</v>
      </c>
      <c r="E1126" s="2">
        <v>531669</v>
      </c>
      <c r="F1126" s="4">
        <v>49570</v>
      </c>
    </row>
    <row r="1127" spans="1:6" x14ac:dyDescent="0.3">
      <c r="A1127" s="3">
        <v>2018</v>
      </c>
      <c r="B1127" s="1" t="s">
        <v>57</v>
      </c>
      <c r="C1127" s="1" t="s">
        <v>28</v>
      </c>
      <c r="D1127" s="2">
        <v>19763</v>
      </c>
      <c r="E1127" s="2">
        <v>229107</v>
      </c>
      <c r="F1127" s="4">
        <v>36497</v>
      </c>
    </row>
    <row r="1128" spans="1:6" x14ac:dyDescent="0.3">
      <c r="A1128" s="3">
        <v>2018</v>
      </c>
      <c r="B1128" s="1" t="s">
        <v>57</v>
      </c>
      <c r="C1128" s="1" t="s">
        <v>29</v>
      </c>
      <c r="D1128" s="2">
        <v>38808</v>
      </c>
      <c r="E1128" s="2">
        <v>537150</v>
      </c>
      <c r="F1128" s="4">
        <v>42469</v>
      </c>
    </row>
    <row r="1129" spans="1:6" x14ac:dyDescent="0.3">
      <c r="A1129" s="3">
        <v>2018</v>
      </c>
      <c r="B1129" s="1" t="s">
        <v>57</v>
      </c>
      <c r="C1129" s="1" t="s">
        <v>30</v>
      </c>
      <c r="D1129" s="2">
        <v>9250</v>
      </c>
      <c r="E1129" s="2">
        <v>91355</v>
      </c>
      <c r="F1129" s="4">
        <v>39170</v>
      </c>
    </row>
    <row r="1130" spans="1:6" x14ac:dyDescent="0.3">
      <c r="A1130" s="3">
        <v>2018</v>
      </c>
      <c r="B1130" s="1" t="s">
        <v>57</v>
      </c>
      <c r="C1130" s="1" t="s">
        <v>31</v>
      </c>
      <c r="D1130" s="2">
        <v>14923</v>
      </c>
      <c r="E1130" s="2">
        <v>189793</v>
      </c>
      <c r="F1130" s="4">
        <v>39891</v>
      </c>
    </row>
    <row r="1131" spans="1:6" x14ac:dyDescent="0.3">
      <c r="A1131" s="3">
        <v>2018</v>
      </c>
      <c r="B1131" s="1" t="s">
        <v>57</v>
      </c>
      <c r="C1131" s="1" t="s">
        <v>32</v>
      </c>
      <c r="D1131" s="2">
        <v>15829</v>
      </c>
      <c r="E1131" s="2">
        <v>254417</v>
      </c>
      <c r="F1131" s="4">
        <v>44190</v>
      </c>
    </row>
    <row r="1132" spans="1:6" x14ac:dyDescent="0.3">
      <c r="A1132" s="3">
        <v>2018</v>
      </c>
      <c r="B1132" s="1" t="s">
        <v>57</v>
      </c>
      <c r="C1132" s="1" t="s">
        <v>33</v>
      </c>
      <c r="D1132" s="2">
        <v>12509</v>
      </c>
      <c r="E1132" s="2">
        <v>139183</v>
      </c>
      <c r="F1132" s="4">
        <v>47777</v>
      </c>
    </row>
    <row r="1133" spans="1:6" x14ac:dyDescent="0.3">
      <c r="A1133" s="3">
        <v>2018</v>
      </c>
      <c r="B1133" s="1" t="s">
        <v>57</v>
      </c>
      <c r="C1133" s="1" t="s">
        <v>34</v>
      </c>
      <c r="D1133" s="2">
        <v>54238</v>
      </c>
      <c r="E1133" s="2">
        <v>876344</v>
      </c>
      <c r="F1133" s="4">
        <v>53723</v>
      </c>
    </row>
    <row r="1134" spans="1:6" x14ac:dyDescent="0.3">
      <c r="A1134" s="3">
        <v>2018</v>
      </c>
      <c r="B1134" s="1" t="s">
        <v>57</v>
      </c>
      <c r="C1134" s="1" t="s">
        <v>35</v>
      </c>
      <c r="D1134" s="2">
        <v>10758</v>
      </c>
      <c r="E1134" s="2">
        <v>135970</v>
      </c>
      <c r="F1134" s="4">
        <v>38078</v>
      </c>
    </row>
    <row r="1135" spans="1:6" x14ac:dyDescent="0.3">
      <c r="A1135" s="3">
        <v>2018</v>
      </c>
      <c r="B1135" s="1" t="s">
        <v>57</v>
      </c>
      <c r="C1135" s="1" t="s">
        <v>36</v>
      </c>
      <c r="D1135" s="2">
        <v>123741</v>
      </c>
      <c r="E1135" s="2">
        <v>1554768</v>
      </c>
      <c r="F1135" s="4">
        <v>51832</v>
      </c>
    </row>
    <row r="1136" spans="1:6" x14ac:dyDescent="0.3">
      <c r="A1136" s="3">
        <v>2018</v>
      </c>
      <c r="B1136" s="1" t="s">
        <v>57</v>
      </c>
      <c r="C1136" s="1" t="s">
        <v>37</v>
      </c>
      <c r="D1136" s="2">
        <v>61525</v>
      </c>
      <c r="E1136" s="2">
        <v>830550</v>
      </c>
      <c r="F1136" s="4">
        <v>43092</v>
      </c>
    </row>
    <row r="1137" spans="1:6" x14ac:dyDescent="0.3">
      <c r="A1137" s="3">
        <v>2018</v>
      </c>
      <c r="B1137" s="1" t="s">
        <v>57</v>
      </c>
      <c r="C1137" s="1" t="s">
        <v>38</v>
      </c>
      <c r="D1137" s="2">
        <v>7753</v>
      </c>
      <c r="E1137" s="2">
        <v>91635</v>
      </c>
      <c r="F1137" s="4">
        <v>49819</v>
      </c>
    </row>
    <row r="1138" spans="1:6" x14ac:dyDescent="0.3">
      <c r="A1138" s="3">
        <v>2018</v>
      </c>
      <c r="B1138" s="1" t="s">
        <v>57</v>
      </c>
      <c r="C1138" s="1" t="s">
        <v>39</v>
      </c>
      <c r="D1138" s="2">
        <v>68615</v>
      </c>
      <c r="E1138" s="2">
        <v>1017249</v>
      </c>
      <c r="F1138" s="4">
        <v>44247</v>
      </c>
    </row>
    <row r="1139" spans="1:6" x14ac:dyDescent="0.3">
      <c r="A1139" s="3">
        <v>2018</v>
      </c>
      <c r="B1139" s="1" t="s">
        <v>57</v>
      </c>
      <c r="C1139" s="1" t="s">
        <v>40</v>
      </c>
      <c r="D1139" s="2">
        <v>23748</v>
      </c>
      <c r="E1139" s="2">
        <v>297631</v>
      </c>
      <c r="F1139" s="4">
        <v>41554</v>
      </c>
    </row>
    <row r="1140" spans="1:6" x14ac:dyDescent="0.3">
      <c r="A1140" s="3">
        <v>2018</v>
      </c>
      <c r="B1140" s="1" t="s">
        <v>57</v>
      </c>
      <c r="C1140" s="1" t="s">
        <v>41</v>
      </c>
      <c r="D1140" s="2">
        <v>26503</v>
      </c>
      <c r="E1140" s="2">
        <v>349656</v>
      </c>
      <c r="F1140" s="4">
        <v>44347</v>
      </c>
    </row>
    <row r="1141" spans="1:6" x14ac:dyDescent="0.3">
      <c r="A1141" s="3">
        <v>2018</v>
      </c>
      <c r="B1141" s="1" t="s">
        <v>57</v>
      </c>
      <c r="C1141" s="1" t="s">
        <v>42</v>
      </c>
      <c r="D1141" s="2">
        <v>74845</v>
      </c>
      <c r="E1141" s="2">
        <v>1117054</v>
      </c>
      <c r="F1141" s="4">
        <v>45000</v>
      </c>
    </row>
    <row r="1142" spans="1:6" x14ac:dyDescent="0.3">
      <c r="A1142" s="3">
        <v>2018</v>
      </c>
      <c r="B1142" s="1" t="s">
        <v>57</v>
      </c>
      <c r="C1142" s="1" t="s">
        <v>43</v>
      </c>
      <c r="D1142" s="2">
        <v>7658</v>
      </c>
      <c r="E1142" s="2">
        <v>76762</v>
      </c>
      <c r="F1142" s="4">
        <v>43902</v>
      </c>
    </row>
    <row r="1143" spans="1:6" x14ac:dyDescent="0.3">
      <c r="A1143" s="3">
        <v>2018</v>
      </c>
      <c r="B1143" s="1" t="s">
        <v>57</v>
      </c>
      <c r="C1143" s="1" t="s">
        <v>44</v>
      </c>
      <c r="D1143" s="2">
        <v>30013</v>
      </c>
      <c r="E1143" s="2">
        <v>402308</v>
      </c>
      <c r="F1143" s="4">
        <v>39429</v>
      </c>
    </row>
    <row r="1144" spans="1:6" x14ac:dyDescent="0.3">
      <c r="A1144" s="3">
        <v>2018</v>
      </c>
      <c r="B1144" s="1" t="s">
        <v>57</v>
      </c>
      <c r="C1144" s="1" t="s">
        <v>45</v>
      </c>
      <c r="D1144" s="2">
        <v>8059</v>
      </c>
      <c r="E1144" s="2">
        <v>85734</v>
      </c>
      <c r="F1144" s="4">
        <v>39650</v>
      </c>
    </row>
    <row r="1145" spans="1:6" x14ac:dyDescent="0.3">
      <c r="A1145" s="3">
        <v>2018</v>
      </c>
      <c r="B1145" s="1" t="s">
        <v>57</v>
      </c>
      <c r="C1145" s="1" t="s">
        <v>46</v>
      </c>
      <c r="D1145" s="2">
        <v>40040</v>
      </c>
      <c r="E1145" s="2">
        <v>623566</v>
      </c>
      <c r="F1145" s="4">
        <v>46137</v>
      </c>
    </row>
    <row r="1146" spans="1:6" x14ac:dyDescent="0.3">
      <c r="A1146" s="3">
        <v>2018</v>
      </c>
      <c r="B1146" s="1" t="s">
        <v>57</v>
      </c>
      <c r="C1146" s="1" t="s">
        <v>47</v>
      </c>
      <c r="D1146" s="2">
        <v>147447</v>
      </c>
      <c r="E1146" s="2">
        <v>2465009</v>
      </c>
      <c r="F1146" s="4">
        <v>52337</v>
      </c>
    </row>
    <row r="1147" spans="1:6" x14ac:dyDescent="0.3">
      <c r="A1147" s="3">
        <v>2018</v>
      </c>
      <c r="B1147" s="1" t="s">
        <v>57</v>
      </c>
      <c r="C1147" s="1" t="s">
        <v>48</v>
      </c>
      <c r="D1147" s="2">
        <v>19531</v>
      </c>
      <c r="E1147" s="2">
        <v>284283</v>
      </c>
      <c r="F1147" s="4">
        <v>44163</v>
      </c>
    </row>
    <row r="1148" spans="1:6" x14ac:dyDescent="0.3">
      <c r="A1148" s="3">
        <v>2018</v>
      </c>
      <c r="B1148" s="1" t="s">
        <v>57</v>
      </c>
      <c r="C1148" s="1" t="s">
        <v>49</v>
      </c>
      <c r="D1148" s="2">
        <v>5084</v>
      </c>
      <c r="E1148" s="2">
        <v>54476</v>
      </c>
      <c r="F1148" s="4">
        <v>40351</v>
      </c>
    </row>
    <row r="1149" spans="1:6" x14ac:dyDescent="0.3">
      <c r="A1149" s="3">
        <v>2018</v>
      </c>
      <c r="B1149" s="1" t="s">
        <v>57</v>
      </c>
      <c r="C1149" s="1" t="s">
        <v>50</v>
      </c>
      <c r="D1149" s="2">
        <v>43180</v>
      </c>
      <c r="E1149" s="2">
        <v>650233</v>
      </c>
      <c r="F1149" s="4">
        <v>43886</v>
      </c>
    </row>
    <row r="1150" spans="1:6" x14ac:dyDescent="0.3">
      <c r="A1150" s="3">
        <v>2018</v>
      </c>
      <c r="B1150" s="1" t="s">
        <v>57</v>
      </c>
      <c r="C1150" s="1" t="s">
        <v>51</v>
      </c>
      <c r="D1150" s="2">
        <v>39324</v>
      </c>
      <c r="E1150" s="2">
        <v>621384</v>
      </c>
      <c r="F1150" s="4">
        <v>63994</v>
      </c>
    </row>
    <row r="1151" spans="1:6" x14ac:dyDescent="0.3">
      <c r="A1151" s="3">
        <v>2018</v>
      </c>
      <c r="B1151" s="1" t="s">
        <v>57</v>
      </c>
      <c r="C1151" s="1" t="s">
        <v>52</v>
      </c>
      <c r="D1151" s="2">
        <v>10925</v>
      </c>
      <c r="E1151" s="2">
        <v>128211</v>
      </c>
      <c r="F1151" s="4">
        <v>38698</v>
      </c>
    </row>
    <row r="1152" spans="1:6" x14ac:dyDescent="0.3">
      <c r="A1152" s="3">
        <v>2018</v>
      </c>
      <c r="B1152" s="1" t="s">
        <v>57</v>
      </c>
      <c r="C1152" s="1" t="s">
        <v>53</v>
      </c>
      <c r="D1152" s="2">
        <v>36496</v>
      </c>
      <c r="E1152" s="2">
        <v>541333</v>
      </c>
      <c r="F1152" s="4">
        <v>41512</v>
      </c>
    </row>
    <row r="1153" spans="1:6" x14ac:dyDescent="0.3">
      <c r="A1153" s="3">
        <v>2018</v>
      </c>
      <c r="B1153" s="1" t="s">
        <v>57</v>
      </c>
      <c r="C1153" s="1" t="s">
        <v>54</v>
      </c>
      <c r="D1153" s="2">
        <v>4830</v>
      </c>
      <c r="E1153" s="2">
        <v>49819</v>
      </c>
      <c r="F1153" s="4">
        <v>42737</v>
      </c>
    </row>
    <row r="1154" spans="1:6" x14ac:dyDescent="0.3">
      <c r="A1154" s="3">
        <v>2018</v>
      </c>
      <c r="B1154" s="1" t="s">
        <v>58</v>
      </c>
      <c r="C1154" s="1" t="s">
        <v>7</v>
      </c>
      <c r="D1154" s="2">
        <v>2168</v>
      </c>
      <c r="E1154" s="2">
        <v>21030</v>
      </c>
      <c r="F1154" s="4">
        <v>60025</v>
      </c>
    </row>
    <row r="1155" spans="1:6" x14ac:dyDescent="0.3">
      <c r="A1155" s="3">
        <v>2018</v>
      </c>
      <c r="B1155" s="1" t="s">
        <v>58</v>
      </c>
      <c r="C1155" s="1" t="s">
        <v>8</v>
      </c>
      <c r="D1155" s="2">
        <v>3113</v>
      </c>
      <c r="E1155" s="2">
        <v>47340</v>
      </c>
      <c r="F1155" s="4">
        <v>75499</v>
      </c>
    </row>
    <row r="1156" spans="1:6" x14ac:dyDescent="0.3">
      <c r="A1156" s="3">
        <v>2018</v>
      </c>
      <c r="B1156" s="1" t="s">
        <v>58</v>
      </c>
      <c r="C1156" s="1" t="s">
        <v>9</v>
      </c>
      <c r="D1156" s="2">
        <v>1210</v>
      </c>
      <c r="E1156" s="2">
        <v>10913</v>
      </c>
      <c r="F1156" s="4">
        <v>53828</v>
      </c>
    </row>
    <row r="1157" spans="1:6" x14ac:dyDescent="0.3">
      <c r="A1157" s="3">
        <v>2018</v>
      </c>
      <c r="B1157" s="1" t="s">
        <v>58</v>
      </c>
      <c r="C1157" s="1" t="s">
        <v>10</v>
      </c>
      <c r="D1157" s="2">
        <v>26592</v>
      </c>
      <c r="E1157" s="2">
        <v>525771</v>
      </c>
      <c r="F1157" s="4">
        <v>188173</v>
      </c>
    </row>
    <row r="1158" spans="1:6" x14ac:dyDescent="0.3">
      <c r="A1158" s="3">
        <v>2018</v>
      </c>
      <c r="B1158" s="1" t="s">
        <v>58</v>
      </c>
      <c r="C1158" s="1" t="s">
        <v>11</v>
      </c>
      <c r="D1158" s="2">
        <v>4173</v>
      </c>
      <c r="E1158" s="2">
        <v>75076</v>
      </c>
      <c r="F1158" s="4">
        <v>100735</v>
      </c>
    </row>
    <row r="1159" spans="1:6" x14ac:dyDescent="0.3">
      <c r="A1159" s="3">
        <v>2018</v>
      </c>
      <c r="B1159" s="1" t="s">
        <v>58</v>
      </c>
      <c r="C1159" s="1" t="s">
        <v>12</v>
      </c>
      <c r="D1159" s="2">
        <v>2306</v>
      </c>
      <c r="E1159" s="2">
        <v>31734</v>
      </c>
      <c r="F1159" s="4">
        <v>110642</v>
      </c>
    </row>
    <row r="1160" spans="1:6" x14ac:dyDescent="0.3">
      <c r="A1160" s="3">
        <v>2018</v>
      </c>
      <c r="B1160" s="1" t="s">
        <v>58</v>
      </c>
      <c r="C1160" s="1" t="s">
        <v>13</v>
      </c>
      <c r="D1160" s="1">
        <v>433</v>
      </c>
      <c r="E1160" s="2">
        <v>4065</v>
      </c>
      <c r="F1160" s="4">
        <v>65782</v>
      </c>
    </row>
    <row r="1161" spans="1:6" x14ac:dyDescent="0.3">
      <c r="A1161" s="3">
        <v>2018</v>
      </c>
      <c r="B1161" s="1" t="s">
        <v>58</v>
      </c>
      <c r="C1161" s="1" t="s">
        <v>14</v>
      </c>
      <c r="D1161" s="2">
        <v>11205</v>
      </c>
      <c r="E1161" s="2">
        <v>138995</v>
      </c>
      <c r="F1161" s="4">
        <v>81168</v>
      </c>
    </row>
    <row r="1162" spans="1:6" x14ac:dyDescent="0.3">
      <c r="A1162" s="3">
        <v>2018</v>
      </c>
      <c r="B1162" s="1" t="s">
        <v>58</v>
      </c>
      <c r="C1162" s="1" t="s">
        <v>15</v>
      </c>
      <c r="D1162" s="2">
        <v>5113</v>
      </c>
      <c r="E1162" s="2">
        <v>114231</v>
      </c>
      <c r="F1162" s="4">
        <v>96613</v>
      </c>
    </row>
    <row r="1163" spans="1:6" x14ac:dyDescent="0.3">
      <c r="A1163" s="3">
        <v>2018</v>
      </c>
      <c r="B1163" s="1" t="s">
        <v>58</v>
      </c>
      <c r="C1163" s="1" t="s">
        <v>16</v>
      </c>
      <c r="D1163" s="2">
        <v>1223</v>
      </c>
      <c r="E1163" s="2">
        <v>8798</v>
      </c>
      <c r="F1163" s="4">
        <v>52761</v>
      </c>
    </row>
    <row r="1164" spans="1:6" x14ac:dyDescent="0.3">
      <c r="A1164" s="3">
        <v>2018</v>
      </c>
      <c r="B1164" s="1" t="s">
        <v>58</v>
      </c>
      <c r="C1164" s="1" t="s">
        <v>17</v>
      </c>
      <c r="D1164" s="2">
        <v>6688</v>
      </c>
      <c r="E1164" s="2">
        <v>94330</v>
      </c>
      <c r="F1164" s="4">
        <v>91164</v>
      </c>
    </row>
    <row r="1165" spans="1:6" x14ac:dyDescent="0.3">
      <c r="A1165" s="3">
        <v>2018</v>
      </c>
      <c r="B1165" s="1" t="s">
        <v>58</v>
      </c>
      <c r="C1165" s="1" t="s">
        <v>18</v>
      </c>
      <c r="D1165" s="2">
        <v>2123</v>
      </c>
      <c r="E1165" s="2">
        <v>29375</v>
      </c>
      <c r="F1165" s="4">
        <v>60371</v>
      </c>
    </row>
    <row r="1166" spans="1:6" x14ac:dyDescent="0.3">
      <c r="A1166" s="3">
        <v>2018</v>
      </c>
      <c r="B1166" s="1" t="s">
        <v>58</v>
      </c>
      <c r="C1166" s="1" t="s">
        <v>19</v>
      </c>
      <c r="D1166" s="2">
        <v>1742</v>
      </c>
      <c r="E1166" s="2">
        <v>22018</v>
      </c>
      <c r="F1166" s="4">
        <v>58519</v>
      </c>
    </row>
    <row r="1167" spans="1:6" x14ac:dyDescent="0.3">
      <c r="A1167" s="3">
        <v>2018</v>
      </c>
      <c r="B1167" s="1" t="s">
        <v>58</v>
      </c>
      <c r="C1167" s="1" t="s">
        <v>20</v>
      </c>
      <c r="D1167" s="2">
        <v>1308</v>
      </c>
      <c r="E1167" s="2">
        <v>18664</v>
      </c>
      <c r="F1167" s="4">
        <v>63399</v>
      </c>
    </row>
    <row r="1168" spans="1:6" x14ac:dyDescent="0.3">
      <c r="A1168" s="3">
        <v>2018</v>
      </c>
      <c r="B1168" s="1" t="s">
        <v>58</v>
      </c>
      <c r="C1168" s="1" t="s">
        <v>21</v>
      </c>
      <c r="D1168" s="2">
        <v>1785</v>
      </c>
      <c r="E1168" s="2">
        <v>21989</v>
      </c>
      <c r="F1168" s="4">
        <v>54629</v>
      </c>
    </row>
    <row r="1169" spans="1:6" x14ac:dyDescent="0.3">
      <c r="A1169" s="3">
        <v>2018</v>
      </c>
      <c r="B1169" s="1" t="s">
        <v>58</v>
      </c>
      <c r="C1169" s="1" t="s">
        <v>22</v>
      </c>
      <c r="D1169" s="2">
        <v>1716</v>
      </c>
      <c r="E1169" s="2">
        <v>22869</v>
      </c>
      <c r="F1169" s="4">
        <v>58223</v>
      </c>
    </row>
    <row r="1170" spans="1:6" x14ac:dyDescent="0.3">
      <c r="A1170" s="3">
        <v>2018</v>
      </c>
      <c r="B1170" s="1" t="s">
        <v>58</v>
      </c>
      <c r="C1170" s="1" t="s">
        <v>23</v>
      </c>
      <c r="D1170" s="1">
        <v>849</v>
      </c>
      <c r="E1170" s="2">
        <v>7397</v>
      </c>
      <c r="F1170" s="4">
        <v>54502</v>
      </c>
    </row>
    <row r="1171" spans="1:6" x14ac:dyDescent="0.3">
      <c r="A1171" s="3">
        <v>2018</v>
      </c>
      <c r="B1171" s="1" t="s">
        <v>58</v>
      </c>
      <c r="C1171" s="1" t="s">
        <v>24</v>
      </c>
      <c r="D1171" s="2">
        <v>2737</v>
      </c>
      <c r="E1171" s="2">
        <v>36210</v>
      </c>
      <c r="F1171" s="4">
        <v>92844</v>
      </c>
    </row>
    <row r="1172" spans="1:6" x14ac:dyDescent="0.3">
      <c r="A1172" s="3">
        <v>2018</v>
      </c>
      <c r="B1172" s="1" t="s">
        <v>58</v>
      </c>
      <c r="C1172" s="1" t="s">
        <v>25</v>
      </c>
      <c r="D1172" s="2">
        <v>5379</v>
      </c>
      <c r="E1172" s="2">
        <v>91783</v>
      </c>
      <c r="F1172" s="4">
        <v>123118</v>
      </c>
    </row>
    <row r="1173" spans="1:6" x14ac:dyDescent="0.3">
      <c r="A1173" s="3">
        <v>2018</v>
      </c>
      <c r="B1173" s="1" t="s">
        <v>58</v>
      </c>
      <c r="C1173" s="1" t="s">
        <v>26</v>
      </c>
      <c r="D1173" s="2">
        <v>6287</v>
      </c>
      <c r="E1173" s="2">
        <v>56247</v>
      </c>
      <c r="F1173" s="4">
        <v>73556</v>
      </c>
    </row>
    <row r="1174" spans="1:6" x14ac:dyDescent="0.3">
      <c r="A1174" s="3">
        <v>2018</v>
      </c>
      <c r="B1174" s="1" t="s">
        <v>58</v>
      </c>
      <c r="C1174" s="1" t="s">
        <v>27</v>
      </c>
      <c r="D1174" s="2">
        <v>3977</v>
      </c>
      <c r="E1174" s="2">
        <v>49170</v>
      </c>
      <c r="F1174" s="4">
        <v>78903</v>
      </c>
    </row>
    <row r="1175" spans="1:6" x14ac:dyDescent="0.3">
      <c r="A1175" s="3">
        <v>2018</v>
      </c>
      <c r="B1175" s="1" t="s">
        <v>58</v>
      </c>
      <c r="C1175" s="1" t="s">
        <v>28</v>
      </c>
      <c r="D1175" s="1">
        <v>940</v>
      </c>
      <c r="E1175" s="2">
        <v>10980</v>
      </c>
      <c r="F1175" s="4">
        <v>49173</v>
      </c>
    </row>
    <row r="1176" spans="1:6" x14ac:dyDescent="0.3">
      <c r="A1176" s="3">
        <v>2018</v>
      </c>
      <c r="B1176" s="1" t="s">
        <v>58</v>
      </c>
      <c r="C1176" s="1" t="s">
        <v>29</v>
      </c>
      <c r="D1176" s="2">
        <v>3049</v>
      </c>
      <c r="E1176" s="2">
        <v>47666</v>
      </c>
      <c r="F1176" s="4">
        <v>81842</v>
      </c>
    </row>
    <row r="1177" spans="1:6" x14ac:dyDescent="0.3">
      <c r="A1177" s="3">
        <v>2018</v>
      </c>
      <c r="B1177" s="1" t="s">
        <v>58</v>
      </c>
      <c r="C1177" s="1" t="s">
        <v>30</v>
      </c>
      <c r="D1177" s="1">
        <v>801</v>
      </c>
      <c r="E1177" s="2">
        <v>6350</v>
      </c>
      <c r="F1177" s="4">
        <v>54475</v>
      </c>
    </row>
    <row r="1178" spans="1:6" x14ac:dyDescent="0.3">
      <c r="A1178" s="3">
        <v>2018</v>
      </c>
      <c r="B1178" s="1" t="s">
        <v>58</v>
      </c>
      <c r="C1178" s="1" t="s">
        <v>31</v>
      </c>
      <c r="D1178" s="1">
        <v>973</v>
      </c>
      <c r="E1178" s="2">
        <v>17653</v>
      </c>
      <c r="F1178" s="4">
        <v>64407</v>
      </c>
    </row>
    <row r="1179" spans="1:6" x14ac:dyDescent="0.3">
      <c r="A1179" s="3">
        <v>2018</v>
      </c>
      <c r="B1179" s="1" t="s">
        <v>58</v>
      </c>
      <c r="C1179" s="1" t="s">
        <v>32</v>
      </c>
      <c r="D1179" s="2">
        <v>1541</v>
      </c>
      <c r="E1179" s="2">
        <v>15646</v>
      </c>
      <c r="F1179" s="4">
        <v>70292</v>
      </c>
    </row>
    <row r="1180" spans="1:6" x14ac:dyDescent="0.3">
      <c r="A1180" s="3">
        <v>2018</v>
      </c>
      <c r="B1180" s="1" t="s">
        <v>58</v>
      </c>
      <c r="C1180" s="1" t="s">
        <v>33</v>
      </c>
      <c r="D1180" s="1">
        <v>892</v>
      </c>
      <c r="E1180" s="2">
        <v>12351</v>
      </c>
      <c r="F1180" s="4">
        <v>93599</v>
      </c>
    </row>
    <row r="1181" spans="1:6" x14ac:dyDescent="0.3">
      <c r="A1181" s="3">
        <v>2018</v>
      </c>
      <c r="B1181" s="1" t="s">
        <v>58</v>
      </c>
      <c r="C1181" s="1" t="s">
        <v>34</v>
      </c>
      <c r="D1181" s="2">
        <v>3722</v>
      </c>
      <c r="E1181" s="2">
        <v>69519</v>
      </c>
      <c r="F1181" s="4">
        <v>114630</v>
      </c>
    </row>
    <row r="1182" spans="1:6" x14ac:dyDescent="0.3">
      <c r="A1182" s="3">
        <v>2018</v>
      </c>
      <c r="B1182" s="1" t="s">
        <v>58</v>
      </c>
      <c r="C1182" s="1" t="s">
        <v>35</v>
      </c>
      <c r="D1182" s="1">
        <v>987</v>
      </c>
      <c r="E1182" s="2">
        <v>12015</v>
      </c>
      <c r="F1182" s="4">
        <v>53204</v>
      </c>
    </row>
    <row r="1183" spans="1:6" x14ac:dyDescent="0.3">
      <c r="A1183" s="3">
        <v>2018</v>
      </c>
      <c r="B1183" s="1" t="s">
        <v>58</v>
      </c>
      <c r="C1183" s="1" t="s">
        <v>36</v>
      </c>
      <c r="D1183" s="2">
        <v>12672</v>
      </c>
      <c r="E1183" s="2">
        <v>275598</v>
      </c>
      <c r="F1183" s="4">
        <v>129853</v>
      </c>
    </row>
    <row r="1184" spans="1:6" x14ac:dyDescent="0.3">
      <c r="A1184" s="3">
        <v>2018</v>
      </c>
      <c r="B1184" s="1" t="s">
        <v>58</v>
      </c>
      <c r="C1184" s="1" t="s">
        <v>37</v>
      </c>
      <c r="D1184" s="2">
        <v>5238</v>
      </c>
      <c r="E1184" s="2">
        <v>79945</v>
      </c>
      <c r="F1184" s="4">
        <v>83920</v>
      </c>
    </row>
    <row r="1185" spans="1:6" x14ac:dyDescent="0.3">
      <c r="A1185" s="3">
        <v>2018</v>
      </c>
      <c r="B1185" s="1" t="s">
        <v>58</v>
      </c>
      <c r="C1185" s="1" t="s">
        <v>38</v>
      </c>
      <c r="D1185" s="1">
        <v>395</v>
      </c>
      <c r="E1185" s="2">
        <v>6221</v>
      </c>
      <c r="F1185" s="4">
        <v>70208</v>
      </c>
    </row>
    <row r="1186" spans="1:6" x14ac:dyDescent="0.3">
      <c r="A1186" s="3">
        <v>2018</v>
      </c>
      <c r="B1186" s="1" t="s">
        <v>58</v>
      </c>
      <c r="C1186" s="1" t="s">
        <v>39</v>
      </c>
      <c r="D1186" s="2">
        <v>4616</v>
      </c>
      <c r="E1186" s="2">
        <v>70930</v>
      </c>
      <c r="F1186" s="4">
        <v>70006</v>
      </c>
    </row>
    <row r="1187" spans="1:6" x14ac:dyDescent="0.3">
      <c r="A1187" s="3">
        <v>2018</v>
      </c>
      <c r="B1187" s="1" t="s">
        <v>58</v>
      </c>
      <c r="C1187" s="1" t="s">
        <v>40</v>
      </c>
      <c r="D1187" s="2">
        <v>1469</v>
      </c>
      <c r="E1187" s="2">
        <v>19859</v>
      </c>
      <c r="F1187" s="4">
        <v>58997</v>
      </c>
    </row>
    <row r="1188" spans="1:6" x14ac:dyDescent="0.3">
      <c r="A1188" s="3">
        <v>2018</v>
      </c>
      <c r="B1188" s="1" t="s">
        <v>58</v>
      </c>
      <c r="C1188" s="1" t="s">
        <v>41</v>
      </c>
      <c r="D1188" s="2">
        <v>3768</v>
      </c>
      <c r="E1188" s="2">
        <v>34277</v>
      </c>
      <c r="F1188" s="4">
        <v>87733</v>
      </c>
    </row>
    <row r="1189" spans="1:6" x14ac:dyDescent="0.3">
      <c r="A1189" s="3">
        <v>2018</v>
      </c>
      <c r="B1189" s="1" t="s">
        <v>58</v>
      </c>
      <c r="C1189" s="1" t="s">
        <v>42</v>
      </c>
      <c r="D1189" s="2">
        <v>4896</v>
      </c>
      <c r="E1189" s="2">
        <v>85970</v>
      </c>
      <c r="F1189" s="4">
        <v>87091</v>
      </c>
    </row>
    <row r="1190" spans="1:6" x14ac:dyDescent="0.3">
      <c r="A1190" s="3">
        <v>2018</v>
      </c>
      <c r="B1190" s="1" t="s">
        <v>58</v>
      </c>
      <c r="C1190" s="1" t="s">
        <v>43</v>
      </c>
      <c r="D1190" s="1">
        <v>715</v>
      </c>
      <c r="E1190" s="2">
        <v>5930</v>
      </c>
      <c r="F1190" s="4">
        <v>74327</v>
      </c>
    </row>
    <row r="1191" spans="1:6" x14ac:dyDescent="0.3">
      <c r="A1191" s="3">
        <v>2018</v>
      </c>
      <c r="B1191" s="1" t="s">
        <v>58</v>
      </c>
      <c r="C1191" s="1" t="s">
        <v>44</v>
      </c>
      <c r="D1191" s="2">
        <v>2548</v>
      </c>
      <c r="E1191" s="2">
        <v>28067</v>
      </c>
      <c r="F1191" s="4">
        <v>61977</v>
      </c>
    </row>
    <row r="1192" spans="1:6" x14ac:dyDescent="0.3">
      <c r="A1192" s="3">
        <v>2018</v>
      </c>
      <c r="B1192" s="1" t="s">
        <v>58</v>
      </c>
      <c r="C1192" s="1" t="s">
        <v>45</v>
      </c>
      <c r="D1192" s="1">
        <v>561</v>
      </c>
      <c r="E1192" s="2">
        <v>5589</v>
      </c>
      <c r="F1192" s="4">
        <v>49334</v>
      </c>
    </row>
    <row r="1193" spans="1:6" x14ac:dyDescent="0.3">
      <c r="A1193" s="3">
        <v>2018</v>
      </c>
      <c r="B1193" s="1" t="s">
        <v>58</v>
      </c>
      <c r="C1193" s="1" t="s">
        <v>46</v>
      </c>
      <c r="D1193" s="2">
        <v>3519</v>
      </c>
      <c r="E1193" s="2">
        <v>44851</v>
      </c>
      <c r="F1193" s="4">
        <v>73821</v>
      </c>
    </row>
    <row r="1194" spans="1:6" x14ac:dyDescent="0.3">
      <c r="A1194" s="3">
        <v>2018</v>
      </c>
      <c r="B1194" s="1" t="s">
        <v>58</v>
      </c>
      <c r="C1194" s="1" t="s">
        <v>47</v>
      </c>
      <c r="D1194" s="2">
        <v>9828</v>
      </c>
      <c r="E1194" s="2">
        <v>203822</v>
      </c>
      <c r="F1194" s="4">
        <v>87085</v>
      </c>
    </row>
    <row r="1195" spans="1:6" x14ac:dyDescent="0.3">
      <c r="A1195" s="3">
        <v>2018</v>
      </c>
      <c r="B1195" s="1" t="s">
        <v>58</v>
      </c>
      <c r="C1195" s="1" t="s">
        <v>48</v>
      </c>
      <c r="D1195" s="2">
        <v>2489</v>
      </c>
      <c r="E1195" s="2">
        <v>36783</v>
      </c>
      <c r="F1195" s="4">
        <v>78404</v>
      </c>
    </row>
    <row r="1196" spans="1:6" x14ac:dyDescent="0.3">
      <c r="A1196" s="3">
        <v>2018</v>
      </c>
      <c r="B1196" s="1" t="s">
        <v>58</v>
      </c>
      <c r="C1196" s="1" t="s">
        <v>49</v>
      </c>
      <c r="D1196" s="1">
        <v>505</v>
      </c>
      <c r="E1196" s="2">
        <v>4280</v>
      </c>
      <c r="F1196" s="4">
        <v>59800</v>
      </c>
    </row>
    <row r="1197" spans="1:6" x14ac:dyDescent="0.3">
      <c r="A1197" s="3">
        <v>2018</v>
      </c>
      <c r="B1197" s="1" t="s">
        <v>58</v>
      </c>
      <c r="C1197" s="1" t="s">
        <v>50</v>
      </c>
      <c r="D1197" s="2">
        <v>4379</v>
      </c>
      <c r="E1197" s="2">
        <v>66998</v>
      </c>
      <c r="F1197" s="4">
        <v>100731</v>
      </c>
    </row>
    <row r="1198" spans="1:6" x14ac:dyDescent="0.3">
      <c r="A1198" s="3">
        <v>2018</v>
      </c>
      <c r="B1198" s="1" t="s">
        <v>58</v>
      </c>
      <c r="C1198" s="1" t="s">
        <v>51</v>
      </c>
      <c r="D1198" s="2">
        <v>4629</v>
      </c>
      <c r="E1198" s="2">
        <v>133126</v>
      </c>
      <c r="F1198" s="4">
        <v>194631</v>
      </c>
    </row>
    <row r="1199" spans="1:6" x14ac:dyDescent="0.3">
      <c r="A1199" s="3">
        <v>2018</v>
      </c>
      <c r="B1199" s="1" t="s">
        <v>58</v>
      </c>
      <c r="C1199" s="1" t="s">
        <v>52</v>
      </c>
      <c r="D1199" s="1">
        <v>789</v>
      </c>
      <c r="E1199" s="2">
        <v>8288</v>
      </c>
      <c r="F1199" s="4">
        <v>52508</v>
      </c>
    </row>
    <row r="1200" spans="1:6" x14ac:dyDescent="0.3">
      <c r="A1200" s="3">
        <v>2018</v>
      </c>
      <c r="B1200" s="1" t="s">
        <v>58</v>
      </c>
      <c r="C1200" s="1" t="s">
        <v>53</v>
      </c>
      <c r="D1200" s="2">
        <v>2298</v>
      </c>
      <c r="E1200" s="2">
        <v>47152</v>
      </c>
      <c r="F1200" s="4">
        <v>75414</v>
      </c>
    </row>
    <row r="1201" spans="1:6" x14ac:dyDescent="0.3">
      <c r="A1201" s="3">
        <v>2018</v>
      </c>
      <c r="B1201" s="1" t="s">
        <v>58</v>
      </c>
      <c r="C1201" s="1" t="s">
        <v>54</v>
      </c>
      <c r="D1201" s="1">
        <v>398</v>
      </c>
      <c r="E1201" s="2">
        <v>3554</v>
      </c>
      <c r="F1201" s="4">
        <v>47401</v>
      </c>
    </row>
    <row r="1202" spans="1:6" x14ac:dyDescent="0.3">
      <c r="A1202" s="3">
        <v>2018</v>
      </c>
      <c r="B1202" s="1" t="s">
        <v>59</v>
      </c>
      <c r="C1202" s="1" t="s">
        <v>7</v>
      </c>
      <c r="D1202" s="2">
        <v>13364</v>
      </c>
      <c r="E1202" s="2">
        <v>94561</v>
      </c>
      <c r="F1202" s="4">
        <v>69240</v>
      </c>
    </row>
    <row r="1203" spans="1:6" x14ac:dyDescent="0.3">
      <c r="A1203" s="3">
        <v>2018</v>
      </c>
      <c r="B1203" s="1" t="s">
        <v>59</v>
      </c>
      <c r="C1203" s="1" t="s">
        <v>8</v>
      </c>
      <c r="D1203" s="2">
        <v>17978</v>
      </c>
      <c r="E1203" s="2">
        <v>214637</v>
      </c>
      <c r="F1203" s="4">
        <v>70877</v>
      </c>
    </row>
    <row r="1204" spans="1:6" x14ac:dyDescent="0.3">
      <c r="A1204" s="3">
        <v>2018</v>
      </c>
      <c r="B1204" s="1" t="s">
        <v>59</v>
      </c>
      <c r="C1204" s="1" t="s">
        <v>9</v>
      </c>
      <c r="D1204" s="2">
        <v>8418</v>
      </c>
      <c r="E1204" s="2">
        <v>50647</v>
      </c>
      <c r="F1204" s="4">
        <v>58119</v>
      </c>
    </row>
    <row r="1205" spans="1:6" x14ac:dyDescent="0.3">
      <c r="A1205" s="3">
        <v>2018</v>
      </c>
      <c r="B1205" s="1" t="s">
        <v>59</v>
      </c>
      <c r="C1205" s="1" t="s">
        <v>10</v>
      </c>
      <c r="D1205" s="2">
        <v>106953</v>
      </c>
      <c r="E1205" s="2">
        <v>835896</v>
      </c>
      <c r="F1205" s="4">
        <v>107228</v>
      </c>
    </row>
    <row r="1206" spans="1:6" x14ac:dyDescent="0.3">
      <c r="A1206" s="3">
        <v>2018</v>
      </c>
      <c r="B1206" s="1" t="s">
        <v>59</v>
      </c>
      <c r="C1206" s="1" t="s">
        <v>11</v>
      </c>
      <c r="D1206" s="2">
        <v>23326</v>
      </c>
      <c r="E1206" s="2">
        <v>164801</v>
      </c>
      <c r="F1206" s="4">
        <v>84615</v>
      </c>
    </row>
    <row r="1207" spans="1:6" x14ac:dyDescent="0.3">
      <c r="A1207" s="3">
        <v>2018</v>
      </c>
      <c r="B1207" s="1" t="s">
        <v>59</v>
      </c>
      <c r="C1207" s="1" t="s">
        <v>12</v>
      </c>
      <c r="D1207" s="2">
        <v>10879</v>
      </c>
      <c r="E1207" s="2">
        <v>123655</v>
      </c>
      <c r="F1207" s="4">
        <v>155433</v>
      </c>
    </row>
    <row r="1208" spans="1:6" x14ac:dyDescent="0.3">
      <c r="A1208" s="3">
        <v>2018</v>
      </c>
      <c r="B1208" s="1" t="s">
        <v>59</v>
      </c>
      <c r="C1208" s="1" t="s">
        <v>13</v>
      </c>
      <c r="D1208" s="2">
        <v>2859</v>
      </c>
      <c r="E1208" s="2">
        <v>47609</v>
      </c>
      <c r="F1208" s="4">
        <v>95574</v>
      </c>
    </row>
    <row r="1209" spans="1:6" x14ac:dyDescent="0.3">
      <c r="A1209" s="3">
        <v>2018</v>
      </c>
      <c r="B1209" s="1" t="s">
        <v>59</v>
      </c>
      <c r="C1209" s="1" t="s">
        <v>14</v>
      </c>
      <c r="D1209" s="2">
        <v>73412</v>
      </c>
      <c r="E1209" s="2">
        <v>570645</v>
      </c>
      <c r="F1209" s="4">
        <v>75337</v>
      </c>
    </row>
    <row r="1210" spans="1:6" x14ac:dyDescent="0.3">
      <c r="A1210" s="3">
        <v>2018</v>
      </c>
      <c r="B1210" s="1" t="s">
        <v>59</v>
      </c>
      <c r="C1210" s="1" t="s">
        <v>15</v>
      </c>
      <c r="D1210" s="2">
        <v>26225</v>
      </c>
      <c r="E1210" s="2">
        <v>237900</v>
      </c>
      <c r="F1210" s="4">
        <v>84587</v>
      </c>
    </row>
    <row r="1211" spans="1:6" x14ac:dyDescent="0.3">
      <c r="A1211" s="3">
        <v>2018</v>
      </c>
      <c r="B1211" s="1" t="s">
        <v>59</v>
      </c>
      <c r="C1211" s="1" t="s">
        <v>16</v>
      </c>
      <c r="D1211" s="2">
        <v>5824</v>
      </c>
      <c r="E1211" s="2">
        <v>32493</v>
      </c>
      <c r="F1211" s="4">
        <v>56024</v>
      </c>
    </row>
    <row r="1212" spans="1:6" x14ac:dyDescent="0.3">
      <c r="A1212" s="3">
        <v>2018</v>
      </c>
      <c r="B1212" s="1" t="s">
        <v>59</v>
      </c>
      <c r="C1212" s="1" t="s">
        <v>17</v>
      </c>
      <c r="D1212" s="2">
        <v>32448</v>
      </c>
      <c r="E1212" s="2">
        <v>373685</v>
      </c>
      <c r="F1212" s="4">
        <v>109598</v>
      </c>
    </row>
    <row r="1213" spans="1:6" x14ac:dyDescent="0.3">
      <c r="A1213" s="3">
        <v>2018</v>
      </c>
      <c r="B1213" s="1" t="s">
        <v>59</v>
      </c>
      <c r="C1213" s="1" t="s">
        <v>18</v>
      </c>
      <c r="D1213" s="2">
        <v>16542</v>
      </c>
      <c r="E1213" s="2">
        <v>133603</v>
      </c>
      <c r="F1213" s="4">
        <v>65167</v>
      </c>
    </row>
    <row r="1214" spans="1:6" x14ac:dyDescent="0.3">
      <c r="A1214" s="3">
        <v>2018</v>
      </c>
      <c r="B1214" s="1" t="s">
        <v>59</v>
      </c>
      <c r="C1214" s="1" t="s">
        <v>19</v>
      </c>
      <c r="D1214" s="2">
        <v>10213</v>
      </c>
      <c r="E1214" s="2">
        <v>109030</v>
      </c>
      <c r="F1214" s="4">
        <v>73894</v>
      </c>
    </row>
    <row r="1215" spans="1:6" x14ac:dyDescent="0.3">
      <c r="A1215" s="3">
        <v>2018</v>
      </c>
      <c r="B1215" s="1" t="s">
        <v>59</v>
      </c>
      <c r="C1215" s="1" t="s">
        <v>20</v>
      </c>
      <c r="D1215" s="2">
        <v>8870</v>
      </c>
      <c r="E1215" s="2">
        <v>73500</v>
      </c>
      <c r="F1215" s="4">
        <v>67710</v>
      </c>
    </row>
    <row r="1216" spans="1:6" x14ac:dyDescent="0.3">
      <c r="A1216" s="3">
        <v>2018</v>
      </c>
      <c r="B1216" s="1" t="s">
        <v>59</v>
      </c>
      <c r="C1216" s="1" t="s">
        <v>21</v>
      </c>
      <c r="D1216" s="2">
        <v>11035</v>
      </c>
      <c r="E1216" s="2">
        <v>92881</v>
      </c>
      <c r="F1216" s="4">
        <v>67733</v>
      </c>
    </row>
    <row r="1217" spans="1:6" x14ac:dyDescent="0.3">
      <c r="A1217" s="3">
        <v>2018</v>
      </c>
      <c r="B1217" s="1" t="s">
        <v>59</v>
      </c>
      <c r="C1217" s="1" t="s">
        <v>22</v>
      </c>
      <c r="D1217" s="2">
        <v>13754</v>
      </c>
      <c r="E1217" s="2">
        <v>85071</v>
      </c>
      <c r="F1217" s="4">
        <v>62731</v>
      </c>
    </row>
    <row r="1218" spans="1:6" x14ac:dyDescent="0.3">
      <c r="A1218" s="3">
        <v>2018</v>
      </c>
      <c r="B1218" s="1" t="s">
        <v>59</v>
      </c>
      <c r="C1218" s="1" t="s">
        <v>23</v>
      </c>
      <c r="D1218" s="2">
        <v>3804</v>
      </c>
      <c r="E1218" s="2">
        <v>29811</v>
      </c>
      <c r="F1218" s="4">
        <v>68174</v>
      </c>
    </row>
    <row r="1219" spans="1:6" x14ac:dyDescent="0.3">
      <c r="A1219" s="3">
        <v>2018</v>
      </c>
      <c r="B1219" s="1" t="s">
        <v>59</v>
      </c>
      <c r="C1219" s="1" t="s">
        <v>24</v>
      </c>
      <c r="D1219" s="2">
        <v>15277</v>
      </c>
      <c r="E1219" s="2">
        <v>138261</v>
      </c>
      <c r="F1219" s="4">
        <v>94201</v>
      </c>
    </row>
    <row r="1220" spans="1:6" x14ac:dyDescent="0.3">
      <c r="A1220" s="3">
        <v>2018</v>
      </c>
      <c r="B1220" s="1" t="s">
        <v>59</v>
      </c>
      <c r="C1220" s="1" t="s">
        <v>25</v>
      </c>
      <c r="D1220" s="2">
        <v>17504</v>
      </c>
      <c r="E1220" s="2">
        <v>217151</v>
      </c>
      <c r="F1220" s="4">
        <v>144514</v>
      </c>
    </row>
    <row r="1221" spans="1:6" x14ac:dyDescent="0.3">
      <c r="A1221" s="3">
        <v>2018</v>
      </c>
      <c r="B1221" s="1" t="s">
        <v>59</v>
      </c>
      <c r="C1221" s="1" t="s">
        <v>26</v>
      </c>
      <c r="D1221" s="2">
        <v>19082</v>
      </c>
      <c r="E1221" s="2">
        <v>203261</v>
      </c>
      <c r="F1221" s="4">
        <v>71568</v>
      </c>
    </row>
    <row r="1222" spans="1:6" x14ac:dyDescent="0.3">
      <c r="A1222" s="3">
        <v>2018</v>
      </c>
      <c r="B1222" s="1" t="s">
        <v>59</v>
      </c>
      <c r="C1222" s="1" t="s">
        <v>27</v>
      </c>
      <c r="D1222" s="2">
        <v>15877</v>
      </c>
      <c r="E1222" s="2">
        <v>178309</v>
      </c>
      <c r="F1222" s="4">
        <v>95604</v>
      </c>
    </row>
    <row r="1223" spans="1:6" x14ac:dyDescent="0.3">
      <c r="A1223" s="3">
        <v>2018</v>
      </c>
      <c r="B1223" s="1" t="s">
        <v>59</v>
      </c>
      <c r="C1223" s="1" t="s">
        <v>28</v>
      </c>
      <c r="D1223" s="2">
        <v>7959</v>
      </c>
      <c r="E1223" s="2">
        <v>42911</v>
      </c>
      <c r="F1223" s="4">
        <v>53281</v>
      </c>
    </row>
    <row r="1224" spans="1:6" x14ac:dyDescent="0.3">
      <c r="A1224" s="3">
        <v>2018</v>
      </c>
      <c r="B1224" s="1" t="s">
        <v>59</v>
      </c>
      <c r="C1224" s="1" t="s">
        <v>29</v>
      </c>
      <c r="D1224" s="2">
        <v>17251</v>
      </c>
      <c r="E1224" s="2">
        <v>162755</v>
      </c>
      <c r="F1224" s="4">
        <v>72947</v>
      </c>
    </row>
    <row r="1225" spans="1:6" x14ac:dyDescent="0.3">
      <c r="A1225" s="3">
        <v>2018</v>
      </c>
      <c r="B1225" s="1" t="s">
        <v>59</v>
      </c>
      <c r="C1225" s="1" t="s">
        <v>30</v>
      </c>
      <c r="D1225" s="2">
        <v>4297</v>
      </c>
      <c r="E1225" s="2">
        <v>21204</v>
      </c>
      <c r="F1225" s="4">
        <v>59315</v>
      </c>
    </row>
    <row r="1226" spans="1:6" x14ac:dyDescent="0.3">
      <c r="A1226" s="3">
        <v>2018</v>
      </c>
      <c r="B1226" s="1" t="s">
        <v>59</v>
      </c>
      <c r="C1226" s="1" t="s">
        <v>31</v>
      </c>
      <c r="D1226" s="2">
        <v>6683</v>
      </c>
      <c r="E1226" s="2">
        <v>66245</v>
      </c>
      <c r="F1226" s="4">
        <v>66817</v>
      </c>
    </row>
    <row r="1227" spans="1:6" x14ac:dyDescent="0.3">
      <c r="A1227" s="3">
        <v>2018</v>
      </c>
      <c r="B1227" s="1" t="s">
        <v>59</v>
      </c>
      <c r="C1227" s="1" t="s">
        <v>32</v>
      </c>
      <c r="D1227" s="2">
        <v>9082</v>
      </c>
      <c r="E1227" s="2">
        <v>63303</v>
      </c>
      <c r="F1227" s="4">
        <v>66612</v>
      </c>
    </row>
    <row r="1228" spans="1:6" x14ac:dyDescent="0.3">
      <c r="A1228" s="3">
        <v>2018</v>
      </c>
      <c r="B1228" s="1" t="s">
        <v>59</v>
      </c>
      <c r="C1228" s="1" t="s">
        <v>33</v>
      </c>
      <c r="D1228" s="2">
        <v>3838</v>
      </c>
      <c r="E1228" s="2">
        <v>33486</v>
      </c>
      <c r="F1228" s="4">
        <v>94889</v>
      </c>
    </row>
    <row r="1229" spans="1:6" x14ac:dyDescent="0.3">
      <c r="A1229" s="3">
        <v>2018</v>
      </c>
      <c r="B1229" s="1" t="s">
        <v>59</v>
      </c>
      <c r="C1229" s="1" t="s">
        <v>34</v>
      </c>
      <c r="D1229" s="2">
        <v>19963</v>
      </c>
      <c r="E1229" s="2">
        <v>242994</v>
      </c>
      <c r="F1229" s="4">
        <v>115066</v>
      </c>
    </row>
    <row r="1230" spans="1:6" x14ac:dyDescent="0.3">
      <c r="A1230" s="3">
        <v>2018</v>
      </c>
      <c r="B1230" s="1" t="s">
        <v>59</v>
      </c>
      <c r="C1230" s="1" t="s">
        <v>35</v>
      </c>
      <c r="D1230" s="2">
        <v>5293</v>
      </c>
      <c r="E1230" s="2">
        <v>32955</v>
      </c>
      <c r="F1230" s="4">
        <v>56048</v>
      </c>
    </row>
    <row r="1231" spans="1:6" x14ac:dyDescent="0.3">
      <c r="A1231" s="3">
        <v>2018</v>
      </c>
      <c r="B1231" s="1" t="s">
        <v>59</v>
      </c>
      <c r="C1231" s="1" t="s">
        <v>36</v>
      </c>
      <c r="D1231" s="2">
        <v>64317</v>
      </c>
      <c r="E1231" s="2">
        <v>714540</v>
      </c>
      <c r="F1231" s="4">
        <v>186871</v>
      </c>
    </row>
    <row r="1232" spans="1:6" x14ac:dyDescent="0.3">
      <c r="A1232" s="3">
        <v>2018</v>
      </c>
      <c r="B1232" s="1" t="s">
        <v>59</v>
      </c>
      <c r="C1232" s="1" t="s">
        <v>37</v>
      </c>
      <c r="D1232" s="2">
        <v>27776</v>
      </c>
      <c r="E1232" s="2">
        <v>233277</v>
      </c>
      <c r="F1232" s="4">
        <v>87311</v>
      </c>
    </row>
    <row r="1233" spans="1:6" x14ac:dyDescent="0.3">
      <c r="A1233" s="3">
        <v>2018</v>
      </c>
      <c r="B1233" s="1" t="s">
        <v>59</v>
      </c>
      <c r="C1233" s="1" t="s">
        <v>38</v>
      </c>
      <c r="D1233" s="2">
        <v>2995</v>
      </c>
      <c r="E1233" s="2">
        <v>23145</v>
      </c>
      <c r="F1233" s="4">
        <v>63251</v>
      </c>
    </row>
    <row r="1234" spans="1:6" x14ac:dyDescent="0.3">
      <c r="A1234" s="3">
        <v>2018</v>
      </c>
      <c r="B1234" s="1" t="s">
        <v>59</v>
      </c>
      <c r="C1234" s="1" t="s">
        <v>39</v>
      </c>
      <c r="D1234" s="2">
        <v>28783</v>
      </c>
      <c r="E1234" s="2">
        <v>293549</v>
      </c>
      <c r="F1234" s="4">
        <v>72736</v>
      </c>
    </row>
    <row r="1235" spans="1:6" x14ac:dyDescent="0.3">
      <c r="A1235" s="3">
        <v>2018</v>
      </c>
      <c r="B1235" s="1" t="s">
        <v>59</v>
      </c>
      <c r="C1235" s="1" t="s">
        <v>40</v>
      </c>
      <c r="D1235" s="2">
        <v>11458</v>
      </c>
      <c r="E1235" s="2">
        <v>77052</v>
      </c>
      <c r="F1235" s="4">
        <v>58044</v>
      </c>
    </row>
    <row r="1236" spans="1:6" x14ac:dyDescent="0.3">
      <c r="A1236" s="3">
        <v>2018</v>
      </c>
      <c r="B1236" s="1" t="s">
        <v>59</v>
      </c>
      <c r="C1236" s="1" t="s">
        <v>41</v>
      </c>
      <c r="D1236" s="2">
        <v>13030</v>
      </c>
      <c r="E1236" s="2">
        <v>84865</v>
      </c>
      <c r="F1236" s="4">
        <v>69649</v>
      </c>
    </row>
    <row r="1237" spans="1:6" x14ac:dyDescent="0.3">
      <c r="A1237" s="3">
        <v>2018</v>
      </c>
      <c r="B1237" s="1" t="s">
        <v>59</v>
      </c>
      <c r="C1237" s="1" t="s">
        <v>42</v>
      </c>
      <c r="D1237" s="2">
        <v>28823</v>
      </c>
      <c r="E1237" s="2">
        <v>325130</v>
      </c>
      <c r="F1237" s="4">
        <v>88831</v>
      </c>
    </row>
    <row r="1238" spans="1:6" x14ac:dyDescent="0.3">
      <c r="A1238" s="3">
        <v>2018</v>
      </c>
      <c r="B1238" s="1" t="s">
        <v>59</v>
      </c>
      <c r="C1238" s="1" t="s">
        <v>43</v>
      </c>
      <c r="D1238" s="2">
        <v>2869</v>
      </c>
      <c r="E1238" s="2">
        <v>32305</v>
      </c>
      <c r="F1238" s="4">
        <v>88061</v>
      </c>
    </row>
    <row r="1239" spans="1:6" x14ac:dyDescent="0.3">
      <c r="A1239" s="3">
        <v>2018</v>
      </c>
      <c r="B1239" s="1" t="s">
        <v>59</v>
      </c>
      <c r="C1239" s="1" t="s">
        <v>44</v>
      </c>
      <c r="D1239" s="2">
        <v>13166</v>
      </c>
      <c r="E1239" s="2">
        <v>100794</v>
      </c>
      <c r="F1239" s="4">
        <v>61713</v>
      </c>
    </row>
    <row r="1240" spans="1:6" x14ac:dyDescent="0.3">
      <c r="A1240" s="3">
        <v>2018</v>
      </c>
      <c r="B1240" s="1" t="s">
        <v>59</v>
      </c>
      <c r="C1240" s="1" t="s">
        <v>45</v>
      </c>
      <c r="D1240" s="2">
        <v>3259</v>
      </c>
      <c r="E1240" s="2">
        <v>28739</v>
      </c>
      <c r="F1240" s="4">
        <v>60160</v>
      </c>
    </row>
    <row r="1241" spans="1:6" x14ac:dyDescent="0.3">
      <c r="A1241" s="3">
        <v>2018</v>
      </c>
      <c r="B1241" s="1" t="s">
        <v>59</v>
      </c>
      <c r="C1241" s="1" t="s">
        <v>46</v>
      </c>
      <c r="D1241" s="2">
        <v>15698</v>
      </c>
      <c r="E1241" s="2">
        <v>150833</v>
      </c>
      <c r="F1241" s="4">
        <v>76718</v>
      </c>
    </row>
    <row r="1242" spans="1:6" x14ac:dyDescent="0.3">
      <c r="A1242" s="3">
        <v>2018</v>
      </c>
      <c r="B1242" s="1" t="s">
        <v>59</v>
      </c>
      <c r="C1242" s="1" t="s">
        <v>47</v>
      </c>
      <c r="D1242" s="2">
        <v>73679</v>
      </c>
      <c r="E1242" s="2">
        <v>756318</v>
      </c>
      <c r="F1242" s="4">
        <v>83356</v>
      </c>
    </row>
    <row r="1243" spans="1:6" x14ac:dyDescent="0.3">
      <c r="A1243" s="3">
        <v>2018</v>
      </c>
      <c r="B1243" s="1" t="s">
        <v>59</v>
      </c>
      <c r="C1243" s="1" t="s">
        <v>48</v>
      </c>
      <c r="D1243" s="2">
        <v>11520</v>
      </c>
      <c r="E1243" s="2">
        <v>87530</v>
      </c>
      <c r="F1243" s="4">
        <v>67933</v>
      </c>
    </row>
    <row r="1244" spans="1:6" x14ac:dyDescent="0.3">
      <c r="A1244" s="3">
        <v>2018</v>
      </c>
      <c r="B1244" s="1" t="s">
        <v>59</v>
      </c>
      <c r="C1244" s="1" t="s">
        <v>49</v>
      </c>
      <c r="D1244" s="2">
        <v>1694</v>
      </c>
      <c r="E1244" s="2">
        <v>11814</v>
      </c>
      <c r="F1244" s="4">
        <v>72078</v>
      </c>
    </row>
    <row r="1245" spans="1:6" x14ac:dyDescent="0.3">
      <c r="A1245" s="3">
        <v>2018</v>
      </c>
      <c r="B1245" s="1" t="s">
        <v>59</v>
      </c>
      <c r="C1245" s="1" t="s">
        <v>50</v>
      </c>
      <c r="D1245" s="2">
        <v>21938</v>
      </c>
      <c r="E1245" s="2">
        <v>194731</v>
      </c>
      <c r="F1245" s="4">
        <v>85723</v>
      </c>
    </row>
    <row r="1246" spans="1:6" x14ac:dyDescent="0.3">
      <c r="A1246" s="3">
        <v>2018</v>
      </c>
      <c r="B1246" s="1" t="s">
        <v>59</v>
      </c>
      <c r="C1246" s="1" t="s">
        <v>51</v>
      </c>
      <c r="D1246" s="2">
        <v>17577</v>
      </c>
      <c r="E1246" s="2">
        <v>147871</v>
      </c>
      <c r="F1246" s="4">
        <v>80466</v>
      </c>
    </row>
    <row r="1247" spans="1:6" x14ac:dyDescent="0.3">
      <c r="A1247" s="3">
        <v>2018</v>
      </c>
      <c r="B1247" s="1" t="s">
        <v>59</v>
      </c>
      <c r="C1247" s="1" t="s">
        <v>52</v>
      </c>
      <c r="D1247" s="2">
        <v>4029</v>
      </c>
      <c r="E1247" s="2">
        <v>24510</v>
      </c>
      <c r="F1247" s="4">
        <v>53206</v>
      </c>
    </row>
    <row r="1248" spans="1:6" x14ac:dyDescent="0.3">
      <c r="A1248" s="3">
        <v>2018</v>
      </c>
      <c r="B1248" s="1" t="s">
        <v>59</v>
      </c>
      <c r="C1248" s="1" t="s">
        <v>53</v>
      </c>
      <c r="D1248" s="2">
        <v>13917</v>
      </c>
      <c r="E1248" s="2">
        <v>148837</v>
      </c>
      <c r="F1248" s="4">
        <v>71561</v>
      </c>
    </row>
    <row r="1249" spans="1:6" x14ac:dyDescent="0.3">
      <c r="A1249" s="3">
        <v>2018</v>
      </c>
      <c r="B1249" s="1" t="s">
        <v>59</v>
      </c>
      <c r="C1249" s="1" t="s">
        <v>54</v>
      </c>
      <c r="D1249" s="2">
        <v>2283</v>
      </c>
      <c r="E1249" s="2">
        <v>11124</v>
      </c>
      <c r="F1249" s="4">
        <v>57486</v>
      </c>
    </row>
    <row r="1250" spans="1:6" x14ac:dyDescent="0.3">
      <c r="A1250" s="3">
        <v>2018</v>
      </c>
      <c r="B1250" s="1" t="s">
        <v>60</v>
      </c>
      <c r="C1250" s="1" t="s">
        <v>7</v>
      </c>
      <c r="D1250" s="2">
        <v>21888</v>
      </c>
      <c r="E1250" s="2">
        <v>245234</v>
      </c>
      <c r="F1250" s="4">
        <v>55653</v>
      </c>
    </row>
    <row r="1251" spans="1:6" x14ac:dyDescent="0.3">
      <c r="A1251" s="3">
        <v>2018</v>
      </c>
      <c r="B1251" s="1" t="s">
        <v>60</v>
      </c>
      <c r="C1251" s="1" t="s">
        <v>8</v>
      </c>
      <c r="D1251" s="2">
        <v>35993</v>
      </c>
      <c r="E1251" s="2">
        <v>430516</v>
      </c>
      <c r="F1251" s="4">
        <v>56745</v>
      </c>
    </row>
    <row r="1252" spans="1:6" x14ac:dyDescent="0.3">
      <c r="A1252" s="3">
        <v>2018</v>
      </c>
      <c r="B1252" s="1" t="s">
        <v>60</v>
      </c>
      <c r="C1252" s="1" t="s">
        <v>9</v>
      </c>
      <c r="D1252" s="2">
        <v>14308</v>
      </c>
      <c r="E1252" s="2">
        <v>146700</v>
      </c>
      <c r="F1252" s="4">
        <v>60316</v>
      </c>
    </row>
    <row r="1253" spans="1:6" x14ac:dyDescent="0.3">
      <c r="A1253" s="3">
        <v>2018</v>
      </c>
      <c r="B1253" s="1" t="s">
        <v>60</v>
      </c>
      <c r="C1253" s="1" t="s">
        <v>10</v>
      </c>
      <c r="D1253" s="2">
        <v>208425</v>
      </c>
      <c r="E1253" s="2">
        <v>2667839</v>
      </c>
      <c r="F1253" s="4">
        <v>91070</v>
      </c>
    </row>
    <row r="1254" spans="1:6" x14ac:dyDescent="0.3">
      <c r="A1254" s="3">
        <v>2018</v>
      </c>
      <c r="B1254" s="1" t="s">
        <v>60</v>
      </c>
      <c r="C1254" s="1" t="s">
        <v>11</v>
      </c>
      <c r="D1254" s="2">
        <v>52525</v>
      </c>
      <c r="E1254" s="2">
        <v>423946</v>
      </c>
      <c r="F1254" s="4">
        <v>81401</v>
      </c>
    </row>
    <row r="1255" spans="1:6" x14ac:dyDescent="0.3">
      <c r="A1255" s="3">
        <v>2018</v>
      </c>
      <c r="B1255" s="1" t="s">
        <v>60</v>
      </c>
      <c r="C1255" s="1" t="s">
        <v>12</v>
      </c>
      <c r="D1255" s="2">
        <v>23279</v>
      </c>
      <c r="E1255" s="2">
        <v>221029</v>
      </c>
      <c r="F1255" s="4">
        <v>87958</v>
      </c>
    </row>
    <row r="1256" spans="1:6" x14ac:dyDescent="0.3">
      <c r="A1256" s="3">
        <v>2018</v>
      </c>
      <c r="B1256" s="1" t="s">
        <v>60</v>
      </c>
      <c r="C1256" s="1" t="s">
        <v>13</v>
      </c>
      <c r="D1256" s="2">
        <v>8956</v>
      </c>
      <c r="E1256" s="2">
        <v>63405</v>
      </c>
      <c r="F1256" s="4">
        <v>80066</v>
      </c>
    </row>
    <row r="1257" spans="1:6" x14ac:dyDescent="0.3">
      <c r="A1257" s="3">
        <v>2018</v>
      </c>
      <c r="B1257" s="1" t="s">
        <v>60</v>
      </c>
      <c r="C1257" s="1" t="s">
        <v>14</v>
      </c>
      <c r="D1257" s="2">
        <v>161890</v>
      </c>
      <c r="E1257" s="2">
        <v>1365136</v>
      </c>
      <c r="F1257" s="4">
        <v>60914</v>
      </c>
    </row>
    <row r="1258" spans="1:6" x14ac:dyDescent="0.3">
      <c r="A1258" s="3">
        <v>2018</v>
      </c>
      <c r="B1258" s="1" t="s">
        <v>60</v>
      </c>
      <c r="C1258" s="1" t="s">
        <v>15</v>
      </c>
      <c r="D1258" s="2">
        <v>54714</v>
      </c>
      <c r="E1258" s="2">
        <v>687321</v>
      </c>
      <c r="F1258" s="4">
        <v>66989</v>
      </c>
    </row>
    <row r="1259" spans="1:6" x14ac:dyDescent="0.3">
      <c r="A1259" s="3">
        <v>2018</v>
      </c>
      <c r="B1259" s="1" t="s">
        <v>60</v>
      </c>
      <c r="C1259" s="1" t="s">
        <v>16</v>
      </c>
      <c r="D1259" s="2">
        <v>11562</v>
      </c>
      <c r="E1259" s="2">
        <v>91631</v>
      </c>
      <c r="F1259" s="4">
        <v>51695</v>
      </c>
    </row>
    <row r="1260" spans="1:6" x14ac:dyDescent="0.3">
      <c r="A1260" s="3">
        <v>2018</v>
      </c>
      <c r="B1260" s="1" t="s">
        <v>60</v>
      </c>
      <c r="C1260" s="1" t="s">
        <v>17</v>
      </c>
      <c r="D1260" s="2">
        <v>74587</v>
      </c>
      <c r="E1260" s="2">
        <v>948766</v>
      </c>
      <c r="F1260" s="4">
        <v>76586</v>
      </c>
    </row>
    <row r="1261" spans="1:6" x14ac:dyDescent="0.3">
      <c r="A1261" s="3">
        <v>2018</v>
      </c>
      <c r="B1261" s="1" t="s">
        <v>60</v>
      </c>
      <c r="C1261" s="1" t="s">
        <v>18</v>
      </c>
      <c r="D1261" s="2">
        <v>29755</v>
      </c>
      <c r="E1261" s="2">
        <v>342835</v>
      </c>
      <c r="F1261" s="4">
        <v>52468</v>
      </c>
    </row>
    <row r="1262" spans="1:6" x14ac:dyDescent="0.3">
      <c r="A1262" s="3">
        <v>2018</v>
      </c>
      <c r="B1262" s="1" t="s">
        <v>60</v>
      </c>
      <c r="C1262" s="1" t="s">
        <v>19</v>
      </c>
      <c r="D1262" s="2">
        <v>15839</v>
      </c>
      <c r="E1262" s="2">
        <v>140535</v>
      </c>
      <c r="F1262" s="4">
        <v>54071</v>
      </c>
    </row>
    <row r="1263" spans="1:6" x14ac:dyDescent="0.3">
      <c r="A1263" s="3">
        <v>2018</v>
      </c>
      <c r="B1263" s="1" t="s">
        <v>60</v>
      </c>
      <c r="C1263" s="1" t="s">
        <v>20</v>
      </c>
      <c r="D1263" s="2">
        <v>16731</v>
      </c>
      <c r="E1263" s="2">
        <v>179413</v>
      </c>
      <c r="F1263" s="4">
        <v>61288</v>
      </c>
    </row>
    <row r="1264" spans="1:6" x14ac:dyDescent="0.3">
      <c r="A1264" s="3">
        <v>2018</v>
      </c>
      <c r="B1264" s="1" t="s">
        <v>60</v>
      </c>
      <c r="C1264" s="1" t="s">
        <v>21</v>
      </c>
      <c r="D1264" s="2">
        <v>20542</v>
      </c>
      <c r="E1264" s="2">
        <v>217081</v>
      </c>
      <c r="F1264" s="4">
        <v>50087</v>
      </c>
    </row>
    <row r="1265" spans="1:6" x14ac:dyDescent="0.3">
      <c r="A1265" s="3">
        <v>2018</v>
      </c>
      <c r="B1265" s="1" t="s">
        <v>60</v>
      </c>
      <c r="C1265" s="1" t="s">
        <v>22</v>
      </c>
      <c r="D1265" s="2">
        <v>24537</v>
      </c>
      <c r="E1265" s="2">
        <v>213171</v>
      </c>
      <c r="F1265" s="4">
        <v>56446</v>
      </c>
    </row>
    <row r="1266" spans="1:6" x14ac:dyDescent="0.3">
      <c r="A1266" s="3">
        <v>2018</v>
      </c>
      <c r="B1266" s="1" t="s">
        <v>60</v>
      </c>
      <c r="C1266" s="1" t="s">
        <v>23</v>
      </c>
      <c r="D1266" s="2">
        <v>9940</v>
      </c>
      <c r="E1266" s="2">
        <v>69285</v>
      </c>
      <c r="F1266" s="4">
        <v>57328</v>
      </c>
    </row>
    <row r="1267" spans="1:6" x14ac:dyDescent="0.3">
      <c r="A1267" s="3">
        <v>2018</v>
      </c>
      <c r="B1267" s="1" t="s">
        <v>60</v>
      </c>
      <c r="C1267" s="1" t="s">
        <v>24</v>
      </c>
      <c r="D1267" s="2">
        <v>42809</v>
      </c>
      <c r="E1267" s="2">
        <v>452753</v>
      </c>
      <c r="F1267" s="4">
        <v>79500</v>
      </c>
    </row>
    <row r="1268" spans="1:6" x14ac:dyDescent="0.3">
      <c r="A1268" s="3">
        <v>2018</v>
      </c>
      <c r="B1268" s="1" t="s">
        <v>60</v>
      </c>
      <c r="C1268" s="1" t="s">
        <v>25</v>
      </c>
      <c r="D1268" s="2">
        <v>47416</v>
      </c>
      <c r="E1268" s="2">
        <v>587518</v>
      </c>
      <c r="F1268" s="4">
        <v>107875</v>
      </c>
    </row>
    <row r="1269" spans="1:6" x14ac:dyDescent="0.3">
      <c r="A1269" s="3">
        <v>2018</v>
      </c>
      <c r="B1269" s="1" t="s">
        <v>60</v>
      </c>
      <c r="C1269" s="1" t="s">
        <v>26</v>
      </c>
      <c r="D1269" s="2">
        <v>42545</v>
      </c>
      <c r="E1269" s="2">
        <v>657930</v>
      </c>
      <c r="F1269" s="4">
        <v>69377</v>
      </c>
    </row>
    <row r="1270" spans="1:6" x14ac:dyDescent="0.3">
      <c r="A1270" s="3">
        <v>2018</v>
      </c>
      <c r="B1270" s="1" t="s">
        <v>60</v>
      </c>
      <c r="C1270" s="1" t="s">
        <v>27</v>
      </c>
      <c r="D1270" s="2">
        <v>32020</v>
      </c>
      <c r="E1270" s="2">
        <v>378493</v>
      </c>
      <c r="F1270" s="4">
        <v>82535</v>
      </c>
    </row>
    <row r="1271" spans="1:6" x14ac:dyDescent="0.3">
      <c r="A1271" s="3">
        <v>2018</v>
      </c>
      <c r="B1271" s="1" t="s">
        <v>60</v>
      </c>
      <c r="C1271" s="1" t="s">
        <v>28</v>
      </c>
      <c r="D1271" s="2">
        <v>12259</v>
      </c>
      <c r="E1271" s="2">
        <v>109842</v>
      </c>
      <c r="F1271" s="4">
        <v>42132</v>
      </c>
    </row>
    <row r="1272" spans="1:6" x14ac:dyDescent="0.3">
      <c r="A1272" s="3">
        <v>2018</v>
      </c>
      <c r="B1272" s="1" t="s">
        <v>60</v>
      </c>
      <c r="C1272" s="1" t="s">
        <v>29</v>
      </c>
      <c r="D1272" s="2">
        <v>32577</v>
      </c>
      <c r="E1272" s="2">
        <v>385727</v>
      </c>
      <c r="F1272" s="4">
        <v>66429</v>
      </c>
    </row>
    <row r="1273" spans="1:6" x14ac:dyDescent="0.3">
      <c r="A1273" s="3">
        <v>2018</v>
      </c>
      <c r="B1273" s="1" t="s">
        <v>60</v>
      </c>
      <c r="C1273" s="1" t="s">
        <v>30</v>
      </c>
      <c r="D1273" s="2">
        <v>9359</v>
      </c>
      <c r="E1273" s="2">
        <v>42410</v>
      </c>
      <c r="F1273" s="4">
        <v>52271</v>
      </c>
    </row>
    <row r="1274" spans="1:6" x14ac:dyDescent="0.3">
      <c r="A1274" s="3">
        <v>2018</v>
      </c>
      <c r="B1274" s="1" t="s">
        <v>60</v>
      </c>
      <c r="C1274" s="1" t="s">
        <v>31</v>
      </c>
      <c r="D1274" s="2">
        <v>11582</v>
      </c>
      <c r="E1274" s="2">
        <v>119167</v>
      </c>
      <c r="F1274" s="4">
        <v>58836</v>
      </c>
    </row>
    <row r="1275" spans="1:6" x14ac:dyDescent="0.3">
      <c r="A1275" s="3">
        <v>2018</v>
      </c>
      <c r="B1275" s="1" t="s">
        <v>60</v>
      </c>
      <c r="C1275" s="1" t="s">
        <v>32</v>
      </c>
      <c r="D1275" s="2">
        <v>19970</v>
      </c>
      <c r="E1275" s="2">
        <v>190736</v>
      </c>
      <c r="F1275" s="4">
        <v>61821</v>
      </c>
    </row>
    <row r="1276" spans="1:6" x14ac:dyDescent="0.3">
      <c r="A1276" s="3">
        <v>2018</v>
      </c>
      <c r="B1276" s="1" t="s">
        <v>60</v>
      </c>
      <c r="C1276" s="1" t="s">
        <v>33</v>
      </c>
      <c r="D1276" s="2">
        <v>12323</v>
      </c>
      <c r="E1276" s="2">
        <v>82831</v>
      </c>
      <c r="F1276" s="4">
        <v>77486</v>
      </c>
    </row>
    <row r="1277" spans="1:6" x14ac:dyDescent="0.3">
      <c r="A1277" s="3">
        <v>2018</v>
      </c>
      <c r="B1277" s="1" t="s">
        <v>60</v>
      </c>
      <c r="C1277" s="1" t="s">
        <v>34</v>
      </c>
      <c r="D1277" s="2">
        <v>51837</v>
      </c>
      <c r="E1277" s="2">
        <v>671419</v>
      </c>
      <c r="F1277" s="4">
        <v>90784</v>
      </c>
    </row>
    <row r="1278" spans="1:6" x14ac:dyDescent="0.3">
      <c r="A1278" s="3">
        <v>2018</v>
      </c>
      <c r="B1278" s="1" t="s">
        <v>60</v>
      </c>
      <c r="C1278" s="1" t="s">
        <v>35</v>
      </c>
      <c r="D1278" s="2">
        <v>10669</v>
      </c>
      <c r="E1278" s="2">
        <v>106930</v>
      </c>
      <c r="F1278" s="4">
        <v>61899</v>
      </c>
    </row>
    <row r="1279" spans="1:6" x14ac:dyDescent="0.3">
      <c r="A1279" s="3">
        <v>2018</v>
      </c>
      <c r="B1279" s="1" t="s">
        <v>60</v>
      </c>
      <c r="C1279" s="1" t="s">
        <v>36</v>
      </c>
      <c r="D1279" s="2">
        <v>112471</v>
      </c>
      <c r="E1279" s="2">
        <v>1339421</v>
      </c>
      <c r="F1279" s="4">
        <v>95057</v>
      </c>
    </row>
    <row r="1280" spans="1:6" x14ac:dyDescent="0.3">
      <c r="A1280" s="3">
        <v>2018</v>
      </c>
      <c r="B1280" s="1" t="s">
        <v>60</v>
      </c>
      <c r="C1280" s="1" t="s">
        <v>37</v>
      </c>
      <c r="D1280" s="2">
        <v>58892</v>
      </c>
      <c r="E1280" s="2">
        <v>635554</v>
      </c>
      <c r="F1280" s="4">
        <v>65609</v>
      </c>
    </row>
    <row r="1281" spans="1:6" x14ac:dyDescent="0.3">
      <c r="A1281" s="3">
        <v>2018</v>
      </c>
      <c r="B1281" s="1" t="s">
        <v>60</v>
      </c>
      <c r="C1281" s="1" t="s">
        <v>38</v>
      </c>
      <c r="D1281" s="2">
        <v>5130</v>
      </c>
      <c r="E1281" s="2">
        <v>34560</v>
      </c>
      <c r="F1281" s="4">
        <v>61774</v>
      </c>
    </row>
    <row r="1282" spans="1:6" x14ac:dyDescent="0.3">
      <c r="A1282" s="3">
        <v>2018</v>
      </c>
      <c r="B1282" s="1" t="s">
        <v>60</v>
      </c>
      <c r="C1282" s="1" t="s">
        <v>39</v>
      </c>
      <c r="D1282" s="2">
        <v>53280</v>
      </c>
      <c r="E1282" s="2">
        <v>729430</v>
      </c>
      <c r="F1282" s="4">
        <v>64006</v>
      </c>
    </row>
    <row r="1283" spans="1:6" x14ac:dyDescent="0.3">
      <c r="A1283" s="3">
        <v>2018</v>
      </c>
      <c r="B1283" s="1" t="s">
        <v>60</v>
      </c>
      <c r="C1283" s="1" t="s">
        <v>40</v>
      </c>
      <c r="D1283" s="2">
        <v>20594</v>
      </c>
      <c r="E1283" s="2">
        <v>191261</v>
      </c>
      <c r="F1283" s="4">
        <v>52227</v>
      </c>
    </row>
    <row r="1284" spans="1:6" x14ac:dyDescent="0.3">
      <c r="A1284" s="3">
        <v>2018</v>
      </c>
      <c r="B1284" s="1" t="s">
        <v>60</v>
      </c>
      <c r="C1284" s="1" t="s">
        <v>41</v>
      </c>
      <c r="D1284" s="2">
        <v>25462</v>
      </c>
      <c r="E1284" s="2">
        <v>248627</v>
      </c>
      <c r="F1284" s="4">
        <v>69806</v>
      </c>
    </row>
    <row r="1285" spans="1:6" x14ac:dyDescent="0.3">
      <c r="A1285" s="3">
        <v>2018</v>
      </c>
      <c r="B1285" s="1" t="s">
        <v>60</v>
      </c>
      <c r="C1285" s="1" t="s">
        <v>42</v>
      </c>
      <c r="D1285" s="2">
        <v>63415</v>
      </c>
      <c r="E1285" s="2">
        <v>806555</v>
      </c>
      <c r="F1285" s="4">
        <v>78092</v>
      </c>
    </row>
    <row r="1286" spans="1:6" x14ac:dyDescent="0.3">
      <c r="A1286" s="3">
        <v>2018</v>
      </c>
      <c r="B1286" s="1" t="s">
        <v>60</v>
      </c>
      <c r="C1286" s="1" t="s">
        <v>43</v>
      </c>
      <c r="D1286" s="2">
        <v>8651</v>
      </c>
      <c r="E1286" s="2">
        <v>68430</v>
      </c>
      <c r="F1286" s="4">
        <v>68957</v>
      </c>
    </row>
    <row r="1287" spans="1:6" x14ac:dyDescent="0.3">
      <c r="A1287" s="3">
        <v>2018</v>
      </c>
      <c r="B1287" s="1" t="s">
        <v>60</v>
      </c>
      <c r="C1287" s="1" t="s">
        <v>44</v>
      </c>
      <c r="D1287" s="2">
        <v>26993</v>
      </c>
      <c r="E1287" s="2">
        <v>293499</v>
      </c>
      <c r="F1287" s="4">
        <v>50391</v>
      </c>
    </row>
    <row r="1288" spans="1:6" x14ac:dyDescent="0.3">
      <c r="A1288" s="3">
        <v>2018</v>
      </c>
      <c r="B1288" s="1" t="s">
        <v>60</v>
      </c>
      <c r="C1288" s="1" t="s">
        <v>45</v>
      </c>
      <c r="D1288" s="2">
        <v>5205</v>
      </c>
      <c r="E1288" s="2">
        <v>32354</v>
      </c>
      <c r="F1288" s="4">
        <v>56384</v>
      </c>
    </row>
    <row r="1289" spans="1:6" x14ac:dyDescent="0.3">
      <c r="A1289" s="3">
        <v>2018</v>
      </c>
      <c r="B1289" s="1" t="s">
        <v>60</v>
      </c>
      <c r="C1289" s="1" t="s">
        <v>46</v>
      </c>
      <c r="D1289" s="2">
        <v>29519</v>
      </c>
      <c r="E1289" s="2">
        <v>417345</v>
      </c>
      <c r="F1289" s="4">
        <v>59851</v>
      </c>
    </row>
    <row r="1290" spans="1:6" x14ac:dyDescent="0.3">
      <c r="A1290" s="3">
        <v>2018</v>
      </c>
      <c r="B1290" s="1" t="s">
        <v>60</v>
      </c>
      <c r="C1290" s="1" t="s">
        <v>47</v>
      </c>
      <c r="D1290" s="2">
        <v>134025</v>
      </c>
      <c r="E1290" s="2">
        <v>1736415</v>
      </c>
      <c r="F1290" s="4">
        <v>74443</v>
      </c>
    </row>
    <row r="1291" spans="1:6" x14ac:dyDescent="0.3">
      <c r="A1291" s="3">
        <v>2018</v>
      </c>
      <c r="B1291" s="1" t="s">
        <v>60</v>
      </c>
      <c r="C1291" s="1" t="s">
        <v>48</v>
      </c>
      <c r="D1291" s="2">
        <v>23036</v>
      </c>
      <c r="E1291" s="2">
        <v>215564</v>
      </c>
      <c r="F1291" s="4">
        <v>59543</v>
      </c>
    </row>
    <row r="1292" spans="1:6" x14ac:dyDescent="0.3">
      <c r="A1292" s="3">
        <v>2018</v>
      </c>
      <c r="B1292" s="1" t="s">
        <v>60</v>
      </c>
      <c r="C1292" s="1" t="s">
        <v>49</v>
      </c>
      <c r="D1292" s="2">
        <v>5661</v>
      </c>
      <c r="E1292" s="2">
        <v>28976</v>
      </c>
      <c r="F1292" s="4">
        <v>64917</v>
      </c>
    </row>
    <row r="1293" spans="1:6" x14ac:dyDescent="0.3">
      <c r="A1293" s="3">
        <v>2018</v>
      </c>
      <c r="B1293" s="1" t="s">
        <v>60</v>
      </c>
      <c r="C1293" s="1" t="s">
        <v>50</v>
      </c>
      <c r="D1293" s="2">
        <v>58849</v>
      </c>
      <c r="E1293" s="2">
        <v>746452</v>
      </c>
      <c r="F1293" s="4">
        <v>87511</v>
      </c>
    </row>
    <row r="1294" spans="1:6" x14ac:dyDescent="0.3">
      <c r="A1294" s="3">
        <v>2018</v>
      </c>
      <c r="B1294" s="1" t="s">
        <v>60</v>
      </c>
      <c r="C1294" s="1" t="s">
        <v>51</v>
      </c>
      <c r="D1294" s="2">
        <v>40209</v>
      </c>
      <c r="E1294" s="2">
        <v>414712</v>
      </c>
      <c r="F1294" s="4">
        <v>82245</v>
      </c>
    </row>
    <row r="1295" spans="1:6" x14ac:dyDescent="0.3">
      <c r="A1295" s="3">
        <v>2018</v>
      </c>
      <c r="B1295" s="1" t="s">
        <v>60</v>
      </c>
      <c r="C1295" s="1" t="s">
        <v>52</v>
      </c>
      <c r="D1295" s="2">
        <v>8323</v>
      </c>
      <c r="E1295" s="2">
        <v>68965</v>
      </c>
      <c r="F1295" s="4">
        <v>51745</v>
      </c>
    </row>
    <row r="1296" spans="1:6" x14ac:dyDescent="0.3">
      <c r="A1296" s="3">
        <v>2018</v>
      </c>
      <c r="B1296" s="1" t="s">
        <v>60</v>
      </c>
      <c r="C1296" s="1" t="s">
        <v>53</v>
      </c>
      <c r="D1296" s="2">
        <v>25856</v>
      </c>
      <c r="E1296" s="2">
        <v>327719</v>
      </c>
      <c r="F1296" s="4">
        <v>60773</v>
      </c>
    </row>
    <row r="1297" spans="1:6" x14ac:dyDescent="0.3">
      <c r="A1297" s="3">
        <v>2018</v>
      </c>
      <c r="B1297" s="1" t="s">
        <v>60</v>
      </c>
      <c r="C1297" s="1" t="s">
        <v>54</v>
      </c>
      <c r="D1297" s="2">
        <v>4559</v>
      </c>
      <c r="E1297" s="2">
        <v>18733</v>
      </c>
      <c r="F1297" s="4">
        <v>52783</v>
      </c>
    </row>
    <row r="1298" spans="1:6" x14ac:dyDescent="0.3">
      <c r="A1298" s="3">
        <v>2018</v>
      </c>
      <c r="B1298" s="1" t="s">
        <v>61</v>
      </c>
      <c r="C1298" s="1" t="s">
        <v>7</v>
      </c>
      <c r="D1298" s="2">
        <v>12678</v>
      </c>
      <c r="E1298" s="2">
        <v>233306</v>
      </c>
      <c r="F1298" s="4">
        <v>46432</v>
      </c>
    </row>
    <row r="1299" spans="1:6" x14ac:dyDescent="0.3">
      <c r="A1299" s="3">
        <v>2018</v>
      </c>
      <c r="B1299" s="1" t="s">
        <v>61</v>
      </c>
      <c r="C1299" s="1" t="s">
        <v>8</v>
      </c>
      <c r="D1299" s="2">
        <v>18037</v>
      </c>
      <c r="E1299" s="2">
        <v>440616</v>
      </c>
      <c r="F1299" s="4">
        <v>51125</v>
      </c>
    </row>
    <row r="1300" spans="1:6" x14ac:dyDescent="0.3">
      <c r="A1300" s="3">
        <v>2018</v>
      </c>
      <c r="B1300" s="1" t="s">
        <v>61</v>
      </c>
      <c r="C1300" s="1" t="s">
        <v>9</v>
      </c>
      <c r="D1300" s="2">
        <v>15788</v>
      </c>
      <c r="E1300" s="2">
        <v>186119</v>
      </c>
      <c r="F1300" s="4">
        <v>42468</v>
      </c>
    </row>
    <row r="1301" spans="1:6" x14ac:dyDescent="0.3">
      <c r="A1301" s="3">
        <v>2018</v>
      </c>
      <c r="B1301" s="1" t="s">
        <v>61</v>
      </c>
      <c r="C1301" s="1" t="s">
        <v>10</v>
      </c>
      <c r="D1301" s="2">
        <v>618901</v>
      </c>
      <c r="E1301" s="2">
        <v>2649228</v>
      </c>
      <c r="F1301" s="4">
        <v>52187</v>
      </c>
    </row>
    <row r="1302" spans="1:6" x14ac:dyDescent="0.3">
      <c r="A1302" s="3">
        <v>2018</v>
      </c>
      <c r="B1302" s="1" t="s">
        <v>61</v>
      </c>
      <c r="C1302" s="1" t="s">
        <v>11</v>
      </c>
      <c r="D1302" s="2">
        <v>21666</v>
      </c>
      <c r="E1302" s="2">
        <v>335274</v>
      </c>
      <c r="F1302" s="4">
        <v>50156</v>
      </c>
    </row>
    <row r="1303" spans="1:6" x14ac:dyDescent="0.3">
      <c r="A1303" s="3">
        <v>2018</v>
      </c>
      <c r="B1303" s="1" t="s">
        <v>61</v>
      </c>
      <c r="C1303" s="1" t="s">
        <v>12</v>
      </c>
      <c r="D1303" s="2">
        <v>13090</v>
      </c>
      <c r="E1303" s="2">
        <v>326866</v>
      </c>
      <c r="F1303" s="4">
        <v>55369</v>
      </c>
    </row>
    <row r="1304" spans="1:6" x14ac:dyDescent="0.3">
      <c r="A1304" s="3">
        <v>2018</v>
      </c>
      <c r="B1304" s="1" t="s">
        <v>61</v>
      </c>
      <c r="C1304" s="1" t="s">
        <v>13</v>
      </c>
      <c r="D1304" s="2">
        <v>5063</v>
      </c>
      <c r="E1304" s="2">
        <v>75524</v>
      </c>
      <c r="F1304" s="4">
        <v>53795</v>
      </c>
    </row>
    <row r="1305" spans="1:6" x14ac:dyDescent="0.3">
      <c r="A1305" s="3">
        <v>2018</v>
      </c>
      <c r="B1305" s="1" t="s">
        <v>61</v>
      </c>
      <c r="C1305" s="1" t="s">
        <v>14</v>
      </c>
      <c r="D1305" s="2">
        <v>73761</v>
      </c>
      <c r="E1305" s="2">
        <v>1287814</v>
      </c>
      <c r="F1305" s="4">
        <v>50781</v>
      </c>
    </row>
    <row r="1306" spans="1:6" x14ac:dyDescent="0.3">
      <c r="A1306" s="3">
        <v>2018</v>
      </c>
      <c r="B1306" s="1" t="s">
        <v>61</v>
      </c>
      <c r="C1306" s="1" t="s">
        <v>15</v>
      </c>
      <c r="D1306" s="2">
        <v>28952</v>
      </c>
      <c r="E1306" s="2">
        <v>562436</v>
      </c>
      <c r="F1306" s="4">
        <v>52062</v>
      </c>
    </row>
    <row r="1307" spans="1:6" x14ac:dyDescent="0.3">
      <c r="A1307" s="3">
        <v>2018</v>
      </c>
      <c r="B1307" s="1" t="s">
        <v>61</v>
      </c>
      <c r="C1307" s="1" t="s">
        <v>16</v>
      </c>
      <c r="D1307" s="2">
        <v>7824</v>
      </c>
      <c r="E1307" s="2">
        <v>100212</v>
      </c>
      <c r="F1307" s="4">
        <v>42047</v>
      </c>
    </row>
    <row r="1308" spans="1:6" x14ac:dyDescent="0.3">
      <c r="A1308" s="3">
        <v>2018</v>
      </c>
      <c r="B1308" s="1" t="s">
        <v>61</v>
      </c>
      <c r="C1308" s="1" t="s">
        <v>17</v>
      </c>
      <c r="D1308" s="2">
        <v>34720</v>
      </c>
      <c r="E1308" s="2">
        <v>919288</v>
      </c>
      <c r="F1308" s="4">
        <v>50959</v>
      </c>
    </row>
    <row r="1309" spans="1:6" x14ac:dyDescent="0.3">
      <c r="A1309" s="3">
        <v>2018</v>
      </c>
      <c r="B1309" s="1" t="s">
        <v>61</v>
      </c>
      <c r="C1309" s="1" t="s">
        <v>18</v>
      </c>
      <c r="D1309" s="2">
        <v>15692</v>
      </c>
      <c r="E1309" s="2">
        <v>459398</v>
      </c>
      <c r="F1309" s="4">
        <v>47681</v>
      </c>
    </row>
    <row r="1310" spans="1:6" x14ac:dyDescent="0.3">
      <c r="A1310" s="3">
        <v>2018</v>
      </c>
      <c r="B1310" s="1" t="s">
        <v>61</v>
      </c>
      <c r="C1310" s="1" t="s">
        <v>19</v>
      </c>
      <c r="D1310" s="2">
        <v>11589</v>
      </c>
      <c r="E1310" s="2">
        <v>219674</v>
      </c>
      <c r="F1310" s="4">
        <v>43022</v>
      </c>
    </row>
    <row r="1311" spans="1:6" x14ac:dyDescent="0.3">
      <c r="A1311" s="3">
        <v>2018</v>
      </c>
      <c r="B1311" s="1" t="s">
        <v>61</v>
      </c>
      <c r="C1311" s="1" t="s">
        <v>20</v>
      </c>
      <c r="D1311" s="2">
        <v>10277</v>
      </c>
      <c r="E1311" s="2">
        <v>195132</v>
      </c>
      <c r="F1311" s="4">
        <v>42586</v>
      </c>
    </row>
    <row r="1312" spans="1:6" x14ac:dyDescent="0.3">
      <c r="A1312" s="3">
        <v>2018</v>
      </c>
      <c r="B1312" s="1" t="s">
        <v>61</v>
      </c>
      <c r="C1312" s="1" t="s">
        <v>21</v>
      </c>
      <c r="D1312" s="2">
        <v>18161</v>
      </c>
      <c r="E1312" s="2">
        <v>267486</v>
      </c>
      <c r="F1312" s="4">
        <v>48210</v>
      </c>
    </row>
    <row r="1313" spans="1:6" x14ac:dyDescent="0.3">
      <c r="A1313" s="3">
        <v>2018</v>
      </c>
      <c r="B1313" s="1" t="s">
        <v>61</v>
      </c>
      <c r="C1313" s="1" t="s">
        <v>22</v>
      </c>
      <c r="D1313" s="2">
        <v>15480</v>
      </c>
      <c r="E1313" s="2">
        <v>300015</v>
      </c>
      <c r="F1313" s="4">
        <v>43339</v>
      </c>
    </row>
    <row r="1314" spans="1:6" x14ac:dyDescent="0.3">
      <c r="A1314" s="3">
        <v>2018</v>
      </c>
      <c r="B1314" s="1" t="s">
        <v>61</v>
      </c>
      <c r="C1314" s="1" t="s">
        <v>23</v>
      </c>
      <c r="D1314" s="2">
        <v>5483</v>
      </c>
      <c r="E1314" s="2">
        <v>118009</v>
      </c>
      <c r="F1314" s="4">
        <v>47535</v>
      </c>
    </row>
    <row r="1315" spans="1:6" x14ac:dyDescent="0.3">
      <c r="A1315" s="3">
        <v>2018</v>
      </c>
      <c r="B1315" s="1" t="s">
        <v>61</v>
      </c>
      <c r="C1315" s="1" t="s">
        <v>24</v>
      </c>
      <c r="D1315" s="2">
        <v>20856</v>
      </c>
      <c r="E1315" s="2">
        <v>445328</v>
      </c>
      <c r="F1315" s="4">
        <v>54310</v>
      </c>
    </row>
    <row r="1316" spans="1:6" x14ac:dyDescent="0.3">
      <c r="A1316" s="3">
        <v>2018</v>
      </c>
      <c r="B1316" s="1" t="s">
        <v>61</v>
      </c>
      <c r="C1316" s="1" t="s">
        <v>25</v>
      </c>
      <c r="D1316" s="2">
        <v>66364</v>
      </c>
      <c r="E1316" s="2">
        <v>773683</v>
      </c>
      <c r="F1316" s="4">
        <v>58448</v>
      </c>
    </row>
    <row r="1317" spans="1:6" x14ac:dyDescent="0.3">
      <c r="A1317" s="3">
        <v>2018</v>
      </c>
      <c r="B1317" s="1" t="s">
        <v>61</v>
      </c>
      <c r="C1317" s="1" t="s">
        <v>26</v>
      </c>
      <c r="D1317" s="2">
        <v>24822</v>
      </c>
      <c r="E1317" s="2">
        <v>659230</v>
      </c>
      <c r="F1317" s="4">
        <v>49739</v>
      </c>
    </row>
    <row r="1318" spans="1:6" x14ac:dyDescent="0.3">
      <c r="A1318" s="3">
        <v>2018</v>
      </c>
      <c r="B1318" s="1" t="s">
        <v>61</v>
      </c>
      <c r="C1318" s="1" t="s">
        <v>27</v>
      </c>
      <c r="D1318" s="2">
        <v>19210</v>
      </c>
      <c r="E1318" s="2">
        <v>526556</v>
      </c>
      <c r="F1318" s="4">
        <v>51469</v>
      </c>
    </row>
    <row r="1319" spans="1:6" x14ac:dyDescent="0.3">
      <c r="A1319" s="3">
        <v>2018</v>
      </c>
      <c r="B1319" s="1" t="s">
        <v>61</v>
      </c>
      <c r="C1319" s="1" t="s">
        <v>28</v>
      </c>
      <c r="D1319" s="2">
        <v>7531</v>
      </c>
      <c r="E1319" s="2">
        <v>144105</v>
      </c>
      <c r="F1319" s="4">
        <v>41620</v>
      </c>
    </row>
    <row r="1320" spans="1:6" x14ac:dyDescent="0.3">
      <c r="A1320" s="3">
        <v>2018</v>
      </c>
      <c r="B1320" s="1" t="s">
        <v>61</v>
      </c>
      <c r="C1320" s="1" t="s">
        <v>29</v>
      </c>
      <c r="D1320" s="2">
        <v>48555</v>
      </c>
      <c r="E1320" s="2">
        <v>454728</v>
      </c>
      <c r="F1320" s="4">
        <v>46127</v>
      </c>
    </row>
    <row r="1321" spans="1:6" x14ac:dyDescent="0.3">
      <c r="A1321" s="3">
        <v>2018</v>
      </c>
      <c r="B1321" s="1" t="s">
        <v>61</v>
      </c>
      <c r="C1321" s="1" t="s">
        <v>30</v>
      </c>
      <c r="D1321" s="2">
        <v>4637</v>
      </c>
      <c r="E1321" s="2">
        <v>73530</v>
      </c>
      <c r="F1321" s="4">
        <v>47539</v>
      </c>
    </row>
    <row r="1322" spans="1:6" x14ac:dyDescent="0.3">
      <c r="A1322" s="3">
        <v>2018</v>
      </c>
      <c r="B1322" s="1" t="s">
        <v>61</v>
      </c>
      <c r="C1322" s="1" t="s">
        <v>31</v>
      </c>
      <c r="D1322" s="2">
        <v>12205</v>
      </c>
      <c r="E1322" s="2">
        <v>138155</v>
      </c>
      <c r="F1322" s="4">
        <v>46678</v>
      </c>
    </row>
    <row r="1323" spans="1:6" x14ac:dyDescent="0.3">
      <c r="A1323" s="3">
        <v>2018</v>
      </c>
      <c r="B1323" s="1" t="s">
        <v>61</v>
      </c>
      <c r="C1323" s="1" t="s">
        <v>32</v>
      </c>
      <c r="D1323" s="2">
        <v>8913</v>
      </c>
      <c r="E1323" s="2">
        <v>139036</v>
      </c>
      <c r="F1323" s="4">
        <v>54167</v>
      </c>
    </row>
    <row r="1324" spans="1:6" x14ac:dyDescent="0.3">
      <c r="A1324" s="3">
        <v>2018</v>
      </c>
      <c r="B1324" s="1" t="s">
        <v>61</v>
      </c>
      <c r="C1324" s="1" t="s">
        <v>33</v>
      </c>
      <c r="D1324" s="2">
        <v>4700</v>
      </c>
      <c r="E1324" s="2">
        <v>112567</v>
      </c>
      <c r="F1324" s="4">
        <v>56317</v>
      </c>
    </row>
    <row r="1325" spans="1:6" x14ac:dyDescent="0.3">
      <c r="A1325" s="3">
        <v>2018</v>
      </c>
      <c r="B1325" s="1" t="s">
        <v>61</v>
      </c>
      <c r="C1325" s="1" t="s">
        <v>34</v>
      </c>
      <c r="D1325" s="2">
        <v>37328</v>
      </c>
      <c r="E1325" s="2">
        <v>656716</v>
      </c>
      <c r="F1325" s="4">
        <v>53402</v>
      </c>
    </row>
    <row r="1326" spans="1:6" x14ac:dyDescent="0.3">
      <c r="A1326" s="3">
        <v>2018</v>
      </c>
      <c r="B1326" s="1" t="s">
        <v>61</v>
      </c>
      <c r="C1326" s="1" t="s">
        <v>35</v>
      </c>
      <c r="D1326" s="2">
        <v>10221</v>
      </c>
      <c r="E1326" s="2">
        <v>128590</v>
      </c>
      <c r="F1326" s="4">
        <v>41645</v>
      </c>
    </row>
    <row r="1327" spans="1:6" x14ac:dyDescent="0.3">
      <c r="A1327" s="3">
        <v>2018</v>
      </c>
      <c r="B1327" s="1" t="s">
        <v>61</v>
      </c>
      <c r="C1327" s="1" t="s">
        <v>36</v>
      </c>
      <c r="D1327" s="2">
        <v>67399</v>
      </c>
      <c r="E1327" s="2">
        <v>1914153</v>
      </c>
      <c r="F1327" s="4">
        <v>53467</v>
      </c>
    </row>
    <row r="1328" spans="1:6" x14ac:dyDescent="0.3">
      <c r="A1328" s="3">
        <v>2018</v>
      </c>
      <c r="B1328" s="1" t="s">
        <v>61</v>
      </c>
      <c r="C1328" s="1" t="s">
        <v>37</v>
      </c>
      <c r="D1328" s="2">
        <v>27210</v>
      </c>
      <c r="E1328" s="2">
        <v>592067</v>
      </c>
      <c r="F1328" s="4">
        <v>48381</v>
      </c>
    </row>
    <row r="1329" spans="1:6" x14ac:dyDescent="0.3">
      <c r="A1329" s="3">
        <v>2018</v>
      </c>
      <c r="B1329" s="1" t="s">
        <v>61</v>
      </c>
      <c r="C1329" s="1" t="s">
        <v>38</v>
      </c>
      <c r="D1329" s="2">
        <v>2558</v>
      </c>
      <c r="E1329" s="2">
        <v>62184</v>
      </c>
      <c r="F1329" s="4">
        <v>51404</v>
      </c>
    </row>
    <row r="1330" spans="1:6" x14ac:dyDescent="0.3">
      <c r="A1330" s="3">
        <v>2018</v>
      </c>
      <c r="B1330" s="1" t="s">
        <v>61</v>
      </c>
      <c r="C1330" s="1" t="s">
        <v>39</v>
      </c>
      <c r="D1330" s="2">
        <v>34508</v>
      </c>
      <c r="E1330" s="2">
        <v>904140</v>
      </c>
      <c r="F1330" s="4">
        <v>46408</v>
      </c>
    </row>
    <row r="1331" spans="1:6" x14ac:dyDescent="0.3">
      <c r="A1331" s="3">
        <v>2018</v>
      </c>
      <c r="B1331" s="1" t="s">
        <v>61</v>
      </c>
      <c r="C1331" s="1" t="s">
        <v>40</v>
      </c>
      <c r="D1331" s="2">
        <v>13563</v>
      </c>
      <c r="E1331" s="2">
        <v>209863</v>
      </c>
      <c r="F1331" s="4">
        <v>45570</v>
      </c>
    </row>
    <row r="1332" spans="1:6" x14ac:dyDescent="0.3">
      <c r="A1332" s="3">
        <v>2018</v>
      </c>
      <c r="B1332" s="1" t="s">
        <v>61</v>
      </c>
      <c r="C1332" s="1" t="s">
        <v>41</v>
      </c>
      <c r="D1332" s="2">
        <v>15708</v>
      </c>
      <c r="E1332" s="2">
        <v>288939</v>
      </c>
      <c r="F1332" s="4">
        <v>50107</v>
      </c>
    </row>
    <row r="1333" spans="1:6" x14ac:dyDescent="0.3">
      <c r="A1333" s="3">
        <v>2018</v>
      </c>
      <c r="B1333" s="1" t="s">
        <v>61</v>
      </c>
      <c r="C1333" s="1" t="s">
        <v>42</v>
      </c>
      <c r="D1333" s="2">
        <v>57768</v>
      </c>
      <c r="E1333" s="2">
        <v>1209344</v>
      </c>
      <c r="F1333" s="4">
        <v>51808</v>
      </c>
    </row>
    <row r="1334" spans="1:6" x14ac:dyDescent="0.3">
      <c r="A1334" s="3">
        <v>2018</v>
      </c>
      <c r="B1334" s="1" t="s">
        <v>61</v>
      </c>
      <c r="C1334" s="1" t="s">
        <v>43</v>
      </c>
      <c r="D1334" s="2">
        <v>4545</v>
      </c>
      <c r="E1334" s="2">
        <v>100506</v>
      </c>
      <c r="F1334" s="4">
        <v>48716</v>
      </c>
    </row>
    <row r="1335" spans="1:6" x14ac:dyDescent="0.3">
      <c r="A1335" s="3">
        <v>2018</v>
      </c>
      <c r="B1335" s="1" t="s">
        <v>61</v>
      </c>
      <c r="C1335" s="1" t="s">
        <v>44</v>
      </c>
      <c r="D1335" s="2">
        <v>11971</v>
      </c>
      <c r="E1335" s="2">
        <v>234487</v>
      </c>
      <c r="F1335" s="4">
        <v>45993</v>
      </c>
    </row>
    <row r="1336" spans="1:6" x14ac:dyDescent="0.3">
      <c r="A1336" s="3">
        <v>2018</v>
      </c>
      <c r="B1336" s="1" t="s">
        <v>61</v>
      </c>
      <c r="C1336" s="1" t="s">
        <v>45</v>
      </c>
      <c r="D1336" s="2">
        <v>2839</v>
      </c>
      <c r="E1336" s="2">
        <v>67868</v>
      </c>
      <c r="F1336" s="4">
        <v>50399</v>
      </c>
    </row>
    <row r="1337" spans="1:6" x14ac:dyDescent="0.3">
      <c r="A1337" s="3">
        <v>2018</v>
      </c>
      <c r="B1337" s="1" t="s">
        <v>61</v>
      </c>
      <c r="C1337" s="1" t="s">
        <v>46</v>
      </c>
      <c r="D1337" s="2">
        <v>16127</v>
      </c>
      <c r="E1337" s="2">
        <v>420817</v>
      </c>
      <c r="F1337" s="4">
        <v>52099</v>
      </c>
    </row>
    <row r="1338" spans="1:6" x14ac:dyDescent="0.3">
      <c r="A1338" s="3">
        <v>2018</v>
      </c>
      <c r="B1338" s="1" t="s">
        <v>61</v>
      </c>
      <c r="C1338" s="1" t="s">
        <v>47</v>
      </c>
      <c r="D1338" s="2">
        <v>90552</v>
      </c>
      <c r="E1338" s="2">
        <v>1641637</v>
      </c>
      <c r="F1338" s="4">
        <v>48036</v>
      </c>
    </row>
    <row r="1339" spans="1:6" x14ac:dyDescent="0.3">
      <c r="A1339" s="3">
        <v>2018</v>
      </c>
      <c r="B1339" s="1" t="s">
        <v>61</v>
      </c>
      <c r="C1339" s="1" t="s">
        <v>48</v>
      </c>
      <c r="D1339" s="2">
        <v>12264</v>
      </c>
      <c r="E1339" s="2">
        <v>186785</v>
      </c>
      <c r="F1339" s="4">
        <v>43696</v>
      </c>
    </row>
    <row r="1340" spans="1:6" x14ac:dyDescent="0.3">
      <c r="A1340" s="3">
        <v>2018</v>
      </c>
      <c r="B1340" s="1" t="s">
        <v>61</v>
      </c>
      <c r="C1340" s="1" t="s">
        <v>49</v>
      </c>
      <c r="D1340" s="2">
        <v>2463</v>
      </c>
      <c r="E1340" s="2">
        <v>62630</v>
      </c>
      <c r="F1340" s="4">
        <v>46699</v>
      </c>
    </row>
    <row r="1341" spans="1:6" x14ac:dyDescent="0.3">
      <c r="A1341" s="3">
        <v>2018</v>
      </c>
      <c r="B1341" s="1" t="s">
        <v>61</v>
      </c>
      <c r="C1341" s="1" t="s">
        <v>50</v>
      </c>
      <c r="D1341" s="2">
        <v>43566</v>
      </c>
      <c r="E1341" s="2">
        <v>505487</v>
      </c>
      <c r="F1341" s="4">
        <v>49627</v>
      </c>
    </row>
    <row r="1342" spans="1:6" x14ac:dyDescent="0.3">
      <c r="A1342" s="3">
        <v>2018</v>
      </c>
      <c r="B1342" s="1" t="s">
        <v>61</v>
      </c>
      <c r="C1342" s="1" t="s">
        <v>51</v>
      </c>
      <c r="D1342" s="2">
        <v>61026</v>
      </c>
      <c r="E1342" s="2">
        <v>465717</v>
      </c>
      <c r="F1342" s="4">
        <v>51354</v>
      </c>
    </row>
    <row r="1343" spans="1:6" x14ac:dyDescent="0.3">
      <c r="A1343" s="3">
        <v>2018</v>
      </c>
      <c r="B1343" s="1" t="s">
        <v>61</v>
      </c>
      <c r="C1343" s="1" t="s">
        <v>52</v>
      </c>
      <c r="D1343" s="2">
        <v>5765</v>
      </c>
      <c r="E1343" s="2">
        <v>124431</v>
      </c>
      <c r="F1343" s="4">
        <v>46182</v>
      </c>
    </row>
    <row r="1344" spans="1:6" x14ac:dyDescent="0.3">
      <c r="A1344" s="3">
        <v>2018</v>
      </c>
      <c r="B1344" s="1" t="s">
        <v>61</v>
      </c>
      <c r="C1344" s="1" t="s">
        <v>53</v>
      </c>
      <c r="D1344" s="2">
        <v>28013</v>
      </c>
      <c r="E1344" s="2">
        <v>434143</v>
      </c>
      <c r="F1344" s="4">
        <v>49195</v>
      </c>
    </row>
    <row r="1345" spans="1:6" x14ac:dyDescent="0.3">
      <c r="A1345" s="3">
        <v>2018</v>
      </c>
      <c r="B1345" s="1" t="s">
        <v>61</v>
      </c>
      <c r="C1345" s="1" t="s">
        <v>54</v>
      </c>
      <c r="D1345" s="2">
        <v>3338</v>
      </c>
      <c r="E1345" s="2">
        <v>26972</v>
      </c>
      <c r="F1345" s="4">
        <v>42906</v>
      </c>
    </row>
    <row r="1346" spans="1:6" x14ac:dyDescent="0.3">
      <c r="A1346" s="3">
        <v>2018</v>
      </c>
      <c r="B1346" s="1" t="s">
        <v>62</v>
      </c>
      <c r="C1346" s="1" t="s">
        <v>7</v>
      </c>
      <c r="D1346" s="2">
        <v>10993</v>
      </c>
      <c r="E1346" s="2">
        <v>205942</v>
      </c>
      <c r="F1346" s="4">
        <v>16798</v>
      </c>
    </row>
    <row r="1347" spans="1:6" x14ac:dyDescent="0.3">
      <c r="A1347" s="3">
        <v>2018</v>
      </c>
      <c r="B1347" s="1" t="s">
        <v>62</v>
      </c>
      <c r="C1347" s="1" t="s">
        <v>8</v>
      </c>
      <c r="D1347" s="2">
        <v>13627</v>
      </c>
      <c r="E1347" s="2">
        <v>325897</v>
      </c>
      <c r="F1347" s="4">
        <v>24580</v>
      </c>
    </row>
    <row r="1348" spans="1:6" x14ac:dyDescent="0.3">
      <c r="A1348" s="3">
        <v>2018</v>
      </c>
      <c r="B1348" s="1" t="s">
        <v>62</v>
      </c>
      <c r="C1348" s="1" t="s">
        <v>9</v>
      </c>
      <c r="D1348" s="2">
        <v>7168</v>
      </c>
      <c r="E1348" s="2">
        <v>118405</v>
      </c>
      <c r="F1348" s="4">
        <v>16536</v>
      </c>
    </row>
    <row r="1349" spans="1:6" x14ac:dyDescent="0.3">
      <c r="A1349" s="3">
        <v>2018</v>
      </c>
      <c r="B1349" s="1" t="s">
        <v>62</v>
      </c>
      <c r="C1349" s="1" t="s">
        <v>10</v>
      </c>
      <c r="D1349" s="2">
        <v>111455</v>
      </c>
      <c r="E1349" s="2">
        <v>1988750</v>
      </c>
      <c r="F1349" s="4">
        <v>30527</v>
      </c>
    </row>
    <row r="1350" spans="1:6" x14ac:dyDescent="0.3">
      <c r="A1350" s="3">
        <v>2018</v>
      </c>
      <c r="B1350" s="1" t="s">
        <v>62</v>
      </c>
      <c r="C1350" s="1" t="s">
        <v>11</v>
      </c>
      <c r="D1350" s="2">
        <v>16939</v>
      </c>
      <c r="E1350" s="2">
        <v>339407</v>
      </c>
      <c r="F1350" s="4">
        <v>25878</v>
      </c>
    </row>
    <row r="1351" spans="1:6" x14ac:dyDescent="0.3">
      <c r="A1351" s="3">
        <v>2018</v>
      </c>
      <c r="B1351" s="1" t="s">
        <v>62</v>
      </c>
      <c r="C1351" s="1" t="s">
        <v>12</v>
      </c>
      <c r="D1351" s="2">
        <v>10668</v>
      </c>
      <c r="E1351" s="2">
        <v>157709</v>
      </c>
      <c r="F1351" s="4">
        <v>23705</v>
      </c>
    </row>
    <row r="1352" spans="1:6" x14ac:dyDescent="0.3">
      <c r="A1352" s="3">
        <v>2018</v>
      </c>
      <c r="B1352" s="1" t="s">
        <v>62</v>
      </c>
      <c r="C1352" s="1" t="s">
        <v>13</v>
      </c>
      <c r="D1352" s="2">
        <v>2637</v>
      </c>
      <c r="E1352" s="2">
        <v>51696</v>
      </c>
      <c r="F1352" s="4">
        <v>20414</v>
      </c>
    </row>
    <row r="1353" spans="1:6" x14ac:dyDescent="0.3">
      <c r="A1353" s="3">
        <v>2018</v>
      </c>
      <c r="B1353" s="1" t="s">
        <v>62</v>
      </c>
      <c r="C1353" s="1" t="s">
        <v>14</v>
      </c>
      <c r="D1353" s="2">
        <v>56587</v>
      </c>
      <c r="E1353" s="2">
        <v>1226786</v>
      </c>
      <c r="F1353" s="4">
        <v>25881</v>
      </c>
    </row>
    <row r="1354" spans="1:6" x14ac:dyDescent="0.3">
      <c r="A1354" s="3">
        <v>2018</v>
      </c>
      <c r="B1354" s="1" t="s">
        <v>62</v>
      </c>
      <c r="C1354" s="1" t="s">
        <v>15</v>
      </c>
      <c r="D1354" s="2">
        <v>24275</v>
      </c>
      <c r="E1354" s="2">
        <v>487598</v>
      </c>
      <c r="F1354" s="4">
        <v>20604</v>
      </c>
    </row>
    <row r="1355" spans="1:6" x14ac:dyDescent="0.3">
      <c r="A1355" s="3">
        <v>2018</v>
      </c>
      <c r="B1355" s="1" t="s">
        <v>62</v>
      </c>
      <c r="C1355" s="1" t="s">
        <v>16</v>
      </c>
      <c r="D1355" s="2">
        <v>5008</v>
      </c>
      <c r="E1355" s="2">
        <v>78912</v>
      </c>
      <c r="F1355" s="4">
        <v>17141</v>
      </c>
    </row>
    <row r="1356" spans="1:6" x14ac:dyDescent="0.3">
      <c r="A1356" s="3">
        <v>2018</v>
      </c>
      <c r="B1356" s="1" t="s">
        <v>62</v>
      </c>
      <c r="C1356" s="1" t="s">
        <v>17</v>
      </c>
      <c r="D1356" s="2">
        <v>32619</v>
      </c>
      <c r="E1356" s="2">
        <v>617101</v>
      </c>
      <c r="F1356" s="4">
        <v>23765</v>
      </c>
    </row>
    <row r="1357" spans="1:6" x14ac:dyDescent="0.3">
      <c r="A1357" s="3">
        <v>2018</v>
      </c>
      <c r="B1357" s="1" t="s">
        <v>62</v>
      </c>
      <c r="C1357" s="1" t="s">
        <v>18</v>
      </c>
      <c r="D1357" s="2">
        <v>15564</v>
      </c>
      <c r="E1357" s="2">
        <v>310335</v>
      </c>
      <c r="F1357" s="4">
        <v>18981</v>
      </c>
    </row>
    <row r="1358" spans="1:6" x14ac:dyDescent="0.3">
      <c r="A1358" s="3">
        <v>2018</v>
      </c>
      <c r="B1358" s="1" t="s">
        <v>62</v>
      </c>
      <c r="C1358" s="1" t="s">
        <v>19</v>
      </c>
      <c r="D1358" s="2">
        <v>8670</v>
      </c>
      <c r="E1358" s="2">
        <v>143729</v>
      </c>
      <c r="F1358" s="4">
        <v>16799</v>
      </c>
    </row>
    <row r="1359" spans="1:6" x14ac:dyDescent="0.3">
      <c r="A1359" s="3">
        <v>2018</v>
      </c>
      <c r="B1359" s="1" t="s">
        <v>62</v>
      </c>
      <c r="C1359" s="1" t="s">
        <v>20</v>
      </c>
      <c r="D1359" s="2">
        <v>6895</v>
      </c>
      <c r="E1359" s="2">
        <v>129372</v>
      </c>
      <c r="F1359" s="4">
        <v>16764</v>
      </c>
    </row>
    <row r="1360" spans="1:6" x14ac:dyDescent="0.3">
      <c r="A1360" s="3">
        <v>2018</v>
      </c>
      <c r="B1360" s="1" t="s">
        <v>62</v>
      </c>
      <c r="C1360" s="1" t="s">
        <v>21</v>
      </c>
      <c r="D1360" s="2">
        <v>10080</v>
      </c>
      <c r="E1360" s="2">
        <v>197894</v>
      </c>
      <c r="F1360" s="4">
        <v>17719</v>
      </c>
    </row>
    <row r="1361" spans="1:6" x14ac:dyDescent="0.3">
      <c r="A1361" s="3">
        <v>2018</v>
      </c>
      <c r="B1361" s="1" t="s">
        <v>62</v>
      </c>
      <c r="C1361" s="1" t="s">
        <v>22</v>
      </c>
      <c r="D1361" s="2">
        <v>12415</v>
      </c>
      <c r="E1361" s="2">
        <v>236357</v>
      </c>
      <c r="F1361" s="4">
        <v>21264</v>
      </c>
    </row>
    <row r="1362" spans="1:6" x14ac:dyDescent="0.3">
      <c r="A1362" s="3">
        <v>2018</v>
      </c>
      <c r="B1362" s="1" t="s">
        <v>62</v>
      </c>
      <c r="C1362" s="1" t="s">
        <v>23</v>
      </c>
      <c r="D1362" s="2">
        <v>5047</v>
      </c>
      <c r="E1362" s="2">
        <v>68406</v>
      </c>
      <c r="F1362" s="4">
        <v>22087</v>
      </c>
    </row>
    <row r="1363" spans="1:6" x14ac:dyDescent="0.3">
      <c r="A1363" s="3">
        <v>2018</v>
      </c>
      <c r="B1363" s="1" t="s">
        <v>62</v>
      </c>
      <c r="C1363" s="1" t="s">
        <v>24</v>
      </c>
      <c r="D1363" s="2">
        <v>14772</v>
      </c>
      <c r="E1363" s="2">
        <v>282009</v>
      </c>
      <c r="F1363" s="4">
        <v>24012</v>
      </c>
    </row>
    <row r="1364" spans="1:6" x14ac:dyDescent="0.3">
      <c r="A1364" s="3">
        <v>2018</v>
      </c>
      <c r="B1364" s="1" t="s">
        <v>62</v>
      </c>
      <c r="C1364" s="1" t="s">
        <v>25</v>
      </c>
      <c r="D1364" s="2">
        <v>20642</v>
      </c>
      <c r="E1364" s="2">
        <v>375767</v>
      </c>
      <c r="F1364" s="4">
        <v>27758</v>
      </c>
    </row>
    <row r="1365" spans="1:6" x14ac:dyDescent="0.3">
      <c r="A1365" s="3">
        <v>2018</v>
      </c>
      <c r="B1365" s="1" t="s">
        <v>62</v>
      </c>
      <c r="C1365" s="1" t="s">
        <v>26</v>
      </c>
      <c r="D1365" s="2">
        <v>22025</v>
      </c>
      <c r="E1365" s="2">
        <v>432290</v>
      </c>
      <c r="F1365" s="4">
        <v>20566</v>
      </c>
    </row>
    <row r="1366" spans="1:6" x14ac:dyDescent="0.3">
      <c r="A1366" s="3">
        <v>2018</v>
      </c>
      <c r="B1366" s="1" t="s">
        <v>62</v>
      </c>
      <c r="C1366" s="1" t="s">
        <v>27</v>
      </c>
      <c r="D1366" s="2">
        <v>15294</v>
      </c>
      <c r="E1366" s="2">
        <v>272821</v>
      </c>
      <c r="F1366" s="4">
        <v>22507</v>
      </c>
    </row>
    <row r="1367" spans="1:6" x14ac:dyDescent="0.3">
      <c r="A1367" s="3">
        <v>2018</v>
      </c>
      <c r="B1367" s="1" t="s">
        <v>62</v>
      </c>
      <c r="C1367" s="1" t="s">
        <v>28</v>
      </c>
      <c r="D1367" s="2">
        <v>6464</v>
      </c>
      <c r="E1367" s="2">
        <v>134785</v>
      </c>
      <c r="F1367" s="4">
        <v>17523</v>
      </c>
    </row>
    <row r="1368" spans="1:6" x14ac:dyDescent="0.3">
      <c r="A1368" s="3">
        <v>2018</v>
      </c>
      <c r="B1368" s="1" t="s">
        <v>62</v>
      </c>
      <c r="C1368" s="1" t="s">
        <v>29</v>
      </c>
      <c r="D1368" s="2">
        <v>14797</v>
      </c>
      <c r="E1368" s="2">
        <v>305418</v>
      </c>
      <c r="F1368" s="4">
        <v>20892</v>
      </c>
    </row>
    <row r="1369" spans="1:6" x14ac:dyDescent="0.3">
      <c r="A1369" s="3">
        <v>2018</v>
      </c>
      <c r="B1369" s="1" t="s">
        <v>62</v>
      </c>
      <c r="C1369" s="1" t="s">
        <v>30</v>
      </c>
      <c r="D1369" s="2">
        <v>5071</v>
      </c>
      <c r="E1369" s="2">
        <v>66044</v>
      </c>
      <c r="F1369" s="4">
        <v>19150</v>
      </c>
    </row>
    <row r="1370" spans="1:6" x14ac:dyDescent="0.3">
      <c r="A1370" s="3">
        <v>2018</v>
      </c>
      <c r="B1370" s="1" t="s">
        <v>62</v>
      </c>
      <c r="C1370" s="1" t="s">
        <v>31</v>
      </c>
      <c r="D1370" s="2">
        <v>5561</v>
      </c>
      <c r="E1370" s="2">
        <v>92581</v>
      </c>
      <c r="F1370" s="4">
        <v>16715</v>
      </c>
    </row>
    <row r="1371" spans="1:6" x14ac:dyDescent="0.3">
      <c r="A1371" s="3">
        <v>2018</v>
      </c>
      <c r="B1371" s="1" t="s">
        <v>62</v>
      </c>
      <c r="C1371" s="1" t="s">
        <v>32</v>
      </c>
      <c r="D1371" s="2">
        <v>8499</v>
      </c>
      <c r="E1371" s="2">
        <v>352051</v>
      </c>
      <c r="F1371" s="4">
        <v>33688</v>
      </c>
    </row>
    <row r="1372" spans="1:6" x14ac:dyDescent="0.3">
      <c r="A1372" s="3">
        <v>2018</v>
      </c>
      <c r="B1372" s="1" t="s">
        <v>62</v>
      </c>
      <c r="C1372" s="1" t="s">
        <v>33</v>
      </c>
      <c r="D1372" s="2">
        <v>4595</v>
      </c>
      <c r="E1372" s="2">
        <v>71975</v>
      </c>
      <c r="F1372" s="4">
        <v>21945</v>
      </c>
    </row>
    <row r="1373" spans="1:6" x14ac:dyDescent="0.3">
      <c r="A1373" s="3">
        <v>2018</v>
      </c>
      <c r="B1373" s="1" t="s">
        <v>62</v>
      </c>
      <c r="C1373" s="1" t="s">
        <v>34</v>
      </c>
      <c r="D1373" s="2">
        <v>24132</v>
      </c>
      <c r="E1373" s="2">
        <v>385616</v>
      </c>
      <c r="F1373" s="4">
        <v>26316</v>
      </c>
    </row>
    <row r="1374" spans="1:6" x14ac:dyDescent="0.3">
      <c r="A1374" s="3">
        <v>2018</v>
      </c>
      <c r="B1374" s="1" t="s">
        <v>62</v>
      </c>
      <c r="C1374" s="1" t="s">
        <v>35</v>
      </c>
      <c r="D1374" s="2">
        <v>5107</v>
      </c>
      <c r="E1374" s="2">
        <v>97785</v>
      </c>
      <c r="F1374" s="4">
        <v>18651</v>
      </c>
    </row>
    <row r="1375" spans="1:6" x14ac:dyDescent="0.3">
      <c r="A1375" s="3">
        <v>2018</v>
      </c>
      <c r="B1375" s="1" t="s">
        <v>62</v>
      </c>
      <c r="C1375" s="1" t="s">
        <v>36</v>
      </c>
      <c r="D1375" s="2">
        <v>66285</v>
      </c>
      <c r="E1375" s="2">
        <v>957343</v>
      </c>
      <c r="F1375" s="4">
        <v>33850</v>
      </c>
    </row>
    <row r="1376" spans="1:6" x14ac:dyDescent="0.3">
      <c r="A1376" s="3">
        <v>2018</v>
      </c>
      <c r="B1376" s="1" t="s">
        <v>62</v>
      </c>
      <c r="C1376" s="1" t="s">
        <v>37</v>
      </c>
      <c r="D1376" s="2">
        <v>25859</v>
      </c>
      <c r="E1376" s="2">
        <v>502877</v>
      </c>
      <c r="F1376" s="4">
        <v>19767</v>
      </c>
    </row>
    <row r="1377" spans="1:6" x14ac:dyDescent="0.3">
      <c r="A1377" s="3">
        <v>2018</v>
      </c>
      <c r="B1377" s="1" t="s">
        <v>62</v>
      </c>
      <c r="C1377" s="1" t="s">
        <v>38</v>
      </c>
      <c r="D1377" s="2">
        <v>2627</v>
      </c>
      <c r="E1377" s="2">
        <v>40375</v>
      </c>
      <c r="F1377" s="4">
        <v>17889</v>
      </c>
    </row>
    <row r="1378" spans="1:6" x14ac:dyDescent="0.3">
      <c r="A1378" s="3">
        <v>2018</v>
      </c>
      <c r="B1378" s="1" t="s">
        <v>62</v>
      </c>
      <c r="C1378" s="1" t="s">
        <v>39</v>
      </c>
      <c r="D1378" s="2">
        <v>28523</v>
      </c>
      <c r="E1378" s="2">
        <v>566681</v>
      </c>
      <c r="F1378" s="4">
        <v>19459</v>
      </c>
    </row>
    <row r="1379" spans="1:6" x14ac:dyDescent="0.3">
      <c r="A1379" s="3">
        <v>2018</v>
      </c>
      <c r="B1379" s="1" t="s">
        <v>62</v>
      </c>
      <c r="C1379" s="1" t="s">
        <v>40</v>
      </c>
      <c r="D1379" s="2">
        <v>9140</v>
      </c>
      <c r="E1379" s="2">
        <v>171567</v>
      </c>
      <c r="F1379" s="4">
        <v>18204</v>
      </c>
    </row>
    <row r="1380" spans="1:6" x14ac:dyDescent="0.3">
      <c r="A1380" s="3">
        <v>2018</v>
      </c>
      <c r="B1380" s="1" t="s">
        <v>62</v>
      </c>
      <c r="C1380" s="1" t="s">
        <v>41</v>
      </c>
      <c r="D1380" s="2">
        <v>13794</v>
      </c>
      <c r="E1380" s="2">
        <v>210781</v>
      </c>
      <c r="F1380" s="4">
        <v>22754</v>
      </c>
    </row>
    <row r="1381" spans="1:6" x14ac:dyDescent="0.3">
      <c r="A1381" s="3">
        <v>2018</v>
      </c>
      <c r="B1381" s="1" t="s">
        <v>62</v>
      </c>
      <c r="C1381" s="1" t="s">
        <v>42</v>
      </c>
      <c r="D1381" s="2">
        <v>33471</v>
      </c>
      <c r="E1381" s="2">
        <v>571799</v>
      </c>
      <c r="F1381" s="4">
        <v>21102</v>
      </c>
    </row>
    <row r="1382" spans="1:6" x14ac:dyDescent="0.3">
      <c r="A1382" s="3">
        <v>2018</v>
      </c>
      <c r="B1382" s="1" t="s">
        <v>62</v>
      </c>
      <c r="C1382" s="1" t="s">
        <v>43</v>
      </c>
      <c r="D1382" s="2">
        <v>3748</v>
      </c>
      <c r="E1382" s="2">
        <v>59154</v>
      </c>
      <c r="F1382" s="4">
        <v>22818</v>
      </c>
    </row>
    <row r="1383" spans="1:6" x14ac:dyDescent="0.3">
      <c r="A1383" s="3">
        <v>2018</v>
      </c>
      <c r="B1383" s="1" t="s">
        <v>62</v>
      </c>
      <c r="C1383" s="1" t="s">
        <v>44</v>
      </c>
      <c r="D1383" s="2">
        <v>12841</v>
      </c>
      <c r="E1383" s="2">
        <v>263743</v>
      </c>
      <c r="F1383" s="4">
        <v>17991</v>
      </c>
    </row>
    <row r="1384" spans="1:6" x14ac:dyDescent="0.3">
      <c r="A1384" s="3">
        <v>2018</v>
      </c>
      <c r="B1384" s="1" t="s">
        <v>62</v>
      </c>
      <c r="C1384" s="1" t="s">
        <v>45</v>
      </c>
      <c r="D1384" s="2">
        <v>3149</v>
      </c>
      <c r="E1384" s="2">
        <v>47321</v>
      </c>
      <c r="F1384" s="4">
        <v>16954</v>
      </c>
    </row>
    <row r="1385" spans="1:6" x14ac:dyDescent="0.3">
      <c r="A1385" s="3">
        <v>2018</v>
      </c>
      <c r="B1385" s="1" t="s">
        <v>62</v>
      </c>
      <c r="C1385" s="1" t="s">
        <v>46</v>
      </c>
      <c r="D1385" s="2">
        <v>16427</v>
      </c>
      <c r="E1385" s="2">
        <v>337857</v>
      </c>
      <c r="F1385" s="4">
        <v>23524</v>
      </c>
    </row>
    <row r="1386" spans="1:6" x14ac:dyDescent="0.3">
      <c r="A1386" s="3">
        <v>2018</v>
      </c>
      <c r="B1386" s="1" t="s">
        <v>62</v>
      </c>
      <c r="C1386" s="1" t="s">
        <v>47</v>
      </c>
      <c r="D1386" s="2">
        <v>62760</v>
      </c>
      <c r="E1386" s="2">
        <v>1354468</v>
      </c>
      <c r="F1386" s="4">
        <v>21861</v>
      </c>
    </row>
    <row r="1387" spans="1:6" x14ac:dyDescent="0.3">
      <c r="A1387" s="3">
        <v>2018</v>
      </c>
      <c r="B1387" s="1" t="s">
        <v>62</v>
      </c>
      <c r="C1387" s="1" t="s">
        <v>48</v>
      </c>
      <c r="D1387" s="2">
        <v>7374</v>
      </c>
      <c r="E1387" s="2">
        <v>148446</v>
      </c>
      <c r="F1387" s="4">
        <v>20121</v>
      </c>
    </row>
    <row r="1388" spans="1:6" x14ac:dyDescent="0.3">
      <c r="A1388" s="3">
        <v>2018</v>
      </c>
      <c r="B1388" s="1" t="s">
        <v>62</v>
      </c>
      <c r="C1388" s="1" t="s">
        <v>49</v>
      </c>
      <c r="D1388" s="2">
        <v>2279</v>
      </c>
      <c r="E1388" s="2">
        <v>37198</v>
      </c>
      <c r="F1388" s="4">
        <v>23107</v>
      </c>
    </row>
    <row r="1389" spans="1:6" x14ac:dyDescent="0.3">
      <c r="A1389" s="3">
        <v>2018</v>
      </c>
      <c r="B1389" s="1" t="s">
        <v>62</v>
      </c>
      <c r="C1389" s="1" t="s">
        <v>50</v>
      </c>
      <c r="D1389" s="2">
        <v>20479</v>
      </c>
      <c r="E1389" s="2">
        <v>406321</v>
      </c>
      <c r="F1389" s="4">
        <v>20678</v>
      </c>
    </row>
    <row r="1390" spans="1:6" x14ac:dyDescent="0.3">
      <c r="A1390" s="3">
        <v>2018</v>
      </c>
      <c r="B1390" s="1" t="s">
        <v>62</v>
      </c>
      <c r="C1390" s="1" t="s">
        <v>51</v>
      </c>
      <c r="D1390" s="2">
        <v>20431</v>
      </c>
      <c r="E1390" s="2">
        <v>335635</v>
      </c>
      <c r="F1390" s="4">
        <v>25357</v>
      </c>
    </row>
    <row r="1391" spans="1:6" x14ac:dyDescent="0.3">
      <c r="A1391" s="3">
        <v>2018</v>
      </c>
      <c r="B1391" s="1" t="s">
        <v>62</v>
      </c>
      <c r="C1391" s="1" t="s">
        <v>52</v>
      </c>
      <c r="D1391" s="2">
        <v>4722</v>
      </c>
      <c r="E1391" s="2">
        <v>74133</v>
      </c>
      <c r="F1391" s="4">
        <v>17916</v>
      </c>
    </row>
    <row r="1392" spans="1:6" x14ac:dyDescent="0.3">
      <c r="A1392" s="3">
        <v>2018</v>
      </c>
      <c r="B1392" s="1" t="s">
        <v>62</v>
      </c>
      <c r="C1392" s="1" t="s">
        <v>53</v>
      </c>
      <c r="D1392" s="2">
        <v>16931</v>
      </c>
      <c r="E1392" s="2">
        <v>282313</v>
      </c>
      <c r="F1392" s="4">
        <v>18305</v>
      </c>
    </row>
    <row r="1393" spans="1:6" x14ac:dyDescent="0.3">
      <c r="A1393" s="3">
        <v>2018</v>
      </c>
      <c r="B1393" s="1" t="s">
        <v>62</v>
      </c>
      <c r="C1393" s="1" t="s">
        <v>54</v>
      </c>
      <c r="D1393" s="2">
        <v>2383</v>
      </c>
      <c r="E1393" s="2">
        <v>36403</v>
      </c>
      <c r="F1393" s="4">
        <v>21270</v>
      </c>
    </row>
    <row r="1394" spans="1:6" x14ac:dyDescent="0.3">
      <c r="A1394" s="3">
        <v>2018</v>
      </c>
      <c r="B1394" s="1" t="s">
        <v>63</v>
      </c>
      <c r="C1394" s="1" t="s">
        <v>7</v>
      </c>
      <c r="D1394" s="2">
        <v>10102</v>
      </c>
      <c r="E1394" s="2">
        <v>46094</v>
      </c>
      <c r="F1394" s="4">
        <v>37839</v>
      </c>
    </row>
    <row r="1395" spans="1:6" x14ac:dyDescent="0.3">
      <c r="A1395" s="3">
        <v>2018</v>
      </c>
      <c r="B1395" s="1" t="s">
        <v>63</v>
      </c>
      <c r="C1395" s="1" t="s">
        <v>8</v>
      </c>
      <c r="D1395" s="2">
        <v>11119</v>
      </c>
      <c r="E1395" s="2">
        <v>75319</v>
      </c>
      <c r="F1395" s="4">
        <v>37697</v>
      </c>
    </row>
    <row r="1396" spans="1:6" x14ac:dyDescent="0.3">
      <c r="A1396" s="3">
        <v>2018</v>
      </c>
      <c r="B1396" s="1" t="s">
        <v>63</v>
      </c>
      <c r="C1396" s="1" t="s">
        <v>9</v>
      </c>
      <c r="D1396" s="2">
        <v>5345</v>
      </c>
      <c r="E1396" s="2">
        <v>24966</v>
      </c>
      <c r="F1396" s="4">
        <v>34843</v>
      </c>
    </row>
    <row r="1397" spans="1:6" x14ac:dyDescent="0.3">
      <c r="A1397" s="3">
        <v>2018</v>
      </c>
      <c r="B1397" s="1" t="s">
        <v>63</v>
      </c>
      <c r="C1397" s="1" t="s">
        <v>10</v>
      </c>
      <c r="D1397" s="2">
        <v>95398</v>
      </c>
      <c r="E1397" s="2">
        <v>541832</v>
      </c>
      <c r="F1397" s="4">
        <v>40668</v>
      </c>
    </row>
    <row r="1398" spans="1:6" x14ac:dyDescent="0.3">
      <c r="A1398" s="3">
        <v>2018</v>
      </c>
      <c r="B1398" s="1" t="s">
        <v>63</v>
      </c>
      <c r="C1398" s="1" t="s">
        <v>11</v>
      </c>
      <c r="D1398" s="2">
        <v>16405</v>
      </c>
      <c r="E1398" s="2">
        <v>82040</v>
      </c>
      <c r="F1398" s="4">
        <v>40987</v>
      </c>
    </row>
    <row r="1399" spans="1:6" x14ac:dyDescent="0.3">
      <c r="A1399" s="3">
        <v>2018</v>
      </c>
      <c r="B1399" s="1" t="s">
        <v>63</v>
      </c>
      <c r="C1399" s="1" t="s">
        <v>12</v>
      </c>
      <c r="D1399" s="2">
        <v>17517</v>
      </c>
      <c r="E1399" s="2">
        <v>66913</v>
      </c>
      <c r="F1399" s="4">
        <v>33615</v>
      </c>
    </row>
    <row r="1400" spans="1:6" x14ac:dyDescent="0.3">
      <c r="A1400" s="3">
        <v>2018</v>
      </c>
      <c r="B1400" s="1" t="s">
        <v>63</v>
      </c>
      <c r="C1400" s="1" t="s">
        <v>13</v>
      </c>
      <c r="D1400" s="2">
        <v>2054</v>
      </c>
      <c r="E1400" s="2">
        <v>11930</v>
      </c>
      <c r="F1400" s="4">
        <v>34259</v>
      </c>
    </row>
    <row r="1401" spans="1:6" x14ac:dyDescent="0.3">
      <c r="A1401" s="3">
        <v>2018</v>
      </c>
      <c r="B1401" s="1" t="s">
        <v>63</v>
      </c>
      <c r="C1401" s="1" t="s">
        <v>14</v>
      </c>
      <c r="D1401" s="2">
        <v>55687</v>
      </c>
      <c r="E1401" s="2">
        <v>279269</v>
      </c>
      <c r="F1401" s="4">
        <v>36402</v>
      </c>
    </row>
    <row r="1402" spans="1:6" x14ac:dyDescent="0.3">
      <c r="A1402" s="3">
        <v>2018</v>
      </c>
      <c r="B1402" s="1" t="s">
        <v>63</v>
      </c>
      <c r="C1402" s="1" t="s">
        <v>15</v>
      </c>
      <c r="D1402" s="2">
        <v>17999</v>
      </c>
      <c r="E1402" s="2">
        <v>108656</v>
      </c>
      <c r="F1402" s="4">
        <v>36377</v>
      </c>
    </row>
    <row r="1403" spans="1:6" x14ac:dyDescent="0.3">
      <c r="A1403" s="3">
        <v>2018</v>
      </c>
      <c r="B1403" s="1" t="s">
        <v>63</v>
      </c>
      <c r="C1403" s="1" t="s">
        <v>16</v>
      </c>
      <c r="D1403" s="2">
        <v>3985</v>
      </c>
      <c r="E1403" s="2">
        <v>18622</v>
      </c>
      <c r="F1403" s="4">
        <v>31284</v>
      </c>
    </row>
    <row r="1404" spans="1:6" x14ac:dyDescent="0.3">
      <c r="A1404" s="3">
        <v>2018</v>
      </c>
      <c r="B1404" s="1" t="s">
        <v>63</v>
      </c>
      <c r="C1404" s="1" t="s">
        <v>17</v>
      </c>
      <c r="D1404" s="2">
        <v>39449</v>
      </c>
      <c r="E1404" s="2">
        <v>208655</v>
      </c>
      <c r="F1404" s="4">
        <v>42392</v>
      </c>
    </row>
    <row r="1405" spans="1:6" x14ac:dyDescent="0.3">
      <c r="A1405" s="3">
        <v>2018</v>
      </c>
      <c r="B1405" s="1" t="s">
        <v>63</v>
      </c>
      <c r="C1405" s="1" t="s">
        <v>18</v>
      </c>
      <c r="D1405" s="2">
        <v>13122</v>
      </c>
      <c r="E1405" s="2">
        <v>87997</v>
      </c>
      <c r="F1405" s="4">
        <v>32900</v>
      </c>
    </row>
    <row r="1406" spans="1:6" x14ac:dyDescent="0.3">
      <c r="A1406" s="3">
        <v>2018</v>
      </c>
      <c r="B1406" s="1" t="s">
        <v>63</v>
      </c>
      <c r="C1406" s="1" t="s">
        <v>19</v>
      </c>
      <c r="D1406" s="2">
        <v>8669</v>
      </c>
      <c r="E1406" s="2">
        <v>42339</v>
      </c>
      <c r="F1406" s="4">
        <v>34313</v>
      </c>
    </row>
    <row r="1407" spans="1:6" x14ac:dyDescent="0.3">
      <c r="A1407" s="3">
        <v>2018</v>
      </c>
      <c r="B1407" s="1" t="s">
        <v>63</v>
      </c>
      <c r="C1407" s="1" t="s">
        <v>20</v>
      </c>
      <c r="D1407" s="2">
        <v>5983</v>
      </c>
      <c r="E1407" s="2">
        <v>33757</v>
      </c>
      <c r="F1407" s="4">
        <v>34478</v>
      </c>
    </row>
    <row r="1408" spans="1:6" x14ac:dyDescent="0.3">
      <c r="A1408" s="3">
        <v>2018</v>
      </c>
      <c r="B1408" s="1" t="s">
        <v>63</v>
      </c>
      <c r="C1408" s="1" t="s">
        <v>21</v>
      </c>
      <c r="D1408" s="2">
        <v>10697</v>
      </c>
      <c r="E1408" s="2">
        <v>46476</v>
      </c>
      <c r="F1408" s="4">
        <v>33616</v>
      </c>
    </row>
    <row r="1409" spans="1:6" x14ac:dyDescent="0.3">
      <c r="A1409" s="3">
        <v>2018</v>
      </c>
      <c r="B1409" s="1" t="s">
        <v>63</v>
      </c>
      <c r="C1409" s="1" t="s">
        <v>22</v>
      </c>
      <c r="D1409" s="2">
        <v>9230</v>
      </c>
      <c r="E1409" s="2">
        <v>45904</v>
      </c>
      <c r="F1409" s="4">
        <v>37854</v>
      </c>
    </row>
    <row r="1410" spans="1:6" x14ac:dyDescent="0.3">
      <c r="A1410" s="3">
        <v>2018</v>
      </c>
      <c r="B1410" s="1" t="s">
        <v>63</v>
      </c>
      <c r="C1410" s="1" t="s">
        <v>23</v>
      </c>
      <c r="D1410" s="2">
        <v>3832</v>
      </c>
      <c r="E1410" s="2">
        <v>18021</v>
      </c>
      <c r="F1410" s="4">
        <v>33967</v>
      </c>
    </row>
    <row r="1411" spans="1:6" x14ac:dyDescent="0.3">
      <c r="A1411" s="3">
        <v>2018</v>
      </c>
      <c r="B1411" s="1" t="s">
        <v>63</v>
      </c>
      <c r="C1411" s="1" t="s">
        <v>24</v>
      </c>
      <c r="D1411" s="2">
        <v>19354</v>
      </c>
      <c r="E1411" s="2">
        <v>91803</v>
      </c>
      <c r="F1411" s="4">
        <v>43222</v>
      </c>
    </row>
    <row r="1412" spans="1:6" x14ac:dyDescent="0.3">
      <c r="A1412" s="3">
        <v>2018</v>
      </c>
      <c r="B1412" s="1" t="s">
        <v>63</v>
      </c>
      <c r="C1412" s="1" t="s">
        <v>25</v>
      </c>
      <c r="D1412" s="2">
        <v>21621</v>
      </c>
      <c r="E1412" s="2">
        <v>119963</v>
      </c>
      <c r="F1412" s="4">
        <v>38569</v>
      </c>
    </row>
    <row r="1413" spans="1:6" x14ac:dyDescent="0.3">
      <c r="A1413" s="3">
        <v>2018</v>
      </c>
      <c r="B1413" s="1" t="s">
        <v>63</v>
      </c>
      <c r="C1413" s="1" t="s">
        <v>26</v>
      </c>
      <c r="D1413" s="2">
        <v>31024</v>
      </c>
      <c r="E1413" s="2">
        <v>139968</v>
      </c>
      <c r="F1413" s="4">
        <v>33275</v>
      </c>
    </row>
    <row r="1414" spans="1:6" x14ac:dyDescent="0.3">
      <c r="A1414" s="3">
        <v>2018</v>
      </c>
      <c r="B1414" s="1" t="s">
        <v>63</v>
      </c>
      <c r="C1414" s="1" t="s">
        <v>27</v>
      </c>
      <c r="D1414" s="2">
        <v>17099</v>
      </c>
      <c r="E1414" s="2">
        <v>90096</v>
      </c>
      <c r="F1414" s="4">
        <v>34221</v>
      </c>
    </row>
    <row r="1415" spans="1:6" x14ac:dyDescent="0.3">
      <c r="A1415" s="3">
        <v>2018</v>
      </c>
      <c r="B1415" s="1" t="s">
        <v>63</v>
      </c>
      <c r="C1415" s="1" t="s">
        <v>28</v>
      </c>
      <c r="D1415" s="2">
        <v>4645</v>
      </c>
      <c r="E1415" s="2">
        <v>21202</v>
      </c>
      <c r="F1415" s="4">
        <v>34491</v>
      </c>
    </row>
    <row r="1416" spans="1:6" x14ac:dyDescent="0.3">
      <c r="A1416" s="3">
        <v>2018</v>
      </c>
      <c r="B1416" s="1" t="s">
        <v>63</v>
      </c>
      <c r="C1416" s="1" t="s">
        <v>29</v>
      </c>
      <c r="D1416" s="2">
        <v>12996</v>
      </c>
      <c r="E1416" s="2">
        <v>75350</v>
      </c>
      <c r="F1416" s="4">
        <v>34075</v>
      </c>
    </row>
    <row r="1417" spans="1:6" x14ac:dyDescent="0.3">
      <c r="A1417" s="3">
        <v>2018</v>
      </c>
      <c r="B1417" s="1" t="s">
        <v>63</v>
      </c>
      <c r="C1417" s="1" t="s">
        <v>30</v>
      </c>
      <c r="D1417" s="2">
        <v>4285</v>
      </c>
      <c r="E1417" s="2">
        <v>18301</v>
      </c>
      <c r="F1417" s="4">
        <v>30293</v>
      </c>
    </row>
    <row r="1418" spans="1:6" x14ac:dyDescent="0.3">
      <c r="A1418" s="3">
        <v>2018</v>
      </c>
      <c r="B1418" s="1" t="s">
        <v>63</v>
      </c>
      <c r="C1418" s="1" t="s">
        <v>31</v>
      </c>
      <c r="D1418" s="2">
        <v>4614</v>
      </c>
      <c r="E1418" s="2">
        <v>25333</v>
      </c>
      <c r="F1418" s="4">
        <v>32212</v>
      </c>
    </row>
    <row r="1419" spans="1:6" x14ac:dyDescent="0.3">
      <c r="A1419" s="3">
        <v>2018</v>
      </c>
      <c r="B1419" s="1" t="s">
        <v>63</v>
      </c>
      <c r="C1419" s="1" t="s">
        <v>32</v>
      </c>
      <c r="D1419" s="2">
        <v>5080</v>
      </c>
      <c r="E1419" s="2">
        <v>34964</v>
      </c>
      <c r="F1419" s="4">
        <v>37484</v>
      </c>
    </row>
    <row r="1420" spans="1:6" x14ac:dyDescent="0.3">
      <c r="A1420" s="3">
        <v>2018</v>
      </c>
      <c r="B1420" s="1" t="s">
        <v>63</v>
      </c>
      <c r="C1420" s="1" t="s">
        <v>33</v>
      </c>
      <c r="D1420" s="2">
        <v>3934</v>
      </c>
      <c r="E1420" s="2">
        <v>20991</v>
      </c>
      <c r="F1420" s="4">
        <v>37927</v>
      </c>
    </row>
    <row r="1421" spans="1:6" x14ac:dyDescent="0.3">
      <c r="A1421" s="3">
        <v>2018</v>
      </c>
      <c r="B1421" s="1" t="s">
        <v>63</v>
      </c>
      <c r="C1421" s="1" t="s">
        <v>34</v>
      </c>
      <c r="D1421" s="2">
        <v>24105</v>
      </c>
      <c r="E1421" s="2">
        <v>135824</v>
      </c>
      <c r="F1421" s="4">
        <v>36518</v>
      </c>
    </row>
    <row r="1422" spans="1:6" x14ac:dyDescent="0.3">
      <c r="A1422" s="3">
        <v>2018</v>
      </c>
      <c r="B1422" s="1" t="s">
        <v>63</v>
      </c>
      <c r="C1422" s="1" t="s">
        <v>35</v>
      </c>
      <c r="D1422" s="2">
        <v>4073</v>
      </c>
      <c r="E1422" s="2">
        <v>20964</v>
      </c>
      <c r="F1422" s="4">
        <v>34365</v>
      </c>
    </row>
    <row r="1423" spans="1:6" x14ac:dyDescent="0.3">
      <c r="A1423" s="3">
        <v>2018</v>
      </c>
      <c r="B1423" s="1" t="s">
        <v>63</v>
      </c>
      <c r="C1423" s="1" t="s">
        <v>36</v>
      </c>
      <c r="D1423" s="2">
        <v>73275</v>
      </c>
      <c r="E1423" s="2">
        <v>370268</v>
      </c>
      <c r="F1423" s="4">
        <v>41910</v>
      </c>
    </row>
    <row r="1424" spans="1:6" x14ac:dyDescent="0.3">
      <c r="A1424" s="3">
        <v>2018</v>
      </c>
      <c r="B1424" s="1" t="s">
        <v>63</v>
      </c>
      <c r="C1424" s="1" t="s">
        <v>37</v>
      </c>
      <c r="D1424" s="2">
        <v>23444</v>
      </c>
      <c r="E1424" s="2">
        <v>109986</v>
      </c>
      <c r="F1424" s="4">
        <v>35102</v>
      </c>
    </row>
    <row r="1425" spans="1:6" x14ac:dyDescent="0.3">
      <c r="A1425" s="3">
        <v>2018</v>
      </c>
      <c r="B1425" s="1" t="s">
        <v>63</v>
      </c>
      <c r="C1425" s="1" t="s">
        <v>38</v>
      </c>
      <c r="D1425" s="2">
        <v>2051</v>
      </c>
      <c r="E1425" s="2">
        <v>11307</v>
      </c>
      <c r="F1425" s="4">
        <v>37216</v>
      </c>
    </row>
    <row r="1426" spans="1:6" x14ac:dyDescent="0.3">
      <c r="A1426" s="3">
        <v>2018</v>
      </c>
      <c r="B1426" s="1" t="s">
        <v>63</v>
      </c>
      <c r="C1426" s="1" t="s">
        <v>39</v>
      </c>
      <c r="D1426" s="2">
        <v>23542</v>
      </c>
      <c r="E1426" s="2">
        <v>156685</v>
      </c>
      <c r="F1426" s="4">
        <v>34001</v>
      </c>
    </row>
    <row r="1427" spans="1:6" x14ac:dyDescent="0.3">
      <c r="A1427" s="3">
        <v>2018</v>
      </c>
      <c r="B1427" s="1" t="s">
        <v>63</v>
      </c>
      <c r="C1427" s="1" t="s">
        <v>40</v>
      </c>
      <c r="D1427" s="2">
        <v>6640</v>
      </c>
      <c r="E1427" s="2">
        <v>36417</v>
      </c>
      <c r="F1427" s="4">
        <v>35221</v>
      </c>
    </row>
    <row r="1428" spans="1:6" x14ac:dyDescent="0.3">
      <c r="A1428" s="3">
        <v>2018</v>
      </c>
      <c r="B1428" s="1" t="s">
        <v>63</v>
      </c>
      <c r="C1428" s="1" t="s">
        <v>41</v>
      </c>
      <c r="D1428" s="2">
        <v>24302</v>
      </c>
      <c r="E1428" s="2">
        <v>77296</v>
      </c>
      <c r="F1428" s="4">
        <v>34031</v>
      </c>
    </row>
    <row r="1429" spans="1:6" x14ac:dyDescent="0.3">
      <c r="A1429" s="3">
        <v>2018</v>
      </c>
      <c r="B1429" s="1" t="s">
        <v>63</v>
      </c>
      <c r="C1429" s="1" t="s">
        <v>42</v>
      </c>
      <c r="D1429" s="2">
        <v>32530</v>
      </c>
      <c r="E1429" s="2">
        <v>199883</v>
      </c>
      <c r="F1429" s="4">
        <v>33988</v>
      </c>
    </row>
    <row r="1430" spans="1:6" x14ac:dyDescent="0.3">
      <c r="A1430" s="3">
        <v>2018</v>
      </c>
      <c r="B1430" s="1" t="s">
        <v>63</v>
      </c>
      <c r="C1430" s="1" t="s">
        <v>43</v>
      </c>
      <c r="D1430" s="2">
        <v>3459</v>
      </c>
      <c r="E1430" s="2">
        <v>17990</v>
      </c>
      <c r="F1430" s="4">
        <v>33322</v>
      </c>
    </row>
    <row r="1431" spans="1:6" x14ac:dyDescent="0.3">
      <c r="A1431" s="3">
        <v>2018</v>
      </c>
      <c r="B1431" s="1" t="s">
        <v>63</v>
      </c>
      <c r="C1431" s="1" t="s">
        <v>44</v>
      </c>
      <c r="D1431" s="2">
        <v>11329</v>
      </c>
      <c r="E1431" s="2">
        <v>53632</v>
      </c>
      <c r="F1431" s="4">
        <v>32985</v>
      </c>
    </row>
    <row r="1432" spans="1:6" x14ac:dyDescent="0.3">
      <c r="A1432" s="3">
        <v>2018</v>
      </c>
      <c r="B1432" s="1" t="s">
        <v>63</v>
      </c>
      <c r="C1432" s="1" t="s">
        <v>45</v>
      </c>
      <c r="D1432" s="2">
        <v>2201</v>
      </c>
      <c r="E1432" s="2">
        <v>11149</v>
      </c>
      <c r="F1432" s="4">
        <v>32874</v>
      </c>
    </row>
    <row r="1433" spans="1:6" x14ac:dyDescent="0.3">
      <c r="A1433" s="3">
        <v>2018</v>
      </c>
      <c r="B1433" s="1" t="s">
        <v>63</v>
      </c>
      <c r="C1433" s="1" t="s">
        <v>46</v>
      </c>
      <c r="D1433" s="2">
        <v>15494</v>
      </c>
      <c r="E1433" s="2">
        <v>78706</v>
      </c>
      <c r="F1433" s="4">
        <v>35137</v>
      </c>
    </row>
    <row r="1434" spans="1:6" x14ac:dyDescent="0.3">
      <c r="A1434" s="3">
        <v>2018</v>
      </c>
      <c r="B1434" s="1" t="s">
        <v>63</v>
      </c>
      <c r="C1434" s="1" t="s">
        <v>47</v>
      </c>
      <c r="D1434" s="2">
        <v>56598</v>
      </c>
      <c r="E1434" s="2">
        <v>334126</v>
      </c>
      <c r="F1434" s="4">
        <v>39429</v>
      </c>
    </row>
    <row r="1435" spans="1:6" x14ac:dyDescent="0.3">
      <c r="A1435" s="3">
        <v>2018</v>
      </c>
      <c r="B1435" s="1" t="s">
        <v>63</v>
      </c>
      <c r="C1435" s="1" t="s">
        <v>48</v>
      </c>
      <c r="D1435" s="2">
        <v>6320</v>
      </c>
      <c r="E1435" s="2">
        <v>36120</v>
      </c>
      <c r="F1435" s="4">
        <v>35627</v>
      </c>
    </row>
    <row r="1436" spans="1:6" x14ac:dyDescent="0.3">
      <c r="A1436" s="3">
        <v>2018</v>
      </c>
      <c r="B1436" s="1" t="s">
        <v>63</v>
      </c>
      <c r="C1436" s="1" t="s">
        <v>49</v>
      </c>
      <c r="D1436" s="2">
        <v>1954</v>
      </c>
      <c r="E1436" s="2">
        <v>8748</v>
      </c>
      <c r="F1436" s="4">
        <v>36288</v>
      </c>
    </row>
    <row r="1437" spans="1:6" x14ac:dyDescent="0.3">
      <c r="A1437" s="3">
        <v>2018</v>
      </c>
      <c r="B1437" s="1" t="s">
        <v>63</v>
      </c>
      <c r="C1437" s="1" t="s">
        <v>50</v>
      </c>
      <c r="D1437" s="2">
        <v>36204</v>
      </c>
      <c r="E1437" s="2">
        <v>145640</v>
      </c>
      <c r="F1437" s="4">
        <v>42804</v>
      </c>
    </row>
    <row r="1438" spans="1:6" x14ac:dyDescent="0.3">
      <c r="A1438" s="3">
        <v>2018</v>
      </c>
      <c r="B1438" s="1" t="s">
        <v>63</v>
      </c>
      <c r="C1438" s="1" t="s">
        <v>51</v>
      </c>
      <c r="D1438" s="2">
        <v>19893</v>
      </c>
      <c r="E1438" s="2">
        <v>99054</v>
      </c>
      <c r="F1438" s="4">
        <v>40310</v>
      </c>
    </row>
    <row r="1439" spans="1:6" x14ac:dyDescent="0.3">
      <c r="A1439" s="3">
        <v>2018</v>
      </c>
      <c r="B1439" s="1" t="s">
        <v>63</v>
      </c>
      <c r="C1439" s="1" t="s">
        <v>52</v>
      </c>
      <c r="D1439" s="2">
        <v>5536</v>
      </c>
      <c r="E1439" s="2">
        <v>19873</v>
      </c>
      <c r="F1439" s="4">
        <v>31425</v>
      </c>
    </row>
    <row r="1440" spans="1:6" x14ac:dyDescent="0.3">
      <c r="A1440" s="3">
        <v>2018</v>
      </c>
      <c r="B1440" s="1" t="s">
        <v>63</v>
      </c>
      <c r="C1440" s="1" t="s">
        <v>53</v>
      </c>
      <c r="D1440" s="2">
        <v>14009</v>
      </c>
      <c r="E1440" s="2">
        <v>84183</v>
      </c>
      <c r="F1440" s="4">
        <v>30593</v>
      </c>
    </row>
    <row r="1441" spans="1:6" x14ac:dyDescent="0.3">
      <c r="A1441" s="3">
        <v>2018</v>
      </c>
      <c r="B1441" s="1" t="s">
        <v>63</v>
      </c>
      <c r="C1441" s="1" t="s">
        <v>54</v>
      </c>
      <c r="D1441" s="2">
        <v>1664</v>
      </c>
      <c r="E1441" s="2">
        <v>7261</v>
      </c>
      <c r="F1441" s="4">
        <v>37155</v>
      </c>
    </row>
    <row r="1442" spans="1:6" x14ac:dyDescent="0.3">
      <c r="A1442" s="3">
        <v>2017</v>
      </c>
      <c r="B1442" s="1" t="s">
        <v>6</v>
      </c>
      <c r="C1442" s="1" t="s">
        <v>7</v>
      </c>
      <c r="D1442" s="2">
        <v>1815</v>
      </c>
      <c r="E1442" s="2">
        <v>17999</v>
      </c>
      <c r="F1442" s="4">
        <v>52748</v>
      </c>
    </row>
    <row r="1443" spans="1:6" x14ac:dyDescent="0.3">
      <c r="A1443" s="3">
        <v>2017</v>
      </c>
      <c r="B1443" s="1" t="s">
        <v>6</v>
      </c>
      <c r="C1443" s="1" t="s">
        <v>8</v>
      </c>
      <c r="D1443" s="2">
        <v>1257</v>
      </c>
      <c r="E1443" s="2">
        <v>37216</v>
      </c>
      <c r="F1443" s="4">
        <v>47116</v>
      </c>
    </row>
    <row r="1444" spans="1:6" x14ac:dyDescent="0.3">
      <c r="A1444" s="3">
        <v>2017</v>
      </c>
      <c r="B1444" s="1" t="s">
        <v>6</v>
      </c>
      <c r="C1444" s="1" t="s">
        <v>9</v>
      </c>
      <c r="D1444" s="2">
        <v>2551</v>
      </c>
      <c r="E1444" s="2">
        <v>16476</v>
      </c>
      <c r="F1444" s="4">
        <v>46191</v>
      </c>
    </row>
    <row r="1445" spans="1:6" x14ac:dyDescent="0.3">
      <c r="A1445" s="3">
        <v>2017</v>
      </c>
      <c r="B1445" s="1" t="s">
        <v>6</v>
      </c>
      <c r="C1445" s="1" t="s">
        <v>10</v>
      </c>
      <c r="D1445" s="2">
        <v>17021</v>
      </c>
      <c r="E1445" s="2">
        <v>441460</v>
      </c>
      <c r="F1445" s="4">
        <v>37249</v>
      </c>
    </row>
    <row r="1446" spans="1:6" x14ac:dyDescent="0.3">
      <c r="A1446" s="3">
        <v>2017</v>
      </c>
      <c r="B1446" s="1" t="s">
        <v>6</v>
      </c>
      <c r="C1446" s="1" t="s">
        <v>11</v>
      </c>
      <c r="D1446" s="2">
        <v>3202</v>
      </c>
      <c r="E1446" s="2">
        <v>43394</v>
      </c>
      <c r="F1446" s="4">
        <v>84161</v>
      </c>
    </row>
    <row r="1447" spans="1:6" x14ac:dyDescent="0.3">
      <c r="A1447" s="3">
        <v>2017</v>
      </c>
      <c r="B1447" s="1" t="s">
        <v>6</v>
      </c>
      <c r="C1447" s="1" t="s">
        <v>12</v>
      </c>
      <c r="D1447" s="1">
        <v>433</v>
      </c>
      <c r="E1447" s="2">
        <v>5305</v>
      </c>
      <c r="F1447" s="4">
        <v>40017</v>
      </c>
    </row>
    <row r="1448" spans="1:6" x14ac:dyDescent="0.3">
      <c r="A1448" s="3">
        <v>2017</v>
      </c>
      <c r="B1448" s="1" t="s">
        <v>6</v>
      </c>
      <c r="C1448" s="1" t="s">
        <v>13</v>
      </c>
      <c r="D1448" s="1">
        <v>177</v>
      </c>
      <c r="E1448" s="2">
        <v>1538</v>
      </c>
      <c r="F1448" s="4">
        <v>39651</v>
      </c>
    </row>
    <row r="1449" spans="1:6" x14ac:dyDescent="0.3">
      <c r="A1449" s="3">
        <v>2017</v>
      </c>
      <c r="B1449" s="1" t="s">
        <v>6</v>
      </c>
      <c r="C1449" s="1" t="s">
        <v>14</v>
      </c>
      <c r="D1449" s="2">
        <v>5285</v>
      </c>
      <c r="E1449" s="2">
        <v>75471</v>
      </c>
      <c r="F1449" s="4">
        <v>32773</v>
      </c>
    </row>
    <row r="1450" spans="1:6" x14ac:dyDescent="0.3">
      <c r="A1450" s="3">
        <v>2017</v>
      </c>
      <c r="B1450" s="1" t="s">
        <v>6</v>
      </c>
      <c r="C1450" s="1" t="s">
        <v>15</v>
      </c>
      <c r="D1450" s="2">
        <v>2594</v>
      </c>
      <c r="E1450" s="2">
        <v>29299</v>
      </c>
      <c r="F1450" s="4">
        <v>41048</v>
      </c>
    </row>
    <row r="1451" spans="1:6" x14ac:dyDescent="0.3">
      <c r="A1451" s="3">
        <v>2017</v>
      </c>
      <c r="B1451" s="1" t="s">
        <v>6</v>
      </c>
      <c r="C1451" s="1" t="s">
        <v>16</v>
      </c>
      <c r="D1451" s="2">
        <v>2448</v>
      </c>
      <c r="E1451" s="2">
        <v>26790</v>
      </c>
      <c r="F1451" s="4">
        <v>38417</v>
      </c>
    </row>
    <row r="1452" spans="1:6" x14ac:dyDescent="0.3">
      <c r="A1452" s="3">
        <v>2017</v>
      </c>
      <c r="B1452" s="1" t="s">
        <v>6</v>
      </c>
      <c r="C1452" s="1" t="s">
        <v>17</v>
      </c>
      <c r="D1452" s="2">
        <v>2730</v>
      </c>
      <c r="E1452" s="2">
        <v>26665</v>
      </c>
      <c r="F1452" s="4">
        <v>48549</v>
      </c>
    </row>
    <row r="1453" spans="1:6" x14ac:dyDescent="0.3">
      <c r="A1453" s="3">
        <v>2017</v>
      </c>
      <c r="B1453" s="1" t="s">
        <v>6</v>
      </c>
      <c r="C1453" s="1" t="s">
        <v>18</v>
      </c>
      <c r="D1453" s="2">
        <v>2183</v>
      </c>
      <c r="E1453" s="2">
        <v>21072</v>
      </c>
      <c r="F1453" s="4">
        <v>47269</v>
      </c>
    </row>
    <row r="1454" spans="1:6" x14ac:dyDescent="0.3">
      <c r="A1454" s="3">
        <v>2017</v>
      </c>
      <c r="B1454" s="1" t="s">
        <v>6</v>
      </c>
      <c r="C1454" s="1" t="s">
        <v>19</v>
      </c>
      <c r="D1454" s="2">
        <v>2766</v>
      </c>
      <c r="E1454" s="2">
        <v>22503</v>
      </c>
      <c r="F1454" s="4">
        <v>41388</v>
      </c>
    </row>
    <row r="1455" spans="1:6" x14ac:dyDescent="0.3">
      <c r="A1455" s="3">
        <v>2017</v>
      </c>
      <c r="B1455" s="1" t="s">
        <v>6</v>
      </c>
      <c r="C1455" s="1" t="s">
        <v>20</v>
      </c>
      <c r="D1455" s="2">
        <v>2686</v>
      </c>
      <c r="E1455" s="2">
        <v>19024</v>
      </c>
      <c r="F1455" s="4">
        <v>45105</v>
      </c>
    </row>
    <row r="1456" spans="1:6" x14ac:dyDescent="0.3">
      <c r="A1456" s="3">
        <v>2017</v>
      </c>
      <c r="B1456" s="1" t="s">
        <v>6</v>
      </c>
      <c r="C1456" s="1" t="s">
        <v>21</v>
      </c>
      <c r="D1456" s="2">
        <v>1584</v>
      </c>
      <c r="E1456" s="2">
        <v>18306</v>
      </c>
      <c r="F1456" s="4">
        <v>54943</v>
      </c>
    </row>
    <row r="1457" spans="1:6" x14ac:dyDescent="0.3">
      <c r="A1457" s="3">
        <v>2017</v>
      </c>
      <c r="B1457" s="1" t="s">
        <v>6</v>
      </c>
      <c r="C1457" s="1" t="s">
        <v>22</v>
      </c>
      <c r="D1457" s="2">
        <v>3082</v>
      </c>
      <c r="E1457" s="2">
        <v>42251</v>
      </c>
      <c r="F1457" s="4">
        <v>80128</v>
      </c>
    </row>
    <row r="1458" spans="1:6" x14ac:dyDescent="0.3">
      <c r="A1458" s="3">
        <v>2017</v>
      </c>
      <c r="B1458" s="1" t="s">
        <v>6</v>
      </c>
      <c r="C1458" s="1" t="s">
        <v>23</v>
      </c>
      <c r="D1458" s="2">
        <v>1370</v>
      </c>
      <c r="E1458" s="2">
        <v>6817</v>
      </c>
      <c r="F1458" s="4">
        <v>40118</v>
      </c>
    </row>
    <row r="1459" spans="1:6" x14ac:dyDescent="0.3">
      <c r="A1459" s="3">
        <v>2017</v>
      </c>
      <c r="B1459" s="1" t="s">
        <v>6</v>
      </c>
      <c r="C1459" s="1" t="s">
        <v>24</v>
      </c>
      <c r="D1459" s="1">
        <v>723</v>
      </c>
      <c r="E1459" s="2">
        <v>6432</v>
      </c>
      <c r="F1459" s="4">
        <v>42478</v>
      </c>
    </row>
    <row r="1460" spans="1:6" x14ac:dyDescent="0.3">
      <c r="A1460" s="3">
        <v>2017</v>
      </c>
      <c r="B1460" s="1" t="s">
        <v>6</v>
      </c>
      <c r="C1460" s="1" t="s">
        <v>25</v>
      </c>
      <c r="D1460" s="2">
        <v>1030</v>
      </c>
      <c r="E1460" s="2">
        <v>9290</v>
      </c>
      <c r="F1460" s="4">
        <v>61286</v>
      </c>
    </row>
    <row r="1461" spans="1:6" x14ac:dyDescent="0.3">
      <c r="A1461" s="3">
        <v>2017</v>
      </c>
      <c r="B1461" s="1" t="s">
        <v>6</v>
      </c>
      <c r="C1461" s="1" t="s">
        <v>26</v>
      </c>
      <c r="D1461" s="2">
        <v>3203</v>
      </c>
      <c r="E1461" s="2">
        <v>36801</v>
      </c>
      <c r="F1461" s="4">
        <v>38160</v>
      </c>
    </row>
    <row r="1462" spans="1:6" x14ac:dyDescent="0.3">
      <c r="A1462" s="3">
        <v>2017</v>
      </c>
      <c r="B1462" s="1" t="s">
        <v>6</v>
      </c>
      <c r="C1462" s="1" t="s">
        <v>27</v>
      </c>
      <c r="D1462" s="2">
        <v>2992</v>
      </c>
      <c r="E1462" s="2">
        <v>27804</v>
      </c>
      <c r="F1462" s="4">
        <v>47599</v>
      </c>
    </row>
    <row r="1463" spans="1:6" x14ac:dyDescent="0.3">
      <c r="A1463" s="3">
        <v>2017</v>
      </c>
      <c r="B1463" s="1" t="s">
        <v>6</v>
      </c>
      <c r="C1463" s="1" t="s">
        <v>28</v>
      </c>
      <c r="D1463" s="2">
        <v>2168</v>
      </c>
      <c r="E1463" s="2">
        <v>16360</v>
      </c>
      <c r="F1463" s="4">
        <v>45681</v>
      </c>
    </row>
    <row r="1464" spans="1:6" x14ac:dyDescent="0.3">
      <c r="A1464" s="3">
        <v>2017</v>
      </c>
      <c r="B1464" s="1" t="s">
        <v>6</v>
      </c>
      <c r="C1464" s="1" t="s">
        <v>29</v>
      </c>
      <c r="D1464" s="2">
        <v>1950</v>
      </c>
      <c r="E1464" s="2">
        <v>16365</v>
      </c>
      <c r="F1464" s="4">
        <v>42894</v>
      </c>
    </row>
    <row r="1465" spans="1:6" x14ac:dyDescent="0.3">
      <c r="A1465" s="3">
        <v>2017</v>
      </c>
      <c r="B1465" s="1" t="s">
        <v>6</v>
      </c>
      <c r="C1465" s="1" t="s">
        <v>30</v>
      </c>
      <c r="D1465" s="2">
        <v>1753</v>
      </c>
      <c r="E1465" s="2">
        <v>11976</v>
      </c>
      <c r="F1465" s="4">
        <v>64781</v>
      </c>
    </row>
    <row r="1466" spans="1:6" x14ac:dyDescent="0.3">
      <c r="A1466" s="3">
        <v>2017</v>
      </c>
      <c r="B1466" s="1" t="s">
        <v>6</v>
      </c>
      <c r="C1466" s="1" t="s">
        <v>31</v>
      </c>
      <c r="D1466" s="2">
        <v>2337</v>
      </c>
      <c r="E1466" s="2">
        <v>15500</v>
      </c>
      <c r="F1466" s="4">
        <v>39544</v>
      </c>
    </row>
    <row r="1467" spans="1:6" x14ac:dyDescent="0.3">
      <c r="A1467" s="3">
        <v>2017</v>
      </c>
      <c r="B1467" s="1" t="s">
        <v>6</v>
      </c>
      <c r="C1467" s="1" t="s">
        <v>32</v>
      </c>
      <c r="D1467" s="1">
        <v>612</v>
      </c>
      <c r="E1467" s="2">
        <v>17902</v>
      </c>
      <c r="F1467" s="4">
        <v>82999</v>
      </c>
    </row>
    <row r="1468" spans="1:6" x14ac:dyDescent="0.3">
      <c r="A1468" s="3">
        <v>2017</v>
      </c>
      <c r="B1468" s="1" t="s">
        <v>6</v>
      </c>
      <c r="C1468" s="1" t="s">
        <v>33</v>
      </c>
      <c r="D1468" s="1">
        <v>350</v>
      </c>
      <c r="E1468" s="2">
        <v>2556</v>
      </c>
      <c r="F1468" s="4">
        <v>41972</v>
      </c>
    </row>
    <row r="1469" spans="1:6" x14ac:dyDescent="0.3">
      <c r="A1469" s="3">
        <v>2017</v>
      </c>
      <c r="B1469" s="1" t="s">
        <v>6</v>
      </c>
      <c r="C1469" s="1" t="s">
        <v>34</v>
      </c>
      <c r="D1469" s="2">
        <v>1018</v>
      </c>
      <c r="E1469" s="2">
        <v>12853</v>
      </c>
      <c r="F1469" s="4">
        <v>37279</v>
      </c>
    </row>
    <row r="1470" spans="1:6" x14ac:dyDescent="0.3">
      <c r="A1470" s="3">
        <v>2017</v>
      </c>
      <c r="B1470" s="1" t="s">
        <v>6</v>
      </c>
      <c r="C1470" s="1" t="s">
        <v>35</v>
      </c>
      <c r="D1470" s="2">
        <v>1991</v>
      </c>
      <c r="E1470" s="2">
        <v>32275</v>
      </c>
      <c r="F1470" s="4">
        <v>59989</v>
      </c>
    </row>
    <row r="1471" spans="1:6" x14ac:dyDescent="0.3">
      <c r="A1471" s="3">
        <v>2017</v>
      </c>
      <c r="B1471" s="1" t="s">
        <v>6</v>
      </c>
      <c r="C1471" s="1" t="s">
        <v>36</v>
      </c>
      <c r="D1471" s="2">
        <v>3023</v>
      </c>
      <c r="E1471" s="2">
        <v>30834</v>
      </c>
      <c r="F1471" s="4">
        <v>39487</v>
      </c>
    </row>
    <row r="1472" spans="1:6" x14ac:dyDescent="0.3">
      <c r="A1472" s="3">
        <v>2017</v>
      </c>
      <c r="B1472" s="1" t="s">
        <v>6</v>
      </c>
      <c r="C1472" s="1" t="s">
        <v>37</v>
      </c>
      <c r="D1472" s="2">
        <v>3306</v>
      </c>
      <c r="E1472" s="2">
        <v>30981</v>
      </c>
      <c r="F1472" s="4">
        <v>37636</v>
      </c>
    </row>
    <row r="1473" spans="1:6" x14ac:dyDescent="0.3">
      <c r="A1473" s="3">
        <v>2017</v>
      </c>
      <c r="B1473" s="1" t="s">
        <v>6</v>
      </c>
      <c r="C1473" s="1" t="s">
        <v>38</v>
      </c>
      <c r="D1473" s="2">
        <v>1771</v>
      </c>
      <c r="E1473" s="2">
        <v>22394</v>
      </c>
      <c r="F1473" s="4">
        <v>89578</v>
      </c>
    </row>
    <row r="1474" spans="1:6" x14ac:dyDescent="0.3">
      <c r="A1474" s="3">
        <v>2017</v>
      </c>
      <c r="B1474" s="1" t="s">
        <v>6</v>
      </c>
      <c r="C1474" s="1" t="s">
        <v>39</v>
      </c>
      <c r="D1474" s="2">
        <v>2483</v>
      </c>
      <c r="E1474" s="2">
        <v>27504</v>
      </c>
      <c r="F1474" s="4">
        <v>48849</v>
      </c>
    </row>
    <row r="1475" spans="1:6" x14ac:dyDescent="0.3">
      <c r="A1475" s="3">
        <v>2017</v>
      </c>
      <c r="B1475" s="1" t="s">
        <v>6</v>
      </c>
      <c r="C1475" s="1" t="s">
        <v>40</v>
      </c>
      <c r="D1475" s="2">
        <v>4333</v>
      </c>
      <c r="E1475" s="2">
        <v>58716</v>
      </c>
      <c r="F1475" s="4">
        <v>88899</v>
      </c>
    </row>
    <row r="1476" spans="1:6" x14ac:dyDescent="0.3">
      <c r="A1476" s="3">
        <v>2017</v>
      </c>
      <c r="B1476" s="1" t="s">
        <v>6</v>
      </c>
      <c r="C1476" s="1" t="s">
        <v>41</v>
      </c>
      <c r="D1476" s="2">
        <v>4453</v>
      </c>
      <c r="E1476" s="2">
        <v>52439</v>
      </c>
      <c r="F1476" s="4">
        <v>35362</v>
      </c>
    </row>
    <row r="1477" spans="1:6" x14ac:dyDescent="0.3">
      <c r="A1477" s="3">
        <v>2017</v>
      </c>
      <c r="B1477" s="1" t="s">
        <v>6</v>
      </c>
      <c r="C1477" s="1" t="s">
        <v>42</v>
      </c>
      <c r="D1477" s="2">
        <v>3498</v>
      </c>
      <c r="E1477" s="2">
        <v>50197</v>
      </c>
      <c r="F1477" s="4">
        <v>63021</v>
      </c>
    </row>
    <row r="1478" spans="1:6" x14ac:dyDescent="0.3">
      <c r="A1478" s="3">
        <v>2017</v>
      </c>
      <c r="B1478" s="1" t="s">
        <v>6</v>
      </c>
      <c r="C1478" s="1" t="s">
        <v>44</v>
      </c>
      <c r="D1478" s="2">
        <v>1230</v>
      </c>
      <c r="E1478" s="2">
        <v>12432</v>
      </c>
      <c r="F1478" s="4">
        <v>40520</v>
      </c>
    </row>
    <row r="1479" spans="1:6" x14ac:dyDescent="0.3">
      <c r="A1479" s="3">
        <v>2017</v>
      </c>
      <c r="B1479" s="1" t="s">
        <v>6</v>
      </c>
      <c r="C1479" s="1" t="s">
        <v>45</v>
      </c>
      <c r="D1479" s="2">
        <v>1026</v>
      </c>
      <c r="E1479" s="2">
        <v>6646</v>
      </c>
      <c r="F1479" s="4">
        <v>41459</v>
      </c>
    </row>
    <row r="1480" spans="1:6" x14ac:dyDescent="0.3">
      <c r="A1480" s="3">
        <v>2017</v>
      </c>
      <c r="B1480" s="1" t="s">
        <v>6</v>
      </c>
      <c r="C1480" s="1" t="s">
        <v>46</v>
      </c>
      <c r="D1480" s="2">
        <v>1071</v>
      </c>
      <c r="E1480" s="2">
        <v>10750</v>
      </c>
      <c r="F1480" s="4">
        <v>43908</v>
      </c>
    </row>
    <row r="1481" spans="1:6" x14ac:dyDescent="0.3">
      <c r="A1481" s="3">
        <v>2017</v>
      </c>
      <c r="B1481" s="1" t="s">
        <v>6</v>
      </c>
      <c r="C1481" s="1" t="s">
        <v>47</v>
      </c>
      <c r="D1481" s="2">
        <v>19580</v>
      </c>
      <c r="E1481" s="2">
        <v>281110</v>
      </c>
      <c r="F1481" s="4">
        <v>107415</v>
      </c>
    </row>
    <row r="1482" spans="1:6" x14ac:dyDescent="0.3">
      <c r="A1482" s="3">
        <v>2017</v>
      </c>
      <c r="B1482" s="1" t="s">
        <v>6</v>
      </c>
      <c r="C1482" s="1" t="s">
        <v>48</v>
      </c>
      <c r="D1482" s="2">
        <v>1034</v>
      </c>
      <c r="E1482" s="2">
        <v>14217</v>
      </c>
      <c r="F1482" s="4">
        <v>59120</v>
      </c>
    </row>
    <row r="1483" spans="1:6" x14ac:dyDescent="0.3">
      <c r="A1483" s="3">
        <v>2017</v>
      </c>
      <c r="B1483" s="1" t="s">
        <v>6</v>
      </c>
      <c r="C1483" s="1" t="s">
        <v>49</v>
      </c>
      <c r="D1483" s="1">
        <v>551</v>
      </c>
      <c r="E1483" s="2">
        <v>3901</v>
      </c>
      <c r="F1483" s="4">
        <v>37223</v>
      </c>
    </row>
    <row r="1484" spans="1:6" x14ac:dyDescent="0.3">
      <c r="A1484" s="3">
        <v>2017</v>
      </c>
      <c r="B1484" s="1" t="s">
        <v>6</v>
      </c>
      <c r="C1484" s="1" t="s">
        <v>50</v>
      </c>
      <c r="D1484" s="2">
        <v>2061</v>
      </c>
      <c r="E1484" s="2">
        <v>19558</v>
      </c>
      <c r="F1484" s="4">
        <v>44371</v>
      </c>
    </row>
    <row r="1485" spans="1:6" x14ac:dyDescent="0.3">
      <c r="A1485" s="3">
        <v>2017</v>
      </c>
      <c r="B1485" s="1" t="s">
        <v>6</v>
      </c>
      <c r="C1485" s="1" t="s">
        <v>51</v>
      </c>
      <c r="D1485" s="2">
        <v>7493</v>
      </c>
      <c r="E1485" s="2">
        <v>107674</v>
      </c>
      <c r="F1485" s="4">
        <v>32082</v>
      </c>
    </row>
    <row r="1486" spans="1:6" x14ac:dyDescent="0.3">
      <c r="A1486" s="3">
        <v>2017</v>
      </c>
      <c r="B1486" s="1" t="s">
        <v>6</v>
      </c>
      <c r="C1486" s="1" t="s">
        <v>52</v>
      </c>
      <c r="D1486" s="2">
        <v>1221</v>
      </c>
      <c r="E1486" s="2">
        <v>22793</v>
      </c>
      <c r="F1486" s="4">
        <v>76848</v>
      </c>
    </row>
    <row r="1487" spans="1:6" x14ac:dyDescent="0.3">
      <c r="A1487" s="3">
        <v>2017</v>
      </c>
      <c r="B1487" s="1" t="s">
        <v>6</v>
      </c>
      <c r="C1487" s="1" t="s">
        <v>53</v>
      </c>
      <c r="D1487" s="2">
        <v>2865</v>
      </c>
      <c r="E1487" s="2">
        <v>31986</v>
      </c>
      <c r="F1487" s="4">
        <v>37981</v>
      </c>
    </row>
    <row r="1488" spans="1:6" x14ac:dyDescent="0.3">
      <c r="A1488" s="3">
        <v>2017</v>
      </c>
      <c r="B1488" s="1" t="s">
        <v>6</v>
      </c>
      <c r="C1488" s="1" t="s">
        <v>54</v>
      </c>
      <c r="D1488" s="2">
        <v>1442</v>
      </c>
      <c r="E1488" s="2">
        <v>22390</v>
      </c>
      <c r="F1488" s="4">
        <v>81163</v>
      </c>
    </row>
    <row r="1489" spans="1:6" x14ac:dyDescent="0.3">
      <c r="A1489" s="3">
        <v>2017</v>
      </c>
      <c r="B1489" s="1" t="s">
        <v>55</v>
      </c>
      <c r="C1489" s="1" t="s">
        <v>7</v>
      </c>
      <c r="D1489" s="2">
        <v>9645</v>
      </c>
      <c r="E1489" s="2">
        <v>85262</v>
      </c>
      <c r="F1489" s="4">
        <v>52230</v>
      </c>
    </row>
    <row r="1490" spans="1:6" x14ac:dyDescent="0.3">
      <c r="A1490" s="3">
        <v>2017</v>
      </c>
      <c r="B1490" s="1" t="s">
        <v>55</v>
      </c>
      <c r="C1490" s="1" t="s">
        <v>8</v>
      </c>
      <c r="D1490" s="2">
        <v>11368</v>
      </c>
      <c r="E1490" s="2">
        <v>144747</v>
      </c>
      <c r="F1490" s="4">
        <v>53440</v>
      </c>
    </row>
    <row r="1491" spans="1:6" x14ac:dyDescent="0.3">
      <c r="A1491" s="3">
        <v>2017</v>
      </c>
      <c r="B1491" s="1" t="s">
        <v>55</v>
      </c>
      <c r="C1491" s="1" t="s">
        <v>9</v>
      </c>
      <c r="D1491" s="2">
        <v>6817</v>
      </c>
      <c r="E1491" s="2">
        <v>51130</v>
      </c>
      <c r="F1491" s="4">
        <v>47283</v>
      </c>
    </row>
    <row r="1492" spans="1:6" x14ac:dyDescent="0.3">
      <c r="A1492" s="3">
        <v>2017</v>
      </c>
      <c r="B1492" s="1" t="s">
        <v>55</v>
      </c>
      <c r="C1492" s="1" t="s">
        <v>10</v>
      </c>
      <c r="D1492" s="2">
        <v>72972</v>
      </c>
      <c r="E1492" s="2">
        <v>805942</v>
      </c>
      <c r="F1492" s="4">
        <v>67561</v>
      </c>
    </row>
    <row r="1493" spans="1:6" x14ac:dyDescent="0.3">
      <c r="A1493" s="3">
        <v>2017</v>
      </c>
      <c r="B1493" s="1" t="s">
        <v>55</v>
      </c>
      <c r="C1493" s="1" t="s">
        <v>11</v>
      </c>
      <c r="D1493" s="2">
        <v>19243</v>
      </c>
      <c r="E1493" s="2">
        <v>163473</v>
      </c>
      <c r="F1493" s="4">
        <v>59444</v>
      </c>
    </row>
    <row r="1494" spans="1:6" x14ac:dyDescent="0.3">
      <c r="A1494" s="3">
        <v>2017</v>
      </c>
      <c r="B1494" s="1" t="s">
        <v>55</v>
      </c>
      <c r="C1494" s="1" t="s">
        <v>12</v>
      </c>
      <c r="D1494" s="2">
        <v>9351</v>
      </c>
      <c r="E1494" s="2">
        <v>58327</v>
      </c>
      <c r="F1494" s="4">
        <v>68641</v>
      </c>
    </row>
    <row r="1495" spans="1:6" x14ac:dyDescent="0.3">
      <c r="A1495" s="3">
        <v>2017</v>
      </c>
      <c r="B1495" s="1" t="s">
        <v>55</v>
      </c>
      <c r="C1495" s="1" t="s">
        <v>13</v>
      </c>
      <c r="D1495" s="2">
        <v>2777</v>
      </c>
      <c r="E1495" s="2">
        <v>21591</v>
      </c>
      <c r="F1495" s="4">
        <v>59040</v>
      </c>
    </row>
    <row r="1496" spans="1:6" x14ac:dyDescent="0.3">
      <c r="A1496" s="3">
        <v>2017</v>
      </c>
      <c r="B1496" s="1" t="s">
        <v>55</v>
      </c>
      <c r="C1496" s="1" t="s">
        <v>14</v>
      </c>
      <c r="D1496" s="2">
        <v>67384</v>
      </c>
      <c r="E1496" s="2">
        <v>503704</v>
      </c>
      <c r="F1496" s="4">
        <v>49256</v>
      </c>
    </row>
    <row r="1497" spans="1:6" x14ac:dyDescent="0.3">
      <c r="A1497" s="3">
        <v>2017</v>
      </c>
      <c r="B1497" s="1" t="s">
        <v>55</v>
      </c>
      <c r="C1497" s="1" t="s">
        <v>15</v>
      </c>
      <c r="D1497" s="2">
        <v>20135</v>
      </c>
      <c r="E1497" s="2">
        <v>182259</v>
      </c>
      <c r="F1497" s="4">
        <v>58213</v>
      </c>
    </row>
    <row r="1498" spans="1:6" x14ac:dyDescent="0.3">
      <c r="A1498" s="3">
        <v>2017</v>
      </c>
      <c r="B1498" s="1" t="s">
        <v>55</v>
      </c>
      <c r="C1498" s="1" t="s">
        <v>16</v>
      </c>
      <c r="D1498" s="2">
        <v>7660</v>
      </c>
      <c r="E1498" s="2">
        <v>42668</v>
      </c>
      <c r="F1498" s="4">
        <v>42865</v>
      </c>
    </row>
    <row r="1499" spans="1:6" x14ac:dyDescent="0.3">
      <c r="A1499" s="3">
        <v>2017</v>
      </c>
      <c r="B1499" s="1" t="s">
        <v>55</v>
      </c>
      <c r="C1499" s="1" t="s">
        <v>17</v>
      </c>
      <c r="D1499" s="2">
        <v>31422</v>
      </c>
      <c r="E1499" s="2">
        <v>220019</v>
      </c>
      <c r="F1499" s="4">
        <v>70893</v>
      </c>
    </row>
    <row r="1500" spans="1:6" x14ac:dyDescent="0.3">
      <c r="A1500" s="3">
        <v>2017</v>
      </c>
      <c r="B1500" s="1" t="s">
        <v>55</v>
      </c>
      <c r="C1500" s="1" t="s">
        <v>18</v>
      </c>
      <c r="D1500" s="2">
        <v>14839</v>
      </c>
      <c r="E1500" s="2">
        <v>138040</v>
      </c>
      <c r="F1500" s="4">
        <v>57099</v>
      </c>
    </row>
    <row r="1501" spans="1:6" x14ac:dyDescent="0.3">
      <c r="A1501" s="3">
        <v>2017</v>
      </c>
      <c r="B1501" s="1" t="s">
        <v>55</v>
      </c>
      <c r="C1501" s="1" t="s">
        <v>19</v>
      </c>
      <c r="D1501" s="2">
        <v>9417</v>
      </c>
      <c r="E1501" s="2">
        <v>76086</v>
      </c>
      <c r="F1501" s="4">
        <v>55415</v>
      </c>
    </row>
    <row r="1502" spans="1:6" x14ac:dyDescent="0.3">
      <c r="A1502" s="3">
        <v>2017</v>
      </c>
      <c r="B1502" s="1" t="s">
        <v>55</v>
      </c>
      <c r="C1502" s="1" t="s">
        <v>20</v>
      </c>
      <c r="D1502" s="2">
        <v>7584</v>
      </c>
      <c r="E1502" s="2">
        <v>60238</v>
      </c>
      <c r="F1502" s="4">
        <v>52807</v>
      </c>
    </row>
    <row r="1503" spans="1:6" x14ac:dyDescent="0.3">
      <c r="A1503" s="3">
        <v>2017</v>
      </c>
      <c r="B1503" s="1" t="s">
        <v>55</v>
      </c>
      <c r="C1503" s="1" t="s">
        <v>21</v>
      </c>
      <c r="D1503" s="2">
        <v>9339</v>
      </c>
      <c r="E1503" s="2">
        <v>77332</v>
      </c>
      <c r="F1503" s="4">
        <v>53194</v>
      </c>
    </row>
    <row r="1504" spans="1:6" x14ac:dyDescent="0.3">
      <c r="A1504" s="3">
        <v>2017</v>
      </c>
      <c r="B1504" s="1" t="s">
        <v>55</v>
      </c>
      <c r="C1504" s="1" t="s">
        <v>22</v>
      </c>
      <c r="D1504" s="2">
        <v>10825</v>
      </c>
      <c r="E1504" s="2">
        <v>147021</v>
      </c>
      <c r="F1504" s="4">
        <v>61781</v>
      </c>
    </row>
    <row r="1505" spans="1:6" x14ac:dyDescent="0.3">
      <c r="A1505" s="3">
        <v>2017</v>
      </c>
      <c r="B1505" s="1" t="s">
        <v>55</v>
      </c>
      <c r="C1505" s="1" t="s">
        <v>23</v>
      </c>
      <c r="D1505" s="2">
        <v>5502</v>
      </c>
      <c r="E1505" s="2">
        <v>28253</v>
      </c>
      <c r="F1505" s="4">
        <v>47930</v>
      </c>
    </row>
    <row r="1506" spans="1:6" x14ac:dyDescent="0.3">
      <c r="A1506" s="3">
        <v>2017</v>
      </c>
      <c r="B1506" s="1" t="s">
        <v>55</v>
      </c>
      <c r="C1506" s="1" t="s">
        <v>24</v>
      </c>
      <c r="D1506" s="2">
        <v>16463</v>
      </c>
      <c r="E1506" s="2">
        <v>162140</v>
      </c>
      <c r="F1506" s="4">
        <v>65027</v>
      </c>
    </row>
    <row r="1507" spans="1:6" x14ac:dyDescent="0.3">
      <c r="A1507" s="3">
        <v>2017</v>
      </c>
      <c r="B1507" s="1" t="s">
        <v>55</v>
      </c>
      <c r="C1507" s="1" t="s">
        <v>25</v>
      </c>
      <c r="D1507" s="2">
        <v>21055</v>
      </c>
      <c r="E1507" s="2">
        <v>152131</v>
      </c>
      <c r="F1507" s="4">
        <v>75405</v>
      </c>
    </row>
    <row r="1508" spans="1:6" x14ac:dyDescent="0.3">
      <c r="A1508" s="3">
        <v>2017</v>
      </c>
      <c r="B1508" s="1" t="s">
        <v>55</v>
      </c>
      <c r="C1508" s="1" t="s">
        <v>26</v>
      </c>
      <c r="D1508" s="2">
        <v>19544</v>
      </c>
      <c r="E1508" s="2">
        <v>161903</v>
      </c>
      <c r="F1508" s="4">
        <v>61511</v>
      </c>
    </row>
    <row r="1509" spans="1:6" x14ac:dyDescent="0.3">
      <c r="A1509" s="3">
        <v>2017</v>
      </c>
      <c r="B1509" s="1" t="s">
        <v>55</v>
      </c>
      <c r="C1509" s="1" t="s">
        <v>27</v>
      </c>
      <c r="D1509" s="2">
        <v>15746</v>
      </c>
      <c r="E1509" s="2">
        <v>119642</v>
      </c>
      <c r="F1509" s="4">
        <v>65464</v>
      </c>
    </row>
    <row r="1510" spans="1:6" x14ac:dyDescent="0.3">
      <c r="A1510" s="3">
        <v>2017</v>
      </c>
      <c r="B1510" s="1" t="s">
        <v>55</v>
      </c>
      <c r="C1510" s="1" t="s">
        <v>28</v>
      </c>
      <c r="D1510" s="2">
        <v>5670</v>
      </c>
      <c r="E1510" s="2">
        <v>43467</v>
      </c>
      <c r="F1510" s="4">
        <v>48782</v>
      </c>
    </row>
    <row r="1511" spans="1:6" x14ac:dyDescent="0.3">
      <c r="A1511" s="3">
        <v>2017</v>
      </c>
      <c r="B1511" s="1" t="s">
        <v>55</v>
      </c>
      <c r="C1511" s="1" t="s">
        <v>29</v>
      </c>
      <c r="D1511" s="2">
        <v>15141</v>
      </c>
      <c r="E1511" s="2">
        <v>123034</v>
      </c>
      <c r="F1511" s="4">
        <v>57823</v>
      </c>
    </row>
    <row r="1512" spans="1:6" x14ac:dyDescent="0.3">
      <c r="A1512" s="3">
        <v>2017</v>
      </c>
      <c r="B1512" s="1" t="s">
        <v>55</v>
      </c>
      <c r="C1512" s="1" t="s">
        <v>30</v>
      </c>
      <c r="D1512" s="2">
        <v>6287</v>
      </c>
      <c r="E1512" s="2">
        <v>27712</v>
      </c>
      <c r="F1512" s="4">
        <v>50369</v>
      </c>
    </row>
    <row r="1513" spans="1:6" x14ac:dyDescent="0.3">
      <c r="A1513" s="3">
        <v>2017</v>
      </c>
      <c r="B1513" s="1" t="s">
        <v>55</v>
      </c>
      <c r="C1513" s="1" t="s">
        <v>31</v>
      </c>
      <c r="D1513" s="2">
        <v>7053</v>
      </c>
      <c r="E1513" s="2">
        <v>51174</v>
      </c>
      <c r="F1513" s="4">
        <v>49634</v>
      </c>
    </row>
    <row r="1514" spans="1:6" x14ac:dyDescent="0.3">
      <c r="A1514" s="3">
        <v>2017</v>
      </c>
      <c r="B1514" s="1" t="s">
        <v>55</v>
      </c>
      <c r="C1514" s="1" t="s">
        <v>32</v>
      </c>
      <c r="D1514" s="2">
        <v>5859</v>
      </c>
      <c r="E1514" s="2">
        <v>82998</v>
      </c>
      <c r="F1514" s="4">
        <v>58071</v>
      </c>
    </row>
    <row r="1515" spans="1:6" x14ac:dyDescent="0.3">
      <c r="A1515" s="3">
        <v>2017</v>
      </c>
      <c r="B1515" s="1" t="s">
        <v>55</v>
      </c>
      <c r="C1515" s="1" t="s">
        <v>33</v>
      </c>
      <c r="D1515" s="2">
        <v>4363</v>
      </c>
      <c r="E1515" s="2">
        <v>26466</v>
      </c>
      <c r="F1515" s="4">
        <v>61497</v>
      </c>
    </row>
    <row r="1516" spans="1:6" x14ac:dyDescent="0.3">
      <c r="A1516" s="3">
        <v>2017</v>
      </c>
      <c r="B1516" s="1" t="s">
        <v>55</v>
      </c>
      <c r="C1516" s="1" t="s">
        <v>34</v>
      </c>
      <c r="D1516" s="2">
        <v>21672</v>
      </c>
      <c r="E1516" s="2">
        <v>154907</v>
      </c>
      <c r="F1516" s="4">
        <v>71145</v>
      </c>
    </row>
    <row r="1517" spans="1:6" x14ac:dyDescent="0.3">
      <c r="A1517" s="3">
        <v>2017</v>
      </c>
      <c r="B1517" s="1" t="s">
        <v>55</v>
      </c>
      <c r="C1517" s="1" t="s">
        <v>35</v>
      </c>
      <c r="D1517" s="2">
        <v>5141</v>
      </c>
      <c r="E1517" s="2">
        <v>45511</v>
      </c>
      <c r="F1517" s="4">
        <v>46369</v>
      </c>
    </row>
    <row r="1518" spans="1:6" x14ac:dyDescent="0.3">
      <c r="A1518" s="3">
        <v>2017</v>
      </c>
      <c r="B1518" s="1" t="s">
        <v>55</v>
      </c>
      <c r="C1518" s="1" t="s">
        <v>36</v>
      </c>
      <c r="D1518" s="2">
        <v>50064</v>
      </c>
      <c r="E1518" s="2">
        <v>386615</v>
      </c>
      <c r="F1518" s="4">
        <v>71408</v>
      </c>
    </row>
    <row r="1519" spans="1:6" x14ac:dyDescent="0.3">
      <c r="A1519" s="3">
        <v>2017</v>
      </c>
      <c r="B1519" s="1" t="s">
        <v>55</v>
      </c>
      <c r="C1519" s="1" t="s">
        <v>37</v>
      </c>
      <c r="D1519" s="2">
        <v>26057</v>
      </c>
      <c r="E1519" s="2">
        <v>208662</v>
      </c>
      <c r="F1519" s="4">
        <v>52372</v>
      </c>
    </row>
    <row r="1520" spans="1:6" x14ac:dyDescent="0.3">
      <c r="A1520" s="3">
        <v>2017</v>
      </c>
      <c r="B1520" s="1" t="s">
        <v>55</v>
      </c>
      <c r="C1520" s="1" t="s">
        <v>38</v>
      </c>
      <c r="D1520" s="2">
        <v>4035</v>
      </c>
      <c r="E1520" s="2">
        <v>26732</v>
      </c>
      <c r="F1520" s="4">
        <v>63029</v>
      </c>
    </row>
    <row r="1521" spans="1:6" x14ac:dyDescent="0.3">
      <c r="A1521" s="3">
        <v>2017</v>
      </c>
      <c r="B1521" s="1" t="s">
        <v>55</v>
      </c>
      <c r="C1521" s="1" t="s">
        <v>39</v>
      </c>
      <c r="D1521" s="2">
        <v>23022</v>
      </c>
      <c r="E1521" s="2">
        <v>217025</v>
      </c>
      <c r="F1521" s="4">
        <v>60831</v>
      </c>
    </row>
    <row r="1522" spans="1:6" x14ac:dyDescent="0.3">
      <c r="A1522" s="3">
        <v>2017</v>
      </c>
      <c r="B1522" s="1" t="s">
        <v>55</v>
      </c>
      <c r="C1522" s="1" t="s">
        <v>40</v>
      </c>
      <c r="D1522" s="2">
        <v>9823</v>
      </c>
      <c r="E1522" s="2">
        <v>77247</v>
      </c>
      <c r="F1522" s="4">
        <v>50585</v>
      </c>
    </row>
    <row r="1523" spans="1:6" x14ac:dyDescent="0.3">
      <c r="A1523" s="3">
        <v>2017</v>
      </c>
      <c r="B1523" s="1" t="s">
        <v>55</v>
      </c>
      <c r="C1523" s="1" t="s">
        <v>41</v>
      </c>
      <c r="D1523" s="2">
        <v>13468</v>
      </c>
      <c r="E1523" s="2">
        <v>96991</v>
      </c>
      <c r="F1523" s="4">
        <v>57987</v>
      </c>
    </row>
    <row r="1524" spans="1:6" x14ac:dyDescent="0.3">
      <c r="A1524" s="3">
        <v>2017</v>
      </c>
      <c r="B1524" s="1" t="s">
        <v>55</v>
      </c>
      <c r="C1524" s="1" t="s">
        <v>42</v>
      </c>
      <c r="D1524" s="2">
        <v>28397</v>
      </c>
      <c r="E1524" s="2">
        <v>248932</v>
      </c>
      <c r="F1524" s="4">
        <v>64769</v>
      </c>
    </row>
    <row r="1525" spans="1:6" x14ac:dyDescent="0.3">
      <c r="A1525" s="3">
        <v>2017</v>
      </c>
      <c r="B1525" s="1" t="s">
        <v>55</v>
      </c>
      <c r="C1525" s="1" t="s">
        <v>44</v>
      </c>
      <c r="D1525" s="2">
        <v>11635</v>
      </c>
      <c r="E1525" s="2">
        <v>100817</v>
      </c>
      <c r="F1525" s="4">
        <v>53542</v>
      </c>
    </row>
    <row r="1526" spans="1:6" x14ac:dyDescent="0.3">
      <c r="A1526" s="3">
        <v>2017</v>
      </c>
      <c r="B1526" s="1" t="s">
        <v>55</v>
      </c>
      <c r="C1526" s="1" t="s">
        <v>45</v>
      </c>
      <c r="D1526" s="2">
        <v>3883</v>
      </c>
      <c r="E1526" s="2">
        <v>22351</v>
      </c>
      <c r="F1526" s="4">
        <v>47385</v>
      </c>
    </row>
    <row r="1527" spans="1:6" x14ac:dyDescent="0.3">
      <c r="A1527" s="3">
        <v>2017</v>
      </c>
      <c r="B1527" s="1" t="s">
        <v>55</v>
      </c>
      <c r="C1527" s="1" t="s">
        <v>46</v>
      </c>
      <c r="D1527" s="2">
        <v>11745</v>
      </c>
      <c r="E1527" s="2">
        <v>119968</v>
      </c>
      <c r="F1527" s="4">
        <v>56642</v>
      </c>
    </row>
    <row r="1528" spans="1:6" x14ac:dyDescent="0.3">
      <c r="A1528" s="3">
        <v>2017</v>
      </c>
      <c r="B1528" s="1" t="s">
        <v>55</v>
      </c>
      <c r="C1528" s="1" t="s">
        <v>47</v>
      </c>
      <c r="D1528" s="2">
        <v>49310</v>
      </c>
      <c r="E1528" s="2">
        <v>711119</v>
      </c>
      <c r="F1528" s="4">
        <v>63219</v>
      </c>
    </row>
    <row r="1529" spans="1:6" x14ac:dyDescent="0.3">
      <c r="A1529" s="3">
        <v>2017</v>
      </c>
      <c r="B1529" s="1" t="s">
        <v>55</v>
      </c>
      <c r="C1529" s="1" t="s">
        <v>48</v>
      </c>
      <c r="D1529" s="2">
        <v>10886</v>
      </c>
      <c r="E1529" s="2">
        <v>97495</v>
      </c>
      <c r="F1529" s="4">
        <v>49132</v>
      </c>
    </row>
    <row r="1530" spans="1:6" x14ac:dyDescent="0.3">
      <c r="A1530" s="3">
        <v>2017</v>
      </c>
      <c r="B1530" s="1" t="s">
        <v>55</v>
      </c>
      <c r="C1530" s="1" t="s">
        <v>49</v>
      </c>
      <c r="D1530" s="2">
        <v>2865</v>
      </c>
      <c r="E1530" s="2">
        <v>15187</v>
      </c>
      <c r="F1530" s="4">
        <v>50125</v>
      </c>
    </row>
    <row r="1531" spans="1:6" x14ac:dyDescent="0.3">
      <c r="A1531" s="3">
        <v>2017</v>
      </c>
      <c r="B1531" s="1" t="s">
        <v>55</v>
      </c>
      <c r="C1531" s="1" t="s">
        <v>50</v>
      </c>
      <c r="D1531" s="2">
        <v>21256</v>
      </c>
      <c r="E1531" s="2">
        <v>192576</v>
      </c>
      <c r="F1531" s="4">
        <v>56166</v>
      </c>
    </row>
    <row r="1532" spans="1:6" x14ac:dyDescent="0.3">
      <c r="A1532" s="3">
        <v>2017</v>
      </c>
      <c r="B1532" s="1" t="s">
        <v>55</v>
      </c>
      <c r="C1532" s="1" t="s">
        <v>51</v>
      </c>
      <c r="D1532" s="2">
        <v>25279</v>
      </c>
      <c r="E1532" s="2">
        <v>187247</v>
      </c>
      <c r="F1532" s="4">
        <v>61249</v>
      </c>
    </row>
    <row r="1533" spans="1:6" x14ac:dyDescent="0.3">
      <c r="A1533" s="3">
        <v>2017</v>
      </c>
      <c r="B1533" s="1" t="s">
        <v>55</v>
      </c>
      <c r="C1533" s="1" t="s">
        <v>52</v>
      </c>
      <c r="D1533" s="2">
        <v>4402</v>
      </c>
      <c r="E1533" s="2">
        <v>31522</v>
      </c>
      <c r="F1533" s="4">
        <v>57987</v>
      </c>
    </row>
    <row r="1534" spans="1:6" x14ac:dyDescent="0.3">
      <c r="A1534" s="3">
        <v>2017</v>
      </c>
      <c r="B1534" s="1" t="s">
        <v>55</v>
      </c>
      <c r="C1534" s="1" t="s">
        <v>53</v>
      </c>
      <c r="D1534" s="2">
        <v>14158</v>
      </c>
      <c r="E1534" s="2">
        <v>117226</v>
      </c>
      <c r="F1534" s="4">
        <v>60136</v>
      </c>
    </row>
    <row r="1535" spans="1:6" x14ac:dyDescent="0.3">
      <c r="A1535" s="3">
        <v>2017</v>
      </c>
      <c r="B1535" s="1" t="s">
        <v>55</v>
      </c>
      <c r="C1535" s="1" t="s">
        <v>54</v>
      </c>
      <c r="D1535" s="2">
        <v>3427</v>
      </c>
      <c r="E1535" s="2">
        <v>19573</v>
      </c>
      <c r="F1535" s="4">
        <v>50877</v>
      </c>
    </row>
    <row r="1536" spans="1:6" x14ac:dyDescent="0.3">
      <c r="A1536" s="3">
        <v>2017</v>
      </c>
      <c r="B1536" s="1" t="s">
        <v>56</v>
      </c>
      <c r="C1536" s="1" t="s">
        <v>7</v>
      </c>
      <c r="D1536" s="2">
        <v>5447</v>
      </c>
      <c r="E1536" s="2">
        <v>263487</v>
      </c>
      <c r="F1536" s="4">
        <v>55197</v>
      </c>
    </row>
    <row r="1537" spans="1:6" x14ac:dyDescent="0.3">
      <c r="A1537" s="3">
        <v>2017</v>
      </c>
      <c r="B1537" s="1" t="s">
        <v>56</v>
      </c>
      <c r="C1537" s="1" t="s">
        <v>8</v>
      </c>
      <c r="D1537" s="2">
        <v>4657</v>
      </c>
      <c r="E1537" s="2">
        <v>162399</v>
      </c>
      <c r="F1537" s="4">
        <v>73528</v>
      </c>
    </row>
    <row r="1538" spans="1:6" x14ac:dyDescent="0.3">
      <c r="A1538" s="3">
        <v>2017</v>
      </c>
      <c r="B1538" s="1" t="s">
        <v>56</v>
      </c>
      <c r="C1538" s="1" t="s">
        <v>9</v>
      </c>
      <c r="D1538" s="2">
        <v>2928</v>
      </c>
      <c r="E1538" s="2">
        <v>157305</v>
      </c>
      <c r="F1538" s="4">
        <v>46766</v>
      </c>
    </row>
    <row r="1539" spans="1:6" x14ac:dyDescent="0.3">
      <c r="A1539" s="3">
        <v>2017</v>
      </c>
      <c r="B1539" s="1" t="s">
        <v>56</v>
      </c>
      <c r="C1539" s="1" t="s">
        <v>10</v>
      </c>
      <c r="D1539" s="2">
        <v>42215</v>
      </c>
      <c r="E1539" s="2">
        <v>1303550</v>
      </c>
      <c r="F1539" s="4">
        <v>92246</v>
      </c>
    </row>
    <row r="1540" spans="1:6" x14ac:dyDescent="0.3">
      <c r="A1540" s="3">
        <v>2017</v>
      </c>
      <c r="B1540" s="1" t="s">
        <v>56</v>
      </c>
      <c r="C1540" s="1" t="s">
        <v>11</v>
      </c>
      <c r="D1540" s="2">
        <v>5750</v>
      </c>
      <c r="E1540" s="2">
        <v>144067</v>
      </c>
      <c r="F1540" s="4">
        <v>69446</v>
      </c>
    </row>
    <row r="1541" spans="1:6" x14ac:dyDescent="0.3">
      <c r="A1541" s="3">
        <v>2017</v>
      </c>
      <c r="B1541" s="1" t="s">
        <v>56</v>
      </c>
      <c r="C1541" s="1" t="s">
        <v>12</v>
      </c>
      <c r="D1541" s="2">
        <v>4460</v>
      </c>
      <c r="E1541" s="2">
        <v>158891</v>
      </c>
      <c r="F1541" s="4">
        <v>81864</v>
      </c>
    </row>
    <row r="1542" spans="1:6" x14ac:dyDescent="0.3">
      <c r="A1542" s="3">
        <v>2017</v>
      </c>
      <c r="B1542" s="1" t="s">
        <v>56</v>
      </c>
      <c r="C1542" s="1" t="s">
        <v>13</v>
      </c>
      <c r="D1542" s="1">
        <v>688</v>
      </c>
      <c r="E1542" s="2">
        <v>25928</v>
      </c>
      <c r="F1542" s="4">
        <v>62417</v>
      </c>
    </row>
    <row r="1543" spans="1:6" x14ac:dyDescent="0.3">
      <c r="A1543" s="3">
        <v>2017</v>
      </c>
      <c r="B1543" s="1" t="s">
        <v>56</v>
      </c>
      <c r="C1543" s="1" t="s">
        <v>14</v>
      </c>
      <c r="D1543" s="2">
        <v>20513</v>
      </c>
      <c r="E1543" s="2">
        <v>363137</v>
      </c>
      <c r="F1543" s="4">
        <v>59389</v>
      </c>
    </row>
    <row r="1544" spans="1:6" x14ac:dyDescent="0.3">
      <c r="A1544" s="3">
        <v>2017</v>
      </c>
      <c r="B1544" s="1" t="s">
        <v>56</v>
      </c>
      <c r="C1544" s="1" t="s">
        <v>15</v>
      </c>
      <c r="D1544" s="2">
        <v>9745</v>
      </c>
      <c r="E1544" s="2">
        <v>395916</v>
      </c>
      <c r="F1544" s="4">
        <v>57889</v>
      </c>
    </row>
    <row r="1545" spans="1:6" x14ac:dyDescent="0.3">
      <c r="A1545" s="3">
        <v>2017</v>
      </c>
      <c r="B1545" s="1" t="s">
        <v>56</v>
      </c>
      <c r="C1545" s="1" t="s">
        <v>16</v>
      </c>
      <c r="D1545" s="2">
        <v>2750</v>
      </c>
      <c r="E1545" s="2">
        <v>66056</v>
      </c>
      <c r="F1545" s="4">
        <v>61543</v>
      </c>
    </row>
    <row r="1546" spans="1:6" x14ac:dyDescent="0.3">
      <c r="A1546" s="3">
        <v>2017</v>
      </c>
      <c r="B1546" s="1" t="s">
        <v>56</v>
      </c>
      <c r="C1546" s="1" t="s">
        <v>17</v>
      </c>
      <c r="D1546" s="2">
        <v>17979</v>
      </c>
      <c r="E1546" s="2">
        <v>574692</v>
      </c>
      <c r="F1546" s="4">
        <v>70174</v>
      </c>
    </row>
    <row r="1547" spans="1:6" x14ac:dyDescent="0.3">
      <c r="A1547" s="3">
        <v>2017</v>
      </c>
      <c r="B1547" s="1" t="s">
        <v>56</v>
      </c>
      <c r="C1547" s="1" t="s">
        <v>18</v>
      </c>
      <c r="D1547" s="2">
        <v>8554</v>
      </c>
      <c r="E1547" s="2">
        <v>531312</v>
      </c>
      <c r="F1547" s="4">
        <v>61118</v>
      </c>
    </row>
    <row r="1548" spans="1:6" x14ac:dyDescent="0.3">
      <c r="A1548" s="3">
        <v>2017</v>
      </c>
      <c r="B1548" s="1" t="s">
        <v>56</v>
      </c>
      <c r="C1548" s="1" t="s">
        <v>19</v>
      </c>
      <c r="D1548" s="2">
        <v>4125</v>
      </c>
      <c r="E1548" s="2">
        <v>215910</v>
      </c>
      <c r="F1548" s="4">
        <v>58617</v>
      </c>
    </row>
    <row r="1549" spans="1:6" x14ac:dyDescent="0.3">
      <c r="A1549" s="3">
        <v>2017</v>
      </c>
      <c r="B1549" s="1" t="s">
        <v>56</v>
      </c>
      <c r="C1549" s="1" t="s">
        <v>20</v>
      </c>
      <c r="D1549" s="2">
        <v>3164</v>
      </c>
      <c r="E1549" s="2">
        <v>161517</v>
      </c>
      <c r="F1549" s="4">
        <v>57532</v>
      </c>
    </row>
    <row r="1550" spans="1:6" x14ac:dyDescent="0.3">
      <c r="A1550" s="3">
        <v>2017</v>
      </c>
      <c r="B1550" s="1" t="s">
        <v>56</v>
      </c>
      <c r="C1550" s="1" t="s">
        <v>21</v>
      </c>
      <c r="D1550" s="2">
        <v>4368</v>
      </c>
      <c r="E1550" s="2">
        <v>250180</v>
      </c>
      <c r="F1550" s="4">
        <v>58143</v>
      </c>
    </row>
    <row r="1551" spans="1:6" x14ac:dyDescent="0.3">
      <c r="A1551" s="3">
        <v>2017</v>
      </c>
      <c r="B1551" s="1" t="s">
        <v>56</v>
      </c>
      <c r="C1551" s="1" t="s">
        <v>22</v>
      </c>
      <c r="D1551" s="2">
        <v>4464</v>
      </c>
      <c r="E1551" s="2">
        <v>134680</v>
      </c>
      <c r="F1551" s="4">
        <v>72604</v>
      </c>
    </row>
    <row r="1552" spans="1:6" x14ac:dyDescent="0.3">
      <c r="A1552" s="3">
        <v>2017</v>
      </c>
      <c r="B1552" s="1" t="s">
        <v>56</v>
      </c>
      <c r="C1552" s="1" t="s">
        <v>23</v>
      </c>
      <c r="D1552" s="2">
        <v>1877</v>
      </c>
      <c r="E1552" s="2">
        <v>50911</v>
      </c>
      <c r="F1552" s="4">
        <v>55458</v>
      </c>
    </row>
    <row r="1553" spans="1:6" x14ac:dyDescent="0.3">
      <c r="A1553" s="3">
        <v>2017</v>
      </c>
      <c r="B1553" s="1" t="s">
        <v>56</v>
      </c>
      <c r="C1553" s="1" t="s">
        <v>24</v>
      </c>
      <c r="D1553" s="2">
        <v>3901</v>
      </c>
      <c r="E1553" s="2">
        <v>106864</v>
      </c>
      <c r="F1553" s="4">
        <v>77289</v>
      </c>
    </row>
    <row r="1554" spans="1:6" x14ac:dyDescent="0.3">
      <c r="A1554" s="3">
        <v>2017</v>
      </c>
      <c r="B1554" s="1" t="s">
        <v>56</v>
      </c>
      <c r="C1554" s="1" t="s">
        <v>25</v>
      </c>
      <c r="D1554" s="2">
        <v>6850</v>
      </c>
      <c r="E1554" s="2">
        <v>244647</v>
      </c>
      <c r="F1554" s="4">
        <v>88132</v>
      </c>
    </row>
    <row r="1555" spans="1:6" x14ac:dyDescent="0.3">
      <c r="A1555" s="3">
        <v>2017</v>
      </c>
      <c r="B1555" s="1" t="s">
        <v>56</v>
      </c>
      <c r="C1555" s="1" t="s">
        <v>26</v>
      </c>
      <c r="D1555" s="2">
        <v>15721</v>
      </c>
      <c r="E1555" s="2">
        <v>615106</v>
      </c>
      <c r="F1555" s="4">
        <v>66395</v>
      </c>
    </row>
    <row r="1556" spans="1:6" x14ac:dyDescent="0.3">
      <c r="A1556" s="3">
        <v>2017</v>
      </c>
      <c r="B1556" s="1" t="s">
        <v>56</v>
      </c>
      <c r="C1556" s="1" t="s">
        <v>27</v>
      </c>
      <c r="D1556" s="2">
        <v>8369</v>
      </c>
      <c r="E1556" s="2">
        <v>319035</v>
      </c>
      <c r="F1556" s="4">
        <v>65734</v>
      </c>
    </row>
    <row r="1557" spans="1:6" x14ac:dyDescent="0.3">
      <c r="A1557" s="3">
        <v>2017</v>
      </c>
      <c r="B1557" s="1" t="s">
        <v>56</v>
      </c>
      <c r="C1557" s="1" t="s">
        <v>28</v>
      </c>
      <c r="D1557" s="2">
        <v>2441</v>
      </c>
      <c r="E1557" s="2">
        <v>144047</v>
      </c>
      <c r="F1557" s="4">
        <v>48199</v>
      </c>
    </row>
    <row r="1558" spans="1:6" x14ac:dyDescent="0.3">
      <c r="A1558" s="3">
        <v>2017</v>
      </c>
      <c r="B1558" s="1" t="s">
        <v>56</v>
      </c>
      <c r="C1558" s="1" t="s">
        <v>29</v>
      </c>
      <c r="D1558" s="2">
        <v>6636</v>
      </c>
      <c r="E1558" s="2">
        <v>265863</v>
      </c>
      <c r="F1558" s="4">
        <v>57139</v>
      </c>
    </row>
    <row r="1559" spans="1:6" x14ac:dyDescent="0.3">
      <c r="A1559" s="3">
        <v>2017</v>
      </c>
      <c r="B1559" s="1" t="s">
        <v>56</v>
      </c>
      <c r="C1559" s="1" t="s">
        <v>30</v>
      </c>
      <c r="D1559" s="2">
        <v>1572</v>
      </c>
      <c r="E1559" s="2">
        <v>19893</v>
      </c>
      <c r="F1559" s="4">
        <v>48758</v>
      </c>
    </row>
    <row r="1560" spans="1:6" x14ac:dyDescent="0.3">
      <c r="A1560" s="3">
        <v>2017</v>
      </c>
      <c r="B1560" s="1" t="s">
        <v>56</v>
      </c>
      <c r="C1560" s="1" t="s">
        <v>31</v>
      </c>
      <c r="D1560" s="2">
        <v>1977</v>
      </c>
      <c r="E1560" s="2">
        <v>98082</v>
      </c>
      <c r="F1560" s="4">
        <v>49568</v>
      </c>
    </row>
    <row r="1561" spans="1:6" x14ac:dyDescent="0.3">
      <c r="A1561" s="3">
        <v>2017</v>
      </c>
      <c r="B1561" s="1" t="s">
        <v>56</v>
      </c>
      <c r="C1561" s="1" t="s">
        <v>32</v>
      </c>
      <c r="D1561" s="2">
        <v>2043</v>
      </c>
      <c r="E1561" s="2">
        <v>47800</v>
      </c>
      <c r="F1561" s="4">
        <v>56486</v>
      </c>
    </row>
    <row r="1562" spans="1:6" x14ac:dyDescent="0.3">
      <c r="A1562" s="3">
        <v>2017</v>
      </c>
      <c r="B1562" s="1" t="s">
        <v>56</v>
      </c>
      <c r="C1562" s="1" t="s">
        <v>33</v>
      </c>
      <c r="D1562" s="2">
        <v>2011</v>
      </c>
      <c r="E1562" s="2">
        <v>68971</v>
      </c>
      <c r="F1562" s="4">
        <v>70482</v>
      </c>
    </row>
    <row r="1563" spans="1:6" x14ac:dyDescent="0.3">
      <c r="A1563" s="3">
        <v>2017</v>
      </c>
      <c r="B1563" s="1" t="s">
        <v>56</v>
      </c>
      <c r="C1563" s="1" t="s">
        <v>34</v>
      </c>
      <c r="D1563" s="2">
        <v>8962</v>
      </c>
      <c r="E1563" s="2">
        <v>242476</v>
      </c>
      <c r="F1563" s="4">
        <v>78813</v>
      </c>
    </row>
    <row r="1564" spans="1:6" x14ac:dyDescent="0.3">
      <c r="A1564" s="3">
        <v>2017</v>
      </c>
      <c r="B1564" s="1" t="s">
        <v>56</v>
      </c>
      <c r="C1564" s="1" t="s">
        <v>35</v>
      </c>
      <c r="D1564" s="2">
        <v>1724</v>
      </c>
      <c r="E1564" s="2">
        <v>26398</v>
      </c>
      <c r="F1564" s="4">
        <v>53328</v>
      </c>
    </row>
    <row r="1565" spans="1:6" x14ac:dyDescent="0.3">
      <c r="A1565" s="3">
        <v>2017</v>
      </c>
      <c r="B1565" s="1" t="s">
        <v>56</v>
      </c>
      <c r="C1565" s="1" t="s">
        <v>36</v>
      </c>
      <c r="D1565" s="2">
        <v>17319</v>
      </c>
      <c r="E1565" s="2">
        <v>444182</v>
      </c>
      <c r="F1565" s="4">
        <v>65899</v>
      </c>
    </row>
    <row r="1566" spans="1:6" x14ac:dyDescent="0.3">
      <c r="A1566" s="3">
        <v>2017</v>
      </c>
      <c r="B1566" s="1" t="s">
        <v>56</v>
      </c>
      <c r="C1566" s="1" t="s">
        <v>37</v>
      </c>
      <c r="D1566" s="2">
        <v>10287</v>
      </c>
      <c r="E1566" s="2">
        <v>467306</v>
      </c>
      <c r="F1566" s="4">
        <v>58368</v>
      </c>
    </row>
    <row r="1567" spans="1:6" x14ac:dyDescent="0.3">
      <c r="A1567" s="3">
        <v>2017</v>
      </c>
      <c r="B1567" s="1" t="s">
        <v>56</v>
      </c>
      <c r="C1567" s="1" t="s">
        <v>38</v>
      </c>
      <c r="D1567" s="1">
        <v>810</v>
      </c>
      <c r="E1567" s="2">
        <v>24680</v>
      </c>
      <c r="F1567" s="4">
        <v>52594</v>
      </c>
    </row>
    <row r="1568" spans="1:6" x14ac:dyDescent="0.3">
      <c r="A1568" s="3">
        <v>2017</v>
      </c>
      <c r="B1568" s="1" t="s">
        <v>56</v>
      </c>
      <c r="C1568" s="1" t="s">
        <v>39</v>
      </c>
      <c r="D1568" s="2">
        <v>15430</v>
      </c>
      <c r="E1568" s="2">
        <v>685942</v>
      </c>
      <c r="F1568" s="4">
        <v>60002</v>
      </c>
    </row>
    <row r="1569" spans="1:6" x14ac:dyDescent="0.3">
      <c r="A1569" s="3">
        <v>2017</v>
      </c>
      <c r="B1569" s="1" t="s">
        <v>56</v>
      </c>
      <c r="C1569" s="1" t="s">
        <v>40</v>
      </c>
      <c r="D1569" s="2">
        <v>4230</v>
      </c>
      <c r="E1569" s="2">
        <v>128122</v>
      </c>
      <c r="F1569" s="4">
        <v>55496</v>
      </c>
    </row>
    <row r="1570" spans="1:6" x14ac:dyDescent="0.3">
      <c r="A1570" s="3">
        <v>2017</v>
      </c>
      <c r="B1570" s="1" t="s">
        <v>56</v>
      </c>
      <c r="C1570" s="1" t="s">
        <v>41</v>
      </c>
      <c r="D1570" s="2">
        <v>6175</v>
      </c>
      <c r="E1570" s="2">
        <v>189318</v>
      </c>
      <c r="F1570" s="4">
        <v>68161</v>
      </c>
    </row>
    <row r="1571" spans="1:6" x14ac:dyDescent="0.3">
      <c r="A1571" s="3">
        <v>2017</v>
      </c>
      <c r="B1571" s="1" t="s">
        <v>56</v>
      </c>
      <c r="C1571" s="1" t="s">
        <v>42</v>
      </c>
      <c r="D1571" s="2">
        <v>14414</v>
      </c>
      <c r="E1571" s="2">
        <v>561774</v>
      </c>
      <c r="F1571" s="4">
        <v>61111</v>
      </c>
    </row>
    <row r="1572" spans="1:6" x14ac:dyDescent="0.3">
      <c r="A1572" s="3">
        <v>2017</v>
      </c>
      <c r="B1572" s="1" t="s">
        <v>56</v>
      </c>
      <c r="C1572" s="1" t="s">
        <v>43</v>
      </c>
      <c r="D1572" s="2">
        <v>1567</v>
      </c>
      <c r="E1572" s="2">
        <v>40341</v>
      </c>
      <c r="F1572" s="4">
        <v>57616</v>
      </c>
    </row>
    <row r="1573" spans="1:6" x14ac:dyDescent="0.3">
      <c r="A1573" s="3">
        <v>2017</v>
      </c>
      <c r="B1573" s="1" t="s">
        <v>56</v>
      </c>
      <c r="C1573" s="1" t="s">
        <v>44</v>
      </c>
      <c r="D1573" s="2">
        <v>5906</v>
      </c>
      <c r="E1573" s="2">
        <v>240456</v>
      </c>
      <c r="F1573" s="4">
        <v>58927</v>
      </c>
    </row>
    <row r="1574" spans="1:6" x14ac:dyDescent="0.3">
      <c r="A1574" s="3">
        <v>2017</v>
      </c>
      <c r="B1574" s="1" t="s">
        <v>56</v>
      </c>
      <c r="C1574" s="1" t="s">
        <v>45</v>
      </c>
      <c r="D1574" s="2">
        <v>1091</v>
      </c>
      <c r="E1574" s="2">
        <v>43081</v>
      </c>
      <c r="F1574" s="4">
        <v>47877</v>
      </c>
    </row>
    <row r="1575" spans="1:6" x14ac:dyDescent="0.3">
      <c r="A1575" s="3">
        <v>2017</v>
      </c>
      <c r="B1575" s="1" t="s">
        <v>56</v>
      </c>
      <c r="C1575" s="1" t="s">
        <v>46</v>
      </c>
      <c r="D1575" s="2">
        <v>6835</v>
      </c>
      <c r="E1575" s="2">
        <v>348417</v>
      </c>
      <c r="F1575" s="4">
        <v>59526</v>
      </c>
    </row>
    <row r="1576" spans="1:6" x14ac:dyDescent="0.3">
      <c r="A1576" s="3">
        <v>2017</v>
      </c>
      <c r="B1576" s="1" t="s">
        <v>56</v>
      </c>
      <c r="C1576" s="1" t="s">
        <v>47</v>
      </c>
      <c r="D1576" s="2">
        <v>24275</v>
      </c>
      <c r="E1576" s="2">
        <v>851513</v>
      </c>
      <c r="F1576" s="4">
        <v>75813</v>
      </c>
    </row>
    <row r="1577" spans="1:6" x14ac:dyDescent="0.3">
      <c r="A1577" s="3">
        <v>2017</v>
      </c>
      <c r="B1577" s="1" t="s">
        <v>56</v>
      </c>
      <c r="C1577" s="1" t="s">
        <v>48</v>
      </c>
      <c r="D1577" s="2">
        <v>4248</v>
      </c>
      <c r="E1577" s="2">
        <v>128365</v>
      </c>
      <c r="F1577" s="4">
        <v>56723</v>
      </c>
    </row>
    <row r="1578" spans="1:6" x14ac:dyDescent="0.3">
      <c r="A1578" s="3">
        <v>2017</v>
      </c>
      <c r="B1578" s="1" t="s">
        <v>56</v>
      </c>
      <c r="C1578" s="1" t="s">
        <v>49</v>
      </c>
      <c r="D1578" s="2">
        <v>1105</v>
      </c>
      <c r="E1578" s="2">
        <v>29550</v>
      </c>
      <c r="F1578" s="4">
        <v>58004</v>
      </c>
    </row>
    <row r="1579" spans="1:6" x14ac:dyDescent="0.3">
      <c r="A1579" s="3">
        <v>2017</v>
      </c>
      <c r="B1579" s="1" t="s">
        <v>56</v>
      </c>
      <c r="C1579" s="1" t="s">
        <v>50</v>
      </c>
      <c r="D1579" s="2">
        <v>6475</v>
      </c>
      <c r="E1579" s="2">
        <v>232927</v>
      </c>
      <c r="F1579" s="4">
        <v>57894</v>
      </c>
    </row>
    <row r="1580" spans="1:6" x14ac:dyDescent="0.3">
      <c r="A1580" s="3">
        <v>2017</v>
      </c>
      <c r="B1580" s="1" t="s">
        <v>56</v>
      </c>
      <c r="C1580" s="1" t="s">
        <v>51</v>
      </c>
      <c r="D1580" s="2">
        <v>7671</v>
      </c>
      <c r="E1580" s="2">
        <v>280368</v>
      </c>
      <c r="F1580" s="4">
        <v>76290</v>
      </c>
    </row>
    <row r="1581" spans="1:6" x14ac:dyDescent="0.3">
      <c r="A1581" s="3">
        <v>2017</v>
      </c>
      <c r="B1581" s="1" t="s">
        <v>56</v>
      </c>
      <c r="C1581" s="1" t="s">
        <v>52</v>
      </c>
      <c r="D1581" s="2">
        <v>1272</v>
      </c>
      <c r="E1581" s="2">
        <v>46575</v>
      </c>
      <c r="F1581" s="4">
        <v>58624</v>
      </c>
    </row>
    <row r="1582" spans="1:6" x14ac:dyDescent="0.3">
      <c r="A1582" s="3">
        <v>2017</v>
      </c>
      <c r="B1582" s="1" t="s">
        <v>56</v>
      </c>
      <c r="C1582" s="1" t="s">
        <v>53</v>
      </c>
      <c r="D1582" s="2">
        <v>9356</v>
      </c>
      <c r="E1582" s="2">
        <v>466595</v>
      </c>
      <c r="F1582" s="4">
        <v>57001</v>
      </c>
    </row>
    <row r="1583" spans="1:6" x14ac:dyDescent="0.3">
      <c r="A1583" s="3">
        <v>2017</v>
      </c>
      <c r="B1583" s="1" t="s">
        <v>56</v>
      </c>
      <c r="C1583" s="1" t="s">
        <v>54</v>
      </c>
      <c r="D1583" s="1">
        <v>598</v>
      </c>
      <c r="E1583" s="2">
        <v>9378</v>
      </c>
      <c r="F1583" s="4">
        <v>65834</v>
      </c>
    </row>
    <row r="1584" spans="1:6" x14ac:dyDescent="0.3">
      <c r="A1584" s="3">
        <v>2017</v>
      </c>
      <c r="B1584" s="1" t="s">
        <v>57</v>
      </c>
      <c r="C1584" s="1" t="s">
        <v>7</v>
      </c>
      <c r="D1584" s="2">
        <v>32410</v>
      </c>
      <c r="E1584" s="2">
        <v>375653</v>
      </c>
      <c r="F1584" s="4">
        <v>40518</v>
      </c>
    </row>
    <row r="1585" spans="1:6" x14ac:dyDescent="0.3">
      <c r="A1585" s="3">
        <v>2017</v>
      </c>
      <c r="B1585" s="1" t="s">
        <v>57</v>
      </c>
      <c r="C1585" s="1" t="s">
        <v>8</v>
      </c>
      <c r="D1585" s="2">
        <v>29489</v>
      </c>
      <c r="E1585" s="2">
        <v>518475</v>
      </c>
      <c r="F1585" s="4">
        <v>45126</v>
      </c>
    </row>
    <row r="1586" spans="1:6" x14ac:dyDescent="0.3">
      <c r="A1586" s="3">
        <v>2017</v>
      </c>
      <c r="B1586" s="1" t="s">
        <v>57</v>
      </c>
      <c r="C1586" s="1" t="s">
        <v>9</v>
      </c>
      <c r="D1586" s="2">
        <v>21486</v>
      </c>
      <c r="E1586" s="2">
        <v>247661</v>
      </c>
      <c r="F1586" s="4">
        <v>40275</v>
      </c>
    </row>
    <row r="1587" spans="1:6" x14ac:dyDescent="0.3">
      <c r="A1587" s="3">
        <v>2017</v>
      </c>
      <c r="B1587" s="1" t="s">
        <v>57</v>
      </c>
      <c r="C1587" s="1" t="s">
        <v>10</v>
      </c>
      <c r="D1587" s="2">
        <v>185826</v>
      </c>
      <c r="E1587" s="2">
        <v>3010983</v>
      </c>
      <c r="F1587" s="4">
        <v>51095</v>
      </c>
    </row>
    <row r="1588" spans="1:6" x14ac:dyDescent="0.3">
      <c r="A1588" s="3">
        <v>2017</v>
      </c>
      <c r="B1588" s="1" t="s">
        <v>57</v>
      </c>
      <c r="C1588" s="1" t="s">
        <v>11</v>
      </c>
      <c r="D1588" s="2">
        <v>35715</v>
      </c>
      <c r="E1588" s="2">
        <v>458174</v>
      </c>
      <c r="F1588" s="4">
        <v>48601</v>
      </c>
    </row>
    <row r="1589" spans="1:6" x14ac:dyDescent="0.3">
      <c r="A1589" s="3">
        <v>2017</v>
      </c>
      <c r="B1589" s="1" t="s">
        <v>57</v>
      </c>
      <c r="C1589" s="1" t="s">
        <v>12</v>
      </c>
      <c r="D1589" s="2">
        <v>25027</v>
      </c>
      <c r="E1589" s="2">
        <v>297198</v>
      </c>
      <c r="F1589" s="4">
        <v>50064</v>
      </c>
    </row>
    <row r="1590" spans="1:6" x14ac:dyDescent="0.3">
      <c r="A1590" s="3">
        <v>2017</v>
      </c>
      <c r="B1590" s="1" t="s">
        <v>57</v>
      </c>
      <c r="C1590" s="1" t="s">
        <v>13</v>
      </c>
      <c r="D1590" s="2">
        <v>6681</v>
      </c>
      <c r="E1590" s="2">
        <v>79724</v>
      </c>
      <c r="F1590" s="4">
        <v>39700</v>
      </c>
    </row>
    <row r="1591" spans="1:6" x14ac:dyDescent="0.3">
      <c r="A1591" s="3">
        <v>2017</v>
      </c>
      <c r="B1591" s="1" t="s">
        <v>57</v>
      </c>
      <c r="C1591" s="1" t="s">
        <v>14</v>
      </c>
      <c r="D1591" s="2">
        <v>139501</v>
      </c>
      <c r="E1591" s="2">
        <v>1739867</v>
      </c>
      <c r="F1591" s="4">
        <v>43229</v>
      </c>
    </row>
    <row r="1592" spans="1:6" x14ac:dyDescent="0.3">
      <c r="A1592" s="3">
        <v>2017</v>
      </c>
      <c r="B1592" s="1" t="s">
        <v>57</v>
      </c>
      <c r="C1592" s="1" t="s">
        <v>15</v>
      </c>
      <c r="D1592" s="2">
        <v>60382</v>
      </c>
      <c r="E1592" s="2">
        <v>930943</v>
      </c>
      <c r="F1592" s="4">
        <v>48763</v>
      </c>
    </row>
    <row r="1593" spans="1:6" x14ac:dyDescent="0.3">
      <c r="A1593" s="3">
        <v>2017</v>
      </c>
      <c r="B1593" s="1" t="s">
        <v>57</v>
      </c>
      <c r="C1593" s="1" t="s">
        <v>16</v>
      </c>
      <c r="D1593" s="2">
        <v>11706</v>
      </c>
      <c r="E1593" s="2">
        <v>136606</v>
      </c>
      <c r="F1593" s="4">
        <v>38856</v>
      </c>
    </row>
    <row r="1594" spans="1:6" x14ac:dyDescent="0.3">
      <c r="A1594" s="3">
        <v>2017</v>
      </c>
      <c r="B1594" s="1" t="s">
        <v>57</v>
      </c>
      <c r="C1594" s="1" t="s">
        <v>17</v>
      </c>
      <c r="D1594" s="2">
        <v>77273</v>
      </c>
      <c r="E1594" s="2">
        <v>1192805</v>
      </c>
      <c r="F1594" s="4">
        <v>50025</v>
      </c>
    </row>
    <row r="1595" spans="1:6" x14ac:dyDescent="0.3">
      <c r="A1595" s="3">
        <v>2017</v>
      </c>
      <c r="B1595" s="1" t="s">
        <v>57</v>
      </c>
      <c r="C1595" s="1" t="s">
        <v>18</v>
      </c>
      <c r="D1595" s="2">
        <v>40630</v>
      </c>
      <c r="E1595" s="2">
        <v>588381</v>
      </c>
      <c r="F1595" s="4">
        <v>40479</v>
      </c>
    </row>
    <row r="1596" spans="1:6" x14ac:dyDescent="0.3">
      <c r="A1596" s="3">
        <v>2017</v>
      </c>
      <c r="B1596" s="1" t="s">
        <v>57</v>
      </c>
      <c r="C1596" s="1" t="s">
        <v>19</v>
      </c>
      <c r="D1596" s="2">
        <v>23446</v>
      </c>
      <c r="E1596" s="2">
        <v>311763</v>
      </c>
      <c r="F1596" s="4">
        <v>39025</v>
      </c>
    </row>
    <row r="1597" spans="1:6" x14ac:dyDescent="0.3">
      <c r="A1597" s="3">
        <v>2017</v>
      </c>
      <c r="B1597" s="1" t="s">
        <v>57</v>
      </c>
      <c r="C1597" s="1" t="s">
        <v>20</v>
      </c>
      <c r="D1597" s="2">
        <v>20676</v>
      </c>
      <c r="E1597" s="2">
        <v>263529</v>
      </c>
      <c r="F1597" s="4">
        <v>40705</v>
      </c>
    </row>
    <row r="1598" spans="1:6" x14ac:dyDescent="0.3">
      <c r="A1598" s="3">
        <v>2017</v>
      </c>
      <c r="B1598" s="1" t="s">
        <v>57</v>
      </c>
      <c r="C1598" s="1" t="s">
        <v>21</v>
      </c>
      <c r="D1598" s="2">
        <v>27941</v>
      </c>
      <c r="E1598" s="2">
        <v>398217</v>
      </c>
      <c r="F1598" s="4">
        <v>41261</v>
      </c>
    </row>
    <row r="1599" spans="1:6" x14ac:dyDescent="0.3">
      <c r="A1599" s="3">
        <v>2017</v>
      </c>
      <c r="B1599" s="1" t="s">
        <v>57</v>
      </c>
      <c r="C1599" s="1" t="s">
        <v>22</v>
      </c>
      <c r="D1599" s="2">
        <v>30444</v>
      </c>
      <c r="E1599" s="2">
        <v>378830</v>
      </c>
      <c r="F1599" s="4">
        <v>40938</v>
      </c>
    </row>
    <row r="1600" spans="1:6" x14ac:dyDescent="0.3">
      <c r="A1600" s="3">
        <v>2017</v>
      </c>
      <c r="B1600" s="1" t="s">
        <v>57</v>
      </c>
      <c r="C1600" s="1" t="s">
        <v>23</v>
      </c>
      <c r="D1600" s="2">
        <v>11060</v>
      </c>
      <c r="E1600" s="2">
        <v>119329</v>
      </c>
      <c r="F1600" s="4">
        <v>36287</v>
      </c>
    </row>
    <row r="1601" spans="1:6" x14ac:dyDescent="0.3">
      <c r="A1601" s="3">
        <v>2017</v>
      </c>
      <c r="B1601" s="1" t="s">
        <v>57</v>
      </c>
      <c r="C1601" s="1" t="s">
        <v>24</v>
      </c>
      <c r="D1601" s="2">
        <v>33064</v>
      </c>
      <c r="E1601" s="2">
        <v>462131</v>
      </c>
      <c r="F1601" s="4">
        <v>45367</v>
      </c>
    </row>
    <row r="1602" spans="1:6" x14ac:dyDescent="0.3">
      <c r="A1602" s="3">
        <v>2017</v>
      </c>
      <c r="B1602" s="1" t="s">
        <v>57</v>
      </c>
      <c r="C1602" s="1" t="s">
        <v>25</v>
      </c>
      <c r="D1602" s="2">
        <v>42906</v>
      </c>
      <c r="E1602" s="2">
        <v>577319</v>
      </c>
      <c r="F1602" s="4">
        <v>51500</v>
      </c>
    </row>
    <row r="1603" spans="1:6" x14ac:dyDescent="0.3">
      <c r="A1603" s="3">
        <v>2017</v>
      </c>
      <c r="B1603" s="1" t="s">
        <v>57</v>
      </c>
      <c r="C1603" s="1" t="s">
        <v>26</v>
      </c>
      <c r="D1603" s="2">
        <v>52149</v>
      </c>
      <c r="E1603" s="2">
        <v>784393</v>
      </c>
      <c r="F1603" s="4">
        <v>45628</v>
      </c>
    </row>
    <row r="1604" spans="1:6" x14ac:dyDescent="0.3">
      <c r="A1604" s="3">
        <v>2017</v>
      </c>
      <c r="B1604" s="1" t="s">
        <v>57</v>
      </c>
      <c r="C1604" s="1" t="s">
        <v>27</v>
      </c>
      <c r="D1604" s="2">
        <v>36334</v>
      </c>
      <c r="E1604" s="2">
        <v>531926</v>
      </c>
      <c r="F1604" s="4">
        <v>48273</v>
      </c>
    </row>
    <row r="1605" spans="1:6" x14ac:dyDescent="0.3">
      <c r="A1605" s="3">
        <v>2017</v>
      </c>
      <c r="B1605" s="1" t="s">
        <v>57</v>
      </c>
      <c r="C1605" s="1" t="s">
        <v>28</v>
      </c>
      <c r="D1605" s="2">
        <v>19589</v>
      </c>
      <c r="E1605" s="2">
        <v>229775</v>
      </c>
      <c r="F1605" s="4">
        <v>35324</v>
      </c>
    </row>
    <row r="1606" spans="1:6" x14ac:dyDescent="0.3">
      <c r="A1606" s="3">
        <v>2017</v>
      </c>
      <c r="B1606" s="1" t="s">
        <v>57</v>
      </c>
      <c r="C1606" s="1" t="s">
        <v>29</v>
      </c>
      <c r="D1606" s="2">
        <v>40324</v>
      </c>
      <c r="E1606" s="2">
        <v>538185</v>
      </c>
      <c r="F1606" s="4">
        <v>41095</v>
      </c>
    </row>
    <row r="1607" spans="1:6" x14ac:dyDescent="0.3">
      <c r="A1607" s="3">
        <v>2017</v>
      </c>
      <c r="B1607" s="1" t="s">
        <v>57</v>
      </c>
      <c r="C1607" s="1" t="s">
        <v>30</v>
      </c>
      <c r="D1607" s="2">
        <v>9270</v>
      </c>
      <c r="E1607" s="2">
        <v>91194</v>
      </c>
      <c r="F1607" s="4">
        <v>38067</v>
      </c>
    </row>
    <row r="1608" spans="1:6" x14ac:dyDescent="0.3">
      <c r="A1608" s="3">
        <v>2017</v>
      </c>
      <c r="B1608" s="1" t="s">
        <v>57</v>
      </c>
      <c r="C1608" s="1" t="s">
        <v>31</v>
      </c>
      <c r="D1608" s="2">
        <v>15024</v>
      </c>
      <c r="E1608" s="2">
        <v>190930</v>
      </c>
      <c r="F1608" s="4">
        <v>38493</v>
      </c>
    </row>
    <row r="1609" spans="1:6" x14ac:dyDescent="0.3">
      <c r="A1609" s="3">
        <v>2017</v>
      </c>
      <c r="B1609" s="1" t="s">
        <v>57</v>
      </c>
      <c r="C1609" s="1" t="s">
        <v>32</v>
      </c>
      <c r="D1609" s="2">
        <v>15910</v>
      </c>
      <c r="E1609" s="2">
        <v>247973</v>
      </c>
      <c r="F1609" s="4">
        <v>42847</v>
      </c>
    </row>
    <row r="1610" spans="1:6" x14ac:dyDescent="0.3">
      <c r="A1610" s="3">
        <v>2017</v>
      </c>
      <c r="B1610" s="1" t="s">
        <v>57</v>
      </c>
      <c r="C1610" s="1" t="s">
        <v>33</v>
      </c>
      <c r="D1610" s="2">
        <v>12612</v>
      </c>
      <c r="E1610" s="2">
        <v>139876</v>
      </c>
      <c r="F1610" s="4">
        <v>46101</v>
      </c>
    </row>
    <row r="1611" spans="1:6" x14ac:dyDescent="0.3">
      <c r="A1611" s="3">
        <v>2017</v>
      </c>
      <c r="B1611" s="1" t="s">
        <v>57</v>
      </c>
      <c r="C1611" s="1" t="s">
        <v>34</v>
      </c>
      <c r="D1611" s="2">
        <v>53977</v>
      </c>
      <c r="E1611" s="2">
        <v>872180</v>
      </c>
      <c r="F1611" s="4">
        <v>52631</v>
      </c>
    </row>
    <row r="1612" spans="1:6" x14ac:dyDescent="0.3">
      <c r="A1612" s="3">
        <v>2017</v>
      </c>
      <c r="B1612" s="1" t="s">
        <v>57</v>
      </c>
      <c r="C1612" s="1" t="s">
        <v>35</v>
      </c>
      <c r="D1612" s="2">
        <v>10538</v>
      </c>
      <c r="E1612" s="2">
        <v>134696</v>
      </c>
      <c r="F1612" s="4">
        <v>36519</v>
      </c>
    </row>
    <row r="1613" spans="1:6" x14ac:dyDescent="0.3">
      <c r="A1613" s="3">
        <v>2017</v>
      </c>
      <c r="B1613" s="1" t="s">
        <v>57</v>
      </c>
      <c r="C1613" s="1" t="s">
        <v>36</v>
      </c>
      <c r="D1613" s="2">
        <v>126549</v>
      </c>
      <c r="E1613" s="2">
        <v>1562385</v>
      </c>
      <c r="F1613" s="4">
        <v>50389</v>
      </c>
    </row>
    <row r="1614" spans="1:6" x14ac:dyDescent="0.3">
      <c r="A1614" s="3">
        <v>2017</v>
      </c>
      <c r="B1614" s="1" t="s">
        <v>57</v>
      </c>
      <c r="C1614" s="1" t="s">
        <v>37</v>
      </c>
      <c r="D1614" s="2">
        <v>61042</v>
      </c>
      <c r="E1614" s="2">
        <v>824989</v>
      </c>
      <c r="F1614" s="4">
        <v>41845</v>
      </c>
    </row>
    <row r="1615" spans="1:6" x14ac:dyDescent="0.3">
      <c r="A1615" s="3">
        <v>2017</v>
      </c>
      <c r="B1615" s="1" t="s">
        <v>57</v>
      </c>
      <c r="C1615" s="1" t="s">
        <v>38</v>
      </c>
      <c r="D1615" s="2">
        <v>7819</v>
      </c>
      <c r="E1615" s="2">
        <v>92052</v>
      </c>
      <c r="F1615" s="4">
        <v>47910</v>
      </c>
    </row>
    <row r="1616" spans="1:6" x14ac:dyDescent="0.3">
      <c r="A1616" s="3">
        <v>2017</v>
      </c>
      <c r="B1616" s="1" t="s">
        <v>57</v>
      </c>
      <c r="C1616" s="1" t="s">
        <v>39</v>
      </c>
      <c r="D1616" s="2">
        <v>68763</v>
      </c>
      <c r="E1616" s="2">
        <v>1018161</v>
      </c>
      <c r="F1616" s="4">
        <v>42564</v>
      </c>
    </row>
    <row r="1617" spans="1:6" x14ac:dyDescent="0.3">
      <c r="A1617" s="3">
        <v>2017</v>
      </c>
      <c r="B1617" s="1" t="s">
        <v>57</v>
      </c>
      <c r="C1617" s="1" t="s">
        <v>40</v>
      </c>
      <c r="D1617" s="2">
        <v>23838</v>
      </c>
      <c r="E1617" s="2">
        <v>301165</v>
      </c>
      <c r="F1617" s="4">
        <v>41040</v>
      </c>
    </row>
    <row r="1618" spans="1:6" x14ac:dyDescent="0.3">
      <c r="A1618" s="3">
        <v>2017</v>
      </c>
      <c r="B1618" s="1" t="s">
        <v>57</v>
      </c>
      <c r="C1618" s="1" t="s">
        <v>41</v>
      </c>
      <c r="D1618" s="2">
        <v>26684</v>
      </c>
      <c r="E1618" s="2">
        <v>347515</v>
      </c>
      <c r="F1618" s="4">
        <v>42870</v>
      </c>
    </row>
    <row r="1619" spans="1:6" x14ac:dyDescent="0.3">
      <c r="A1619" s="3">
        <v>2017</v>
      </c>
      <c r="B1619" s="1" t="s">
        <v>57</v>
      </c>
      <c r="C1619" s="1" t="s">
        <v>42</v>
      </c>
      <c r="D1619" s="2">
        <v>75374</v>
      </c>
      <c r="E1619" s="2">
        <v>1115565</v>
      </c>
      <c r="F1619" s="4">
        <v>43972</v>
      </c>
    </row>
    <row r="1620" spans="1:6" x14ac:dyDescent="0.3">
      <c r="A1620" s="3">
        <v>2017</v>
      </c>
      <c r="B1620" s="1" t="s">
        <v>57</v>
      </c>
      <c r="C1620" s="1" t="s">
        <v>43</v>
      </c>
      <c r="D1620" s="2">
        <v>7674</v>
      </c>
      <c r="E1620" s="2">
        <v>76263</v>
      </c>
      <c r="F1620" s="4">
        <v>42503</v>
      </c>
    </row>
    <row r="1621" spans="1:6" x14ac:dyDescent="0.3">
      <c r="A1621" s="3">
        <v>2017</v>
      </c>
      <c r="B1621" s="1" t="s">
        <v>57</v>
      </c>
      <c r="C1621" s="1" t="s">
        <v>44</v>
      </c>
      <c r="D1621" s="2">
        <v>29784</v>
      </c>
      <c r="E1621" s="2">
        <v>395329</v>
      </c>
      <c r="F1621" s="4">
        <v>38973</v>
      </c>
    </row>
    <row r="1622" spans="1:6" x14ac:dyDescent="0.3">
      <c r="A1622" s="3">
        <v>2017</v>
      </c>
      <c r="B1622" s="1" t="s">
        <v>57</v>
      </c>
      <c r="C1622" s="1" t="s">
        <v>45</v>
      </c>
      <c r="D1622" s="2">
        <v>8036</v>
      </c>
      <c r="E1622" s="2">
        <v>86427</v>
      </c>
      <c r="F1622" s="4">
        <v>38278</v>
      </c>
    </row>
    <row r="1623" spans="1:6" x14ac:dyDescent="0.3">
      <c r="A1623" s="3">
        <v>2017</v>
      </c>
      <c r="B1623" s="1" t="s">
        <v>57</v>
      </c>
      <c r="C1623" s="1" t="s">
        <v>46</v>
      </c>
      <c r="D1623" s="2">
        <v>39250</v>
      </c>
      <c r="E1623" s="2">
        <v>618046</v>
      </c>
      <c r="F1623" s="4">
        <v>44773</v>
      </c>
    </row>
    <row r="1624" spans="1:6" x14ac:dyDescent="0.3">
      <c r="A1624" s="3">
        <v>2017</v>
      </c>
      <c r="B1624" s="1" t="s">
        <v>57</v>
      </c>
      <c r="C1624" s="1" t="s">
        <v>47</v>
      </c>
      <c r="D1624" s="2">
        <v>145842</v>
      </c>
      <c r="E1624" s="2">
        <v>2432880</v>
      </c>
      <c r="F1624" s="4">
        <v>50316</v>
      </c>
    </row>
    <row r="1625" spans="1:6" x14ac:dyDescent="0.3">
      <c r="A1625" s="3">
        <v>2017</v>
      </c>
      <c r="B1625" s="1" t="s">
        <v>57</v>
      </c>
      <c r="C1625" s="1" t="s">
        <v>48</v>
      </c>
      <c r="D1625" s="2">
        <v>19048</v>
      </c>
      <c r="E1625" s="2">
        <v>276552</v>
      </c>
      <c r="F1625" s="4">
        <v>42378</v>
      </c>
    </row>
    <row r="1626" spans="1:6" x14ac:dyDescent="0.3">
      <c r="A1626" s="3">
        <v>2017</v>
      </c>
      <c r="B1626" s="1" t="s">
        <v>57</v>
      </c>
      <c r="C1626" s="1" t="s">
        <v>49</v>
      </c>
      <c r="D1626" s="2">
        <v>5138</v>
      </c>
      <c r="E1626" s="2">
        <v>55012</v>
      </c>
      <c r="F1626" s="4">
        <v>38650</v>
      </c>
    </row>
    <row r="1627" spans="1:6" x14ac:dyDescent="0.3">
      <c r="A1627" s="3">
        <v>2017</v>
      </c>
      <c r="B1627" s="1" t="s">
        <v>57</v>
      </c>
      <c r="C1627" s="1" t="s">
        <v>50</v>
      </c>
      <c r="D1627" s="2">
        <v>42996</v>
      </c>
      <c r="E1627" s="2">
        <v>652711</v>
      </c>
      <c r="F1627" s="4">
        <v>42291</v>
      </c>
    </row>
    <row r="1628" spans="1:6" x14ac:dyDescent="0.3">
      <c r="A1628" s="3">
        <v>2017</v>
      </c>
      <c r="B1628" s="1" t="s">
        <v>57</v>
      </c>
      <c r="C1628" s="1" t="s">
        <v>51</v>
      </c>
      <c r="D1628" s="2">
        <v>39715</v>
      </c>
      <c r="E1628" s="2">
        <v>610599</v>
      </c>
      <c r="F1628" s="4">
        <v>58924</v>
      </c>
    </row>
    <row r="1629" spans="1:6" x14ac:dyDescent="0.3">
      <c r="A1629" s="3">
        <v>2017</v>
      </c>
      <c r="B1629" s="1" t="s">
        <v>57</v>
      </c>
      <c r="C1629" s="1" t="s">
        <v>52</v>
      </c>
      <c r="D1629" s="2">
        <v>10925</v>
      </c>
      <c r="E1629" s="2">
        <v>129300</v>
      </c>
      <c r="F1629" s="4">
        <v>37489</v>
      </c>
    </row>
    <row r="1630" spans="1:6" x14ac:dyDescent="0.3">
      <c r="A1630" s="3">
        <v>2017</v>
      </c>
      <c r="B1630" s="1" t="s">
        <v>57</v>
      </c>
      <c r="C1630" s="1" t="s">
        <v>53</v>
      </c>
      <c r="D1630" s="2">
        <v>35433</v>
      </c>
      <c r="E1630" s="2">
        <v>539603</v>
      </c>
      <c r="F1630" s="4">
        <v>39831</v>
      </c>
    </row>
    <row r="1631" spans="1:6" x14ac:dyDescent="0.3">
      <c r="A1631" s="3">
        <v>2017</v>
      </c>
      <c r="B1631" s="1" t="s">
        <v>57</v>
      </c>
      <c r="C1631" s="1" t="s">
        <v>54</v>
      </c>
      <c r="D1631" s="2">
        <v>4822</v>
      </c>
      <c r="E1631" s="2">
        <v>49799</v>
      </c>
      <c r="F1631" s="4">
        <v>40999</v>
      </c>
    </row>
    <row r="1632" spans="1:6" x14ac:dyDescent="0.3">
      <c r="A1632" s="3">
        <v>2017</v>
      </c>
      <c r="B1632" s="1" t="s">
        <v>58</v>
      </c>
      <c r="C1632" s="1" t="s">
        <v>7</v>
      </c>
      <c r="D1632" s="2">
        <v>1969</v>
      </c>
      <c r="E1632" s="2">
        <v>20807</v>
      </c>
      <c r="F1632" s="4">
        <v>58932</v>
      </c>
    </row>
    <row r="1633" spans="1:6" x14ac:dyDescent="0.3">
      <c r="A1633" s="3">
        <v>2017</v>
      </c>
      <c r="B1633" s="1" t="s">
        <v>58</v>
      </c>
      <c r="C1633" s="1" t="s">
        <v>8</v>
      </c>
      <c r="D1633" s="2">
        <v>2461</v>
      </c>
      <c r="E1633" s="2">
        <v>44962</v>
      </c>
      <c r="F1633" s="4">
        <v>71171</v>
      </c>
    </row>
    <row r="1634" spans="1:6" x14ac:dyDescent="0.3">
      <c r="A1634" s="3">
        <v>2017</v>
      </c>
      <c r="B1634" s="1" t="s">
        <v>58</v>
      </c>
      <c r="C1634" s="1" t="s">
        <v>9</v>
      </c>
      <c r="D1634" s="2">
        <v>1123</v>
      </c>
      <c r="E1634" s="2">
        <v>12766</v>
      </c>
      <c r="F1634" s="4">
        <v>56682</v>
      </c>
    </row>
    <row r="1635" spans="1:6" x14ac:dyDescent="0.3">
      <c r="A1635" s="3">
        <v>2017</v>
      </c>
      <c r="B1635" s="1" t="s">
        <v>58</v>
      </c>
      <c r="C1635" s="1" t="s">
        <v>10</v>
      </c>
      <c r="D1635" s="2">
        <v>22519</v>
      </c>
      <c r="E1635" s="2">
        <v>513029</v>
      </c>
      <c r="F1635" s="4">
        <v>172309</v>
      </c>
    </row>
    <row r="1636" spans="1:6" x14ac:dyDescent="0.3">
      <c r="A1636" s="3">
        <v>2017</v>
      </c>
      <c r="B1636" s="1" t="s">
        <v>58</v>
      </c>
      <c r="C1636" s="1" t="s">
        <v>11</v>
      </c>
      <c r="D1636" s="2">
        <v>3891</v>
      </c>
      <c r="E1636" s="2">
        <v>71641</v>
      </c>
      <c r="F1636" s="4">
        <v>100781</v>
      </c>
    </row>
    <row r="1637" spans="1:6" x14ac:dyDescent="0.3">
      <c r="A1637" s="3">
        <v>2017</v>
      </c>
      <c r="B1637" s="1" t="s">
        <v>58</v>
      </c>
      <c r="C1637" s="1" t="s">
        <v>12</v>
      </c>
      <c r="D1637" s="2">
        <v>2146</v>
      </c>
      <c r="E1637" s="2">
        <v>31542</v>
      </c>
      <c r="F1637" s="4">
        <v>103094</v>
      </c>
    </row>
    <row r="1638" spans="1:6" x14ac:dyDescent="0.3">
      <c r="A1638" s="3">
        <v>2017</v>
      </c>
      <c r="B1638" s="1" t="s">
        <v>58</v>
      </c>
      <c r="C1638" s="1" t="s">
        <v>13</v>
      </c>
      <c r="D1638" s="1">
        <v>409</v>
      </c>
      <c r="E1638" s="2">
        <v>4560</v>
      </c>
      <c r="F1638" s="4">
        <v>64686</v>
      </c>
    </row>
    <row r="1639" spans="1:6" x14ac:dyDescent="0.3">
      <c r="A1639" s="3">
        <v>2017</v>
      </c>
      <c r="B1639" s="1" t="s">
        <v>58</v>
      </c>
      <c r="C1639" s="1" t="s">
        <v>14</v>
      </c>
      <c r="D1639" s="2">
        <v>10983</v>
      </c>
      <c r="E1639" s="2">
        <v>138039</v>
      </c>
      <c r="F1639" s="4">
        <v>80305</v>
      </c>
    </row>
    <row r="1640" spans="1:6" x14ac:dyDescent="0.3">
      <c r="A1640" s="3">
        <v>2017</v>
      </c>
      <c r="B1640" s="1" t="s">
        <v>58</v>
      </c>
      <c r="C1640" s="1" t="s">
        <v>15</v>
      </c>
      <c r="D1640" s="2">
        <v>4911</v>
      </c>
      <c r="E1640" s="2">
        <v>116074</v>
      </c>
      <c r="F1640" s="4">
        <v>96306</v>
      </c>
    </row>
    <row r="1641" spans="1:6" x14ac:dyDescent="0.3">
      <c r="A1641" s="3">
        <v>2017</v>
      </c>
      <c r="B1641" s="1" t="s">
        <v>58</v>
      </c>
      <c r="C1641" s="1" t="s">
        <v>16</v>
      </c>
      <c r="D1641" s="2">
        <v>1175</v>
      </c>
      <c r="E1641" s="2">
        <v>8923</v>
      </c>
      <c r="F1641" s="4">
        <v>51032</v>
      </c>
    </row>
    <row r="1642" spans="1:6" x14ac:dyDescent="0.3">
      <c r="A1642" s="3">
        <v>2017</v>
      </c>
      <c r="B1642" s="1" t="s">
        <v>58</v>
      </c>
      <c r="C1642" s="1" t="s">
        <v>17</v>
      </c>
      <c r="D1642" s="2">
        <v>6534</v>
      </c>
      <c r="E1642" s="2">
        <v>96181</v>
      </c>
      <c r="F1642" s="4">
        <v>85328</v>
      </c>
    </row>
    <row r="1643" spans="1:6" x14ac:dyDescent="0.3">
      <c r="A1643" s="3">
        <v>2017</v>
      </c>
      <c r="B1643" s="1" t="s">
        <v>58</v>
      </c>
      <c r="C1643" s="1" t="s">
        <v>18</v>
      </c>
      <c r="D1643" s="2">
        <v>2019</v>
      </c>
      <c r="E1643" s="2">
        <v>31465</v>
      </c>
      <c r="F1643" s="4">
        <v>59391</v>
      </c>
    </row>
    <row r="1644" spans="1:6" x14ac:dyDescent="0.3">
      <c r="A1644" s="3">
        <v>2017</v>
      </c>
      <c r="B1644" s="1" t="s">
        <v>58</v>
      </c>
      <c r="C1644" s="1" t="s">
        <v>19</v>
      </c>
      <c r="D1644" s="2">
        <v>1698</v>
      </c>
      <c r="E1644" s="2">
        <v>21891</v>
      </c>
      <c r="F1644" s="4">
        <v>55957</v>
      </c>
    </row>
    <row r="1645" spans="1:6" x14ac:dyDescent="0.3">
      <c r="A1645" s="3">
        <v>2017</v>
      </c>
      <c r="B1645" s="1" t="s">
        <v>58</v>
      </c>
      <c r="C1645" s="1" t="s">
        <v>20</v>
      </c>
      <c r="D1645" s="2">
        <v>1260</v>
      </c>
      <c r="E1645" s="2">
        <v>19279</v>
      </c>
      <c r="F1645" s="4">
        <v>61084</v>
      </c>
    </row>
    <row r="1646" spans="1:6" x14ac:dyDescent="0.3">
      <c r="A1646" s="3">
        <v>2017</v>
      </c>
      <c r="B1646" s="1" t="s">
        <v>58</v>
      </c>
      <c r="C1646" s="1" t="s">
        <v>21</v>
      </c>
      <c r="D1646" s="2">
        <v>1697</v>
      </c>
      <c r="E1646" s="2">
        <v>22698</v>
      </c>
      <c r="F1646" s="4">
        <v>54857</v>
      </c>
    </row>
    <row r="1647" spans="1:6" x14ac:dyDescent="0.3">
      <c r="A1647" s="3">
        <v>2017</v>
      </c>
      <c r="B1647" s="1" t="s">
        <v>58</v>
      </c>
      <c r="C1647" s="1" t="s">
        <v>22</v>
      </c>
      <c r="D1647" s="2">
        <v>1650</v>
      </c>
      <c r="E1647" s="2">
        <v>22941</v>
      </c>
      <c r="F1647" s="4">
        <v>55038</v>
      </c>
    </row>
    <row r="1648" spans="1:6" x14ac:dyDescent="0.3">
      <c r="A1648" s="3">
        <v>2017</v>
      </c>
      <c r="B1648" s="1" t="s">
        <v>58</v>
      </c>
      <c r="C1648" s="1" t="s">
        <v>23</v>
      </c>
      <c r="D1648" s="1">
        <v>843</v>
      </c>
      <c r="E1648" s="2">
        <v>7340</v>
      </c>
      <c r="F1648" s="4">
        <v>52561</v>
      </c>
    </row>
    <row r="1649" spans="1:6" x14ac:dyDescent="0.3">
      <c r="A1649" s="3">
        <v>2017</v>
      </c>
      <c r="B1649" s="1" t="s">
        <v>58</v>
      </c>
      <c r="C1649" s="1" t="s">
        <v>24</v>
      </c>
      <c r="D1649" s="2">
        <v>2719</v>
      </c>
      <c r="E1649" s="2">
        <v>37583</v>
      </c>
      <c r="F1649" s="4">
        <v>88009</v>
      </c>
    </row>
    <row r="1650" spans="1:6" x14ac:dyDescent="0.3">
      <c r="A1650" s="3">
        <v>2017</v>
      </c>
      <c r="B1650" s="1" t="s">
        <v>58</v>
      </c>
      <c r="C1650" s="1" t="s">
        <v>25</v>
      </c>
      <c r="D1650" s="2">
        <v>5143</v>
      </c>
      <c r="E1650" s="2">
        <v>91861</v>
      </c>
      <c r="F1650" s="4">
        <v>114166</v>
      </c>
    </row>
    <row r="1651" spans="1:6" x14ac:dyDescent="0.3">
      <c r="A1651" s="3">
        <v>2017</v>
      </c>
      <c r="B1651" s="1" t="s">
        <v>58</v>
      </c>
      <c r="C1651" s="1" t="s">
        <v>26</v>
      </c>
      <c r="D1651" s="2">
        <v>5934</v>
      </c>
      <c r="E1651" s="2">
        <v>56524</v>
      </c>
      <c r="F1651" s="4">
        <v>70884</v>
      </c>
    </row>
    <row r="1652" spans="1:6" x14ac:dyDescent="0.3">
      <c r="A1652" s="3">
        <v>2017</v>
      </c>
      <c r="B1652" s="1" t="s">
        <v>58</v>
      </c>
      <c r="C1652" s="1" t="s">
        <v>27</v>
      </c>
      <c r="D1652" s="2">
        <v>3663</v>
      </c>
      <c r="E1652" s="2">
        <v>50310</v>
      </c>
      <c r="F1652" s="4">
        <v>75459</v>
      </c>
    </row>
    <row r="1653" spans="1:6" x14ac:dyDescent="0.3">
      <c r="A1653" s="3">
        <v>2017</v>
      </c>
      <c r="B1653" s="1" t="s">
        <v>58</v>
      </c>
      <c r="C1653" s="1" t="s">
        <v>28</v>
      </c>
      <c r="D1653" s="1">
        <v>962</v>
      </c>
      <c r="E1653" s="2">
        <v>11593</v>
      </c>
      <c r="F1653" s="4">
        <v>48002</v>
      </c>
    </row>
    <row r="1654" spans="1:6" x14ac:dyDescent="0.3">
      <c r="A1654" s="3">
        <v>2017</v>
      </c>
      <c r="B1654" s="1" t="s">
        <v>58</v>
      </c>
      <c r="C1654" s="1" t="s">
        <v>29</v>
      </c>
      <c r="D1654" s="2">
        <v>3051</v>
      </c>
      <c r="E1654" s="2">
        <v>48249</v>
      </c>
      <c r="F1654" s="4">
        <v>73665</v>
      </c>
    </row>
    <row r="1655" spans="1:6" x14ac:dyDescent="0.3">
      <c r="A1655" s="3">
        <v>2017</v>
      </c>
      <c r="B1655" s="1" t="s">
        <v>58</v>
      </c>
      <c r="C1655" s="1" t="s">
        <v>30</v>
      </c>
      <c r="D1655" s="1">
        <v>759</v>
      </c>
      <c r="E1655" s="2">
        <v>6394</v>
      </c>
      <c r="F1655" s="4">
        <v>51903</v>
      </c>
    </row>
    <row r="1656" spans="1:6" x14ac:dyDescent="0.3">
      <c r="A1656" s="3">
        <v>2017</v>
      </c>
      <c r="B1656" s="1" t="s">
        <v>58</v>
      </c>
      <c r="C1656" s="1" t="s">
        <v>31</v>
      </c>
      <c r="D1656" s="1">
        <v>964</v>
      </c>
      <c r="E1656" s="2">
        <v>18204</v>
      </c>
      <c r="F1656" s="4">
        <v>61365</v>
      </c>
    </row>
    <row r="1657" spans="1:6" x14ac:dyDescent="0.3">
      <c r="A1657" s="3">
        <v>2017</v>
      </c>
      <c r="B1657" s="1" t="s">
        <v>58</v>
      </c>
      <c r="C1657" s="1" t="s">
        <v>32</v>
      </c>
      <c r="D1657" s="2">
        <v>1440</v>
      </c>
      <c r="E1657" s="2">
        <v>14735</v>
      </c>
      <c r="F1657" s="4">
        <v>65866</v>
      </c>
    </row>
    <row r="1658" spans="1:6" x14ac:dyDescent="0.3">
      <c r="A1658" s="3">
        <v>2017</v>
      </c>
      <c r="B1658" s="1" t="s">
        <v>58</v>
      </c>
      <c r="C1658" s="1" t="s">
        <v>33</v>
      </c>
      <c r="D1658" s="1">
        <v>843</v>
      </c>
      <c r="E1658" s="2">
        <v>12554</v>
      </c>
      <c r="F1658" s="4">
        <v>88119</v>
      </c>
    </row>
    <row r="1659" spans="1:6" x14ac:dyDescent="0.3">
      <c r="A1659" s="3">
        <v>2017</v>
      </c>
      <c r="B1659" s="1" t="s">
        <v>58</v>
      </c>
      <c r="C1659" s="1" t="s">
        <v>34</v>
      </c>
      <c r="D1659" s="2">
        <v>3595</v>
      </c>
      <c r="E1659" s="2">
        <v>70379</v>
      </c>
      <c r="F1659" s="4">
        <v>108638</v>
      </c>
    </row>
    <row r="1660" spans="1:6" x14ac:dyDescent="0.3">
      <c r="A1660" s="3">
        <v>2017</v>
      </c>
      <c r="B1660" s="1" t="s">
        <v>58</v>
      </c>
      <c r="C1660" s="1" t="s">
        <v>35</v>
      </c>
      <c r="D1660" s="1">
        <v>929</v>
      </c>
      <c r="E1660" s="2">
        <v>12398</v>
      </c>
      <c r="F1660" s="4">
        <v>51009</v>
      </c>
    </row>
    <row r="1661" spans="1:6" x14ac:dyDescent="0.3">
      <c r="A1661" s="3">
        <v>2017</v>
      </c>
      <c r="B1661" s="1" t="s">
        <v>58</v>
      </c>
      <c r="C1661" s="1" t="s">
        <v>36</v>
      </c>
      <c r="D1661" s="2">
        <v>12397</v>
      </c>
      <c r="E1661" s="2">
        <v>269233</v>
      </c>
      <c r="F1661" s="4">
        <v>119508</v>
      </c>
    </row>
    <row r="1662" spans="1:6" x14ac:dyDescent="0.3">
      <c r="A1662" s="3">
        <v>2017</v>
      </c>
      <c r="B1662" s="1" t="s">
        <v>58</v>
      </c>
      <c r="C1662" s="1" t="s">
        <v>37</v>
      </c>
      <c r="D1662" s="2">
        <v>5042</v>
      </c>
      <c r="E1662" s="2">
        <v>78826</v>
      </c>
      <c r="F1662" s="4">
        <v>80496</v>
      </c>
    </row>
    <row r="1663" spans="1:6" x14ac:dyDescent="0.3">
      <c r="A1663" s="3">
        <v>2017</v>
      </c>
      <c r="B1663" s="1" t="s">
        <v>58</v>
      </c>
      <c r="C1663" s="1" t="s">
        <v>38</v>
      </c>
      <c r="D1663" s="1">
        <v>396</v>
      </c>
      <c r="E1663" s="2">
        <v>6502</v>
      </c>
      <c r="F1663" s="4">
        <v>65114</v>
      </c>
    </row>
    <row r="1664" spans="1:6" x14ac:dyDescent="0.3">
      <c r="A1664" s="3">
        <v>2017</v>
      </c>
      <c r="B1664" s="1" t="s">
        <v>58</v>
      </c>
      <c r="C1664" s="1" t="s">
        <v>39</v>
      </c>
      <c r="D1664" s="2">
        <v>4456</v>
      </c>
      <c r="E1664" s="2">
        <v>71562</v>
      </c>
      <c r="F1664" s="4">
        <v>67912</v>
      </c>
    </row>
    <row r="1665" spans="1:6" x14ac:dyDescent="0.3">
      <c r="A1665" s="3">
        <v>2017</v>
      </c>
      <c r="B1665" s="1" t="s">
        <v>58</v>
      </c>
      <c r="C1665" s="1" t="s">
        <v>40</v>
      </c>
      <c r="D1665" s="2">
        <v>1491</v>
      </c>
      <c r="E1665" s="2">
        <v>20417</v>
      </c>
      <c r="F1665" s="4">
        <v>57922</v>
      </c>
    </row>
    <row r="1666" spans="1:6" x14ac:dyDescent="0.3">
      <c r="A1666" s="3">
        <v>2017</v>
      </c>
      <c r="B1666" s="1" t="s">
        <v>58</v>
      </c>
      <c r="C1666" s="1" t="s">
        <v>41</v>
      </c>
      <c r="D1666" s="2">
        <v>3521</v>
      </c>
      <c r="E1666" s="2">
        <v>34177</v>
      </c>
      <c r="F1666" s="4">
        <v>80210</v>
      </c>
    </row>
    <row r="1667" spans="1:6" x14ac:dyDescent="0.3">
      <c r="A1667" s="3">
        <v>2017</v>
      </c>
      <c r="B1667" s="1" t="s">
        <v>58</v>
      </c>
      <c r="C1667" s="1" t="s">
        <v>42</v>
      </c>
      <c r="D1667" s="2">
        <v>4664</v>
      </c>
      <c r="E1667" s="2">
        <v>83352</v>
      </c>
      <c r="F1667" s="4">
        <v>78987</v>
      </c>
    </row>
    <row r="1668" spans="1:6" x14ac:dyDescent="0.3">
      <c r="A1668" s="3">
        <v>2017</v>
      </c>
      <c r="B1668" s="1" t="s">
        <v>58</v>
      </c>
      <c r="C1668" s="1" t="s">
        <v>43</v>
      </c>
      <c r="D1668" s="1">
        <v>745</v>
      </c>
      <c r="E1668" s="2">
        <v>6125</v>
      </c>
      <c r="F1668" s="4">
        <v>70660</v>
      </c>
    </row>
    <row r="1669" spans="1:6" x14ac:dyDescent="0.3">
      <c r="A1669" s="3">
        <v>2017</v>
      </c>
      <c r="B1669" s="1" t="s">
        <v>58</v>
      </c>
      <c r="C1669" s="1" t="s">
        <v>44</v>
      </c>
      <c r="D1669" s="2">
        <v>2430</v>
      </c>
      <c r="E1669" s="2">
        <v>27428</v>
      </c>
      <c r="F1669" s="4">
        <v>61428</v>
      </c>
    </row>
    <row r="1670" spans="1:6" x14ac:dyDescent="0.3">
      <c r="A1670" s="3">
        <v>2017</v>
      </c>
      <c r="B1670" s="1" t="s">
        <v>58</v>
      </c>
      <c r="C1670" s="1" t="s">
        <v>45</v>
      </c>
      <c r="D1670" s="1">
        <v>561</v>
      </c>
      <c r="E1670" s="2">
        <v>5720</v>
      </c>
      <c r="F1670" s="4">
        <v>47231</v>
      </c>
    </row>
    <row r="1671" spans="1:6" x14ac:dyDescent="0.3">
      <c r="A1671" s="3">
        <v>2017</v>
      </c>
      <c r="B1671" s="1" t="s">
        <v>58</v>
      </c>
      <c r="C1671" s="1" t="s">
        <v>46</v>
      </c>
      <c r="D1671" s="2">
        <v>3260</v>
      </c>
      <c r="E1671" s="2">
        <v>45482</v>
      </c>
      <c r="F1671" s="4">
        <v>68381</v>
      </c>
    </row>
    <row r="1672" spans="1:6" x14ac:dyDescent="0.3">
      <c r="A1672" s="3">
        <v>2017</v>
      </c>
      <c r="B1672" s="1" t="s">
        <v>58</v>
      </c>
      <c r="C1672" s="1" t="s">
        <v>47</v>
      </c>
      <c r="D1672" s="2">
        <v>9521</v>
      </c>
      <c r="E1672" s="2">
        <v>201873</v>
      </c>
      <c r="F1672" s="4">
        <v>84394</v>
      </c>
    </row>
    <row r="1673" spans="1:6" x14ac:dyDescent="0.3">
      <c r="A1673" s="3">
        <v>2017</v>
      </c>
      <c r="B1673" s="1" t="s">
        <v>58</v>
      </c>
      <c r="C1673" s="1" t="s">
        <v>48</v>
      </c>
      <c r="D1673" s="2">
        <v>2347</v>
      </c>
      <c r="E1673" s="2">
        <v>37185</v>
      </c>
      <c r="F1673" s="4">
        <v>71167</v>
      </c>
    </row>
    <row r="1674" spans="1:6" x14ac:dyDescent="0.3">
      <c r="A1674" s="3">
        <v>2017</v>
      </c>
      <c r="B1674" s="1" t="s">
        <v>58</v>
      </c>
      <c r="C1674" s="1" t="s">
        <v>49</v>
      </c>
      <c r="D1674" s="1">
        <v>503</v>
      </c>
      <c r="E1674" s="2">
        <v>4478</v>
      </c>
      <c r="F1674" s="4">
        <v>58372</v>
      </c>
    </row>
    <row r="1675" spans="1:6" x14ac:dyDescent="0.3">
      <c r="A1675" s="3">
        <v>2017</v>
      </c>
      <c r="B1675" s="1" t="s">
        <v>58</v>
      </c>
      <c r="C1675" s="1" t="s">
        <v>50</v>
      </c>
      <c r="D1675" s="2">
        <v>4222</v>
      </c>
      <c r="E1675" s="2">
        <v>67623</v>
      </c>
      <c r="F1675" s="4">
        <v>98219</v>
      </c>
    </row>
    <row r="1676" spans="1:6" x14ac:dyDescent="0.3">
      <c r="A1676" s="3">
        <v>2017</v>
      </c>
      <c r="B1676" s="1" t="s">
        <v>58</v>
      </c>
      <c r="C1676" s="1" t="s">
        <v>51</v>
      </c>
      <c r="D1676" s="2">
        <v>4271</v>
      </c>
      <c r="E1676" s="2">
        <v>125798</v>
      </c>
      <c r="F1676" s="4">
        <v>172513</v>
      </c>
    </row>
    <row r="1677" spans="1:6" x14ac:dyDescent="0.3">
      <c r="A1677" s="3">
        <v>2017</v>
      </c>
      <c r="B1677" s="1" t="s">
        <v>58</v>
      </c>
      <c r="C1677" s="1" t="s">
        <v>52</v>
      </c>
      <c r="D1677" s="1">
        <v>764</v>
      </c>
      <c r="E1677" s="2">
        <v>8615</v>
      </c>
      <c r="F1677" s="4">
        <v>50474</v>
      </c>
    </row>
    <row r="1678" spans="1:6" x14ac:dyDescent="0.3">
      <c r="A1678" s="3">
        <v>2017</v>
      </c>
      <c r="B1678" s="1" t="s">
        <v>58</v>
      </c>
      <c r="C1678" s="1" t="s">
        <v>53</v>
      </c>
      <c r="D1678" s="2">
        <v>2126</v>
      </c>
      <c r="E1678" s="2">
        <v>47658</v>
      </c>
      <c r="F1678" s="4">
        <v>71912</v>
      </c>
    </row>
    <row r="1679" spans="1:6" x14ac:dyDescent="0.3">
      <c r="A1679" s="3">
        <v>2017</v>
      </c>
      <c r="B1679" s="1" t="s">
        <v>58</v>
      </c>
      <c r="C1679" s="1" t="s">
        <v>54</v>
      </c>
      <c r="D1679" s="1">
        <v>389</v>
      </c>
      <c r="E1679" s="2">
        <v>3680</v>
      </c>
      <c r="F1679" s="4">
        <v>46375</v>
      </c>
    </row>
    <row r="1680" spans="1:6" x14ac:dyDescent="0.3">
      <c r="A1680" s="3">
        <v>2017</v>
      </c>
      <c r="B1680" s="1" t="s">
        <v>59</v>
      </c>
      <c r="C1680" s="1" t="s">
        <v>7</v>
      </c>
      <c r="D1680" s="2">
        <v>13089</v>
      </c>
      <c r="E1680" s="2">
        <v>94756</v>
      </c>
      <c r="F1680" s="4">
        <v>66324</v>
      </c>
    </row>
    <row r="1681" spans="1:6" x14ac:dyDescent="0.3">
      <c r="A1681" s="3">
        <v>2017</v>
      </c>
      <c r="B1681" s="1" t="s">
        <v>59</v>
      </c>
      <c r="C1681" s="1" t="s">
        <v>8</v>
      </c>
      <c r="D1681" s="2">
        <v>15754</v>
      </c>
      <c r="E1681" s="2">
        <v>206540</v>
      </c>
      <c r="F1681" s="4">
        <v>68059</v>
      </c>
    </row>
    <row r="1682" spans="1:6" x14ac:dyDescent="0.3">
      <c r="A1682" s="3">
        <v>2017</v>
      </c>
      <c r="B1682" s="1" t="s">
        <v>59</v>
      </c>
      <c r="C1682" s="1" t="s">
        <v>9</v>
      </c>
      <c r="D1682" s="2">
        <v>8251</v>
      </c>
      <c r="E1682" s="2">
        <v>49596</v>
      </c>
      <c r="F1682" s="4">
        <v>55939</v>
      </c>
    </row>
    <row r="1683" spans="1:6" x14ac:dyDescent="0.3">
      <c r="A1683" s="3">
        <v>2017</v>
      </c>
      <c r="B1683" s="1" t="s">
        <v>59</v>
      </c>
      <c r="C1683" s="1" t="s">
        <v>10</v>
      </c>
      <c r="D1683" s="2">
        <v>98024</v>
      </c>
      <c r="E1683" s="2">
        <v>827494</v>
      </c>
      <c r="F1683" s="4">
        <v>104466</v>
      </c>
    </row>
    <row r="1684" spans="1:6" x14ac:dyDescent="0.3">
      <c r="A1684" s="3">
        <v>2017</v>
      </c>
      <c r="B1684" s="1" t="s">
        <v>59</v>
      </c>
      <c r="C1684" s="1" t="s">
        <v>11</v>
      </c>
      <c r="D1684" s="2">
        <v>22552</v>
      </c>
      <c r="E1684" s="2">
        <v>161870</v>
      </c>
      <c r="F1684" s="4">
        <v>81536</v>
      </c>
    </row>
    <row r="1685" spans="1:6" x14ac:dyDescent="0.3">
      <c r="A1685" s="3">
        <v>2017</v>
      </c>
      <c r="B1685" s="1" t="s">
        <v>59</v>
      </c>
      <c r="C1685" s="1" t="s">
        <v>12</v>
      </c>
      <c r="D1685" s="2">
        <v>10779</v>
      </c>
      <c r="E1685" s="2">
        <v>126051</v>
      </c>
      <c r="F1685" s="4">
        <v>152598</v>
      </c>
    </row>
    <row r="1686" spans="1:6" x14ac:dyDescent="0.3">
      <c r="A1686" s="3">
        <v>2017</v>
      </c>
      <c r="B1686" s="1" t="s">
        <v>59</v>
      </c>
      <c r="C1686" s="1" t="s">
        <v>13</v>
      </c>
      <c r="D1686" s="2">
        <v>2800</v>
      </c>
      <c r="E1686" s="2">
        <v>47894</v>
      </c>
      <c r="F1686" s="4">
        <v>92267</v>
      </c>
    </row>
    <row r="1687" spans="1:6" x14ac:dyDescent="0.3">
      <c r="A1687" s="3">
        <v>2017</v>
      </c>
      <c r="B1687" s="1" t="s">
        <v>59</v>
      </c>
      <c r="C1687" s="1" t="s">
        <v>14</v>
      </c>
      <c r="D1687" s="2">
        <v>71616</v>
      </c>
      <c r="E1687" s="2">
        <v>556510</v>
      </c>
      <c r="F1687" s="4">
        <v>72708</v>
      </c>
    </row>
    <row r="1688" spans="1:6" x14ac:dyDescent="0.3">
      <c r="A1688" s="3">
        <v>2017</v>
      </c>
      <c r="B1688" s="1" t="s">
        <v>59</v>
      </c>
      <c r="C1688" s="1" t="s">
        <v>15</v>
      </c>
      <c r="D1688" s="2">
        <v>25978</v>
      </c>
      <c r="E1688" s="2">
        <v>233995</v>
      </c>
      <c r="F1688" s="4">
        <v>81197</v>
      </c>
    </row>
    <row r="1689" spans="1:6" x14ac:dyDescent="0.3">
      <c r="A1689" s="3">
        <v>2017</v>
      </c>
      <c r="B1689" s="1" t="s">
        <v>59</v>
      </c>
      <c r="C1689" s="1" t="s">
        <v>16</v>
      </c>
      <c r="D1689" s="2">
        <v>5522</v>
      </c>
      <c r="E1689" s="2">
        <v>31064</v>
      </c>
      <c r="F1689" s="4">
        <v>53820</v>
      </c>
    </row>
    <row r="1690" spans="1:6" x14ac:dyDescent="0.3">
      <c r="A1690" s="3">
        <v>2017</v>
      </c>
      <c r="B1690" s="1" t="s">
        <v>59</v>
      </c>
      <c r="C1690" s="1" t="s">
        <v>17</v>
      </c>
      <c r="D1690" s="2">
        <v>32114</v>
      </c>
      <c r="E1690" s="2">
        <v>370517</v>
      </c>
      <c r="F1690" s="4">
        <v>104689</v>
      </c>
    </row>
    <row r="1691" spans="1:6" x14ac:dyDescent="0.3">
      <c r="A1691" s="3">
        <v>2017</v>
      </c>
      <c r="B1691" s="1" t="s">
        <v>59</v>
      </c>
      <c r="C1691" s="1" t="s">
        <v>18</v>
      </c>
      <c r="D1691" s="2">
        <v>16124</v>
      </c>
      <c r="E1691" s="2">
        <v>131758</v>
      </c>
      <c r="F1691" s="4">
        <v>62518</v>
      </c>
    </row>
    <row r="1692" spans="1:6" x14ac:dyDescent="0.3">
      <c r="A1692" s="3">
        <v>2017</v>
      </c>
      <c r="B1692" s="1" t="s">
        <v>59</v>
      </c>
      <c r="C1692" s="1" t="s">
        <v>19</v>
      </c>
      <c r="D1692" s="2">
        <v>9983</v>
      </c>
      <c r="E1692" s="2">
        <v>108983</v>
      </c>
      <c r="F1692" s="4">
        <v>71597</v>
      </c>
    </row>
    <row r="1693" spans="1:6" x14ac:dyDescent="0.3">
      <c r="A1693" s="3">
        <v>2017</v>
      </c>
      <c r="B1693" s="1" t="s">
        <v>59</v>
      </c>
      <c r="C1693" s="1" t="s">
        <v>20</v>
      </c>
      <c r="D1693" s="2">
        <v>8858</v>
      </c>
      <c r="E1693" s="2">
        <v>74321</v>
      </c>
      <c r="F1693" s="4">
        <v>65845</v>
      </c>
    </row>
    <row r="1694" spans="1:6" x14ac:dyDescent="0.3">
      <c r="A1694" s="3">
        <v>2017</v>
      </c>
      <c r="B1694" s="1" t="s">
        <v>59</v>
      </c>
      <c r="C1694" s="1" t="s">
        <v>21</v>
      </c>
      <c r="D1694" s="2">
        <v>10845</v>
      </c>
      <c r="E1694" s="2">
        <v>93126</v>
      </c>
      <c r="F1694" s="4">
        <v>64967</v>
      </c>
    </row>
    <row r="1695" spans="1:6" x14ac:dyDescent="0.3">
      <c r="A1695" s="3">
        <v>2017</v>
      </c>
      <c r="B1695" s="1" t="s">
        <v>59</v>
      </c>
      <c r="C1695" s="1" t="s">
        <v>22</v>
      </c>
      <c r="D1695" s="2">
        <v>13618</v>
      </c>
      <c r="E1695" s="2">
        <v>85771</v>
      </c>
      <c r="F1695" s="4">
        <v>59758</v>
      </c>
    </row>
    <row r="1696" spans="1:6" x14ac:dyDescent="0.3">
      <c r="A1696" s="3">
        <v>2017</v>
      </c>
      <c r="B1696" s="1" t="s">
        <v>59</v>
      </c>
      <c r="C1696" s="1" t="s">
        <v>23</v>
      </c>
      <c r="D1696" s="2">
        <v>3827</v>
      </c>
      <c r="E1696" s="2">
        <v>29417</v>
      </c>
      <c r="F1696" s="4">
        <v>65934</v>
      </c>
    </row>
    <row r="1697" spans="1:6" x14ac:dyDescent="0.3">
      <c r="A1697" s="3">
        <v>2017</v>
      </c>
      <c r="B1697" s="1" t="s">
        <v>59</v>
      </c>
      <c r="C1697" s="1" t="s">
        <v>24</v>
      </c>
      <c r="D1697" s="2">
        <v>15099</v>
      </c>
      <c r="E1697" s="2">
        <v>140287</v>
      </c>
      <c r="F1697" s="4">
        <v>90791</v>
      </c>
    </row>
    <row r="1698" spans="1:6" x14ac:dyDescent="0.3">
      <c r="A1698" s="3">
        <v>2017</v>
      </c>
      <c r="B1698" s="1" t="s">
        <v>59</v>
      </c>
      <c r="C1698" s="1" t="s">
        <v>25</v>
      </c>
      <c r="D1698" s="2">
        <v>17270</v>
      </c>
      <c r="E1698" s="2">
        <v>216567</v>
      </c>
      <c r="F1698" s="4">
        <v>136040</v>
      </c>
    </row>
    <row r="1699" spans="1:6" x14ac:dyDescent="0.3">
      <c r="A1699" s="3">
        <v>2017</v>
      </c>
      <c r="B1699" s="1" t="s">
        <v>59</v>
      </c>
      <c r="C1699" s="1" t="s">
        <v>26</v>
      </c>
      <c r="D1699" s="2">
        <v>18942</v>
      </c>
      <c r="E1699" s="2">
        <v>202358</v>
      </c>
      <c r="F1699" s="4">
        <v>69275</v>
      </c>
    </row>
    <row r="1700" spans="1:6" x14ac:dyDescent="0.3">
      <c r="A1700" s="3">
        <v>2017</v>
      </c>
      <c r="B1700" s="1" t="s">
        <v>59</v>
      </c>
      <c r="C1700" s="1" t="s">
        <v>27</v>
      </c>
      <c r="D1700" s="2">
        <v>15467</v>
      </c>
      <c r="E1700" s="2">
        <v>175945</v>
      </c>
      <c r="F1700" s="4">
        <v>91036</v>
      </c>
    </row>
    <row r="1701" spans="1:6" x14ac:dyDescent="0.3">
      <c r="A1701" s="3">
        <v>2017</v>
      </c>
      <c r="B1701" s="1" t="s">
        <v>59</v>
      </c>
      <c r="C1701" s="1" t="s">
        <v>28</v>
      </c>
      <c r="D1701" s="2">
        <v>7854</v>
      </c>
      <c r="E1701" s="2">
        <v>42981</v>
      </c>
      <c r="F1701" s="4">
        <v>51222</v>
      </c>
    </row>
    <row r="1702" spans="1:6" x14ac:dyDescent="0.3">
      <c r="A1702" s="3">
        <v>2017</v>
      </c>
      <c r="B1702" s="1" t="s">
        <v>59</v>
      </c>
      <c r="C1702" s="1" t="s">
        <v>29</v>
      </c>
      <c r="D1702" s="2">
        <v>17661</v>
      </c>
      <c r="E1702" s="2">
        <v>163353</v>
      </c>
      <c r="F1702" s="4">
        <v>68974</v>
      </c>
    </row>
    <row r="1703" spans="1:6" x14ac:dyDescent="0.3">
      <c r="A1703" s="3">
        <v>2017</v>
      </c>
      <c r="B1703" s="1" t="s">
        <v>59</v>
      </c>
      <c r="C1703" s="1" t="s">
        <v>30</v>
      </c>
      <c r="D1703" s="2">
        <v>4178</v>
      </c>
      <c r="E1703" s="2">
        <v>20935</v>
      </c>
      <c r="F1703" s="4">
        <v>56708</v>
      </c>
    </row>
    <row r="1704" spans="1:6" x14ac:dyDescent="0.3">
      <c r="A1704" s="3">
        <v>2017</v>
      </c>
      <c r="B1704" s="1" t="s">
        <v>59</v>
      </c>
      <c r="C1704" s="1" t="s">
        <v>31</v>
      </c>
      <c r="D1704" s="2">
        <v>6481</v>
      </c>
      <c r="E1704" s="2">
        <v>66237</v>
      </c>
      <c r="F1704" s="4">
        <v>63484</v>
      </c>
    </row>
    <row r="1705" spans="1:6" x14ac:dyDescent="0.3">
      <c r="A1705" s="3">
        <v>2017</v>
      </c>
      <c r="B1705" s="1" t="s">
        <v>59</v>
      </c>
      <c r="C1705" s="1" t="s">
        <v>32</v>
      </c>
      <c r="D1705" s="2">
        <v>8856</v>
      </c>
      <c r="E1705" s="2">
        <v>61375</v>
      </c>
      <c r="F1705" s="4">
        <v>63979</v>
      </c>
    </row>
    <row r="1706" spans="1:6" x14ac:dyDescent="0.3">
      <c r="A1706" s="3">
        <v>2017</v>
      </c>
      <c r="B1706" s="1" t="s">
        <v>59</v>
      </c>
      <c r="C1706" s="1" t="s">
        <v>33</v>
      </c>
      <c r="D1706" s="2">
        <v>3835</v>
      </c>
      <c r="E1706" s="2">
        <v>33894</v>
      </c>
      <c r="F1706" s="4">
        <v>91139</v>
      </c>
    </row>
    <row r="1707" spans="1:6" x14ac:dyDescent="0.3">
      <c r="A1707" s="3">
        <v>2017</v>
      </c>
      <c r="B1707" s="1" t="s">
        <v>59</v>
      </c>
      <c r="C1707" s="1" t="s">
        <v>34</v>
      </c>
      <c r="D1707" s="2">
        <v>19625</v>
      </c>
      <c r="E1707" s="2">
        <v>241026</v>
      </c>
      <c r="F1707" s="4">
        <v>111862</v>
      </c>
    </row>
    <row r="1708" spans="1:6" x14ac:dyDescent="0.3">
      <c r="A1708" s="3">
        <v>2017</v>
      </c>
      <c r="B1708" s="1" t="s">
        <v>59</v>
      </c>
      <c r="C1708" s="1" t="s">
        <v>35</v>
      </c>
      <c r="D1708" s="2">
        <v>5092</v>
      </c>
      <c r="E1708" s="2">
        <v>32604</v>
      </c>
      <c r="F1708" s="4">
        <v>53932</v>
      </c>
    </row>
    <row r="1709" spans="1:6" x14ac:dyDescent="0.3">
      <c r="A1709" s="3">
        <v>2017</v>
      </c>
      <c r="B1709" s="1" t="s">
        <v>59</v>
      </c>
      <c r="C1709" s="1" t="s">
        <v>36</v>
      </c>
      <c r="D1709" s="2">
        <v>65326</v>
      </c>
      <c r="E1709" s="2">
        <v>708995</v>
      </c>
      <c r="F1709" s="4">
        <v>189559</v>
      </c>
    </row>
    <row r="1710" spans="1:6" x14ac:dyDescent="0.3">
      <c r="A1710" s="3">
        <v>2017</v>
      </c>
      <c r="B1710" s="1" t="s">
        <v>59</v>
      </c>
      <c r="C1710" s="1" t="s">
        <v>37</v>
      </c>
      <c r="D1710" s="2">
        <v>27332</v>
      </c>
      <c r="E1710" s="2">
        <v>226679</v>
      </c>
      <c r="F1710" s="4">
        <v>82975</v>
      </c>
    </row>
    <row r="1711" spans="1:6" x14ac:dyDescent="0.3">
      <c r="A1711" s="3">
        <v>2017</v>
      </c>
      <c r="B1711" s="1" t="s">
        <v>59</v>
      </c>
      <c r="C1711" s="1" t="s">
        <v>38</v>
      </c>
      <c r="D1711" s="2">
        <v>2979</v>
      </c>
      <c r="E1711" s="2">
        <v>23135</v>
      </c>
      <c r="F1711" s="4">
        <v>60044</v>
      </c>
    </row>
    <row r="1712" spans="1:6" x14ac:dyDescent="0.3">
      <c r="A1712" s="3">
        <v>2017</v>
      </c>
      <c r="B1712" s="1" t="s">
        <v>59</v>
      </c>
      <c r="C1712" s="1" t="s">
        <v>39</v>
      </c>
      <c r="D1712" s="2">
        <v>28537</v>
      </c>
      <c r="E1712" s="2">
        <v>288615</v>
      </c>
      <c r="F1712" s="4">
        <v>69967</v>
      </c>
    </row>
    <row r="1713" spans="1:6" x14ac:dyDescent="0.3">
      <c r="A1713" s="3">
        <v>2017</v>
      </c>
      <c r="B1713" s="1" t="s">
        <v>59</v>
      </c>
      <c r="C1713" s="1" t="s">
        <v>40</v>
      </c>
      <c r="D1713" s="2">
        <v>11379</v>
      </c>
      <c r="E1713" s="2">
        <v>76757</v>
      </c>
      <c r="F1713" s="4">
        <v>56323</v>
      </c>
    </row>
    <row r="1714" spans="1:6" x14ac:dyDescent="0.3">
      <c r="A1714" s="3">
        <v>2017</v>
      </c>
      <c r="B1714" s="1" t="s">
        <v>59</v>
      </c>
      <c r="C1714" s="1" t="s">
        <v>41</v>
      </c>
      <c r="D1714" s="2">
        <v>12686</v>
      </c>
      <c r="E1714" s="2">
        <v>83715</v>
      </c>
      <c r="F1714" s="4">
        <v>67638</v>
      </c>
    </row>
    <row r="1715" spans="1:6" x14ac:dyDescent="0.3">
      <c r="A1715" s="3">
        <v>2017</v>
      </c>
      <c r="B1715" s="1" t="s">
        <v>59</v>
      </c>
      <c r="C1715" s="1" t="s">
        <v>42</v>
      </c>
      <c r="D1715" s="2">
        <v>28479</v>
      </c>
      <c r="E1715" s="2">
        <v>321121</v>
      </c>
      <c r="F1715" s="4">
        <v>85405</v>
      </c>
    </row>
    <row r="1716" spans="1:6" x14ac:dyDescent="0.3">
      <c r="A1716" s="3">
        <v>2017</v>
      </c>
      <c r="B1716" s="1" t="s">
        <v>59</v>
      </c>
      <c r="C1716" s="1" t="s">
        <v>43</v>
      </c>
      <c r="D1716" s="2">
        <v>2802</v>
      </c>
      <c r="E1716" s="2">
        <v>32758</v>
      </c>
      <c r="F1716" s="4">
        <v>89570</v>
      </c>
    </row>
    <row r="1717" spans="1:6" x14ac:dyDescent="0.3">
      <c r="A1717" s="3">
        <v>2017</v>
      </c>
      <c r="B1717" s="1" t="s">
        <v>59</v>
      </c>
      <c r="C1717" s="1" t="s">
        <v>44</v>
      </c>
      <c r="D1717" s="2">
        <v>12653</v>
      </c>
      <c r="E1717" s="2">
        <v>98790</v>
      </c>
      <c r="F1717" s="4">
        <v>59859</v>
      </c>
    </row>
    <row r="1718" spans="1:6" x14ac:dyDescent="0.3">
      <c r="A1718" s="3">
        <v>2017</v>
      </c>
      <c r="B1718" s="1" t="s">
        <v>59</v>
      </c>
      <c r="C1718" s="1" t="s">
        <v>45</v>
      </c>
      <c r="D1718" s="2">
        <v>3221</v>
      </c>
      <c r="E1718" s="2">
        <v>28761</v>
      </c>
      <c r="F1718" s="4">
        <v>57506</v>
      </c>
    </row>
    <row r="1719" spans="1:6" x14ac:dyDescent="0.3">
      <c r="A1719" s="3">
        <v>2017</v>
      </c>
      <c r="B1719" s="1" t="s">
        <v>59</v>
      </c>
      <c r="C1719" s="1" t="s">
        <v>46</v>
      </c>
      <c r="D1719" s="2">
        <v>15531</v>
      </c>
      <c r="E1719" s="2">
        <v>148433</v>
      </c>
      <c r="F1719" s="4">
        <v>71601</v>
      </c>
    </row>
    <row r="1720" spans="1:6" x14ac:dyDescent="0.3">
      <c r="A1720" s="3">
        <v>2017</v>
      </c>
      <c r="B1720" s="1" t="s">
        <v>59</v>
      </c>
      <c r="C1720" s="1" t="s">
        <v>47</v>
      </c>
      <c r="D1720" s="2">
        <v>71279</v>
      </c>
      <c r="E1720" s="2">
        <v>740328</v>
      </c>
      <c r="F1720" s="4">
        <v>80242</v>
      </c>
    </row>
    <row r="1721" spans="1:6" x14ac:dyDescent="0.3">
      <c r="A1721" s="3">
        <v>2017</v>
      </c>
      <c r="B1721" s="1" t="s">
        <v>59</v>
      </c>
      <c r="C1721" s="1" t="s">
        <v>48</v>
      </c>
      <c r="D1721" s="2">
        <v>11066</v>
      </c>
      <c r="E1721" s="2">
        <v>84072</v>
      </c>
      <c r="F1721" s="4">
        <v>64760</v>
      </c>
    </row>
    <row r="1722" spans="1:6" x14ac:dyDescent="0.3">
      <c r="A1722" s="3">
        <v>2017</v>
      </c>
      <c r="B1722" s="1" t="s">
        <v>59</v>
      </c>
      <c r="C1722" s="1" t="s">
        <v>49</v>
      </c>
      <c r="D1722" s="2">
        <v>1700</v>
      </c>
      <c r="E1722" s="2">
        <v>11731</v>
      </c>
      <c r="F1722" s="4">
        <v>70768</v>
      </c>
    </row>
    <row r="1723" spans="1:6" x14ac:dyDescent="0.3">
      <c r="A1723" s="3">
        <v>2017</v>
      </c>
      <c r="B1723" s="1" t="s">
        <v>59</v>
      </c>
      <c r="C1723" s="1" t="s">
        <v>50</v>
      </c>
      <c r="D1723" s="2">
        <v>21609</v>
      </c>
      <c r="E1723" s="2">
        <v>192079</v>
      </c>
      <c r="F1723" s="4">
        <v>82201</v>
      </c>
    </row>
    <row r="1724" spans="1:6" x14ac:dyDescent="0.3">
      <c r="A1724" s="3">
        <v>2017</v>
      </c>
      <c r="B1724" s="1" t="s">
        <v>59</v>
      </c>
      <c r="C1724" s="1" t="s">
        <v>51</v>
      </c>
      <c r="D1724" s="2">
        <v>17184</v>
      </c>
      <c r="E1724" s="2">
        <v>144458</v>
      </c>
      <c r="F1724" s="4">
        <v>76957</v>
      </c>
    </row>
    <row r="1725" spans="1:6" x14ac:dyDescent="0.3">
      <c r="A1725" s="3">
        <v>2017</v>
      </c>
      <c r="B1725" s="1" t="s">
        <v>59</v>
      </c>
      <c r="C1725" s="1" t="s">
        <v>52</v>
      </c>
      <c r="D1725" s="2">
        <v>3992</v>
      </c>
      <c r="E1725" s="2">
        <v>24123</v>
      </c>
      <c r="F1725" s="4">
        <v>50354</v>
      </c>
    </row>
    <row r="1726" spans="1:6" x14ac:dyDescent="0.3">
      <c r="A1726" s="3">
        <v>2017</v>
      </c>
      <c r="B1726" s="1" t="s">
        <v>59</v>
      </c>
      <c r="C1726" s="1" t="s">
        <v>53</v>
      </c>
      <c r="D1726" s="2">
        <v>13244</v>
      </c>
      <c r="E1726" s="2">
        <v>148873</v>
      </c>
      <c r="F1726" s="4">
        <v>68759</v>
      </c>
    </row>
    <row r="1727" spans="1:6" x14ac:dyDescent="0.3">
      <c r="A1727" s="3">
        <v>2017</v>
      </c>
      <c r="B1727" s="1" t="s">
        <v>59</v>
      </c>
      <c r="C1727" s="1" t="s">
        <v>54</v>
      </c>
      <c r="D1727" s="2">
        <v>2248</v>
      </c>
      <c r="E1727" s="2">
        <v>10938</v>
      </c>
      <c r="F1727" s="4">
        <v>54692</v>
      </c>
    </row>
    <row r="1728" spans="1:6" x14ac:dyDescent="0.3">
      <c r="A1728" s="3">
        <v>2017</v>
      </c>
      <c r="B1728" s="1" t="s">
        <v>60</v>
      </c>
      <c r="C1728" s="1" t="s">
        <v>7</v>
      </c>
      <c r="D1728" s="2">
        <v>21426</v>
      </c>
      <c r="E1728" s="2">
        <v>239356</v>
      </c>
      <c r="F1728" s="4">
        <v>53774</v>
      </c>
    </row>
    <row r="1729" spans="1:6" x14ac:dyDescent="0.3">
      <c r="A1729" s="3">
        <v>2017</v>
      </c>
      <c r="B1729" s="1" t="s">
        <v>60</v>
      </c>
      <c r="C1729" s="1" t="s">
        <v>8</v>
      </c>
      <c r="D1729" s="2">
        <v>31059</v>
      </c>
      <c r="E1729" s="2">
        <v>417456</v>
      </c>
      <c r="F1729" s="4">
        <v>55334</v>
      </c>
    </row>
    <row r="1730" spans="1:6" x14ac:dyDescent="0.3">
      <c r="A1730" s="3">
        <v>2017</v>
      </c>
      <c r="B1730" s="1" t="s">
        <v>60</v>
      </c>
      <c r="C1730" s="1" t="s">
        <v>9</v>
      </c>
      <c r="D1730" s="2">
        <v>13845</v>
      </c>
      <c r="E1730" s="2">
        <v>144215</v>
      </c>
      <c r="F1730" s="4">
        <v>59263</v>
      </c>
    </row>
    <row r="1731" spans="1:6" x14ac:dyDescent="0.3">
      <c r="A1731" s="3">
        <v>2017</v>
      </c>
      <c r="B1731" s="1" t="s">
        <v>60</v>
      </c>
      <c r="C1731" s="1" t="s">
        <v>10</v>
      </c>
      <c r="D1731" s="2">
        <v>188712</v>
      </c>
      <c r="E1731" s="2">
        <v>2551444</v>
      </c>
      <c r="F1731" s="4">
        <v>86955</v>
      </c>
    </row>
    <row r="1732" spans="1:6" x14ac:dyDescent="0.3">
      <c r="A1732" s="3">
        <v>2017</v>
      </c>
      <c r="B1732" s="1" t="s">
        <v>60</v>
      </c>
      <c r="C1732" s="1" t="s">
        <v>11</v>
      </c>
      <c r="D1732" s="2">
        <v>50576</v>
      </c>
      <c r="E1732" s="2">
        <v>412889</v>
      </c>
      <c r="F1732" s="4">
        <v>78698</v>
      </c>
    </row>
    <row r="1733" spans="1:6" x14ac:dyDescent="0.3">
      <c r="A1733" s="3">
        <v>2017</v>
      </c>
      <c r="B1733" s="1" t="s">
        <v>60</v>
      </c>
      <c r="C1733" s="1" t="s">
        <v>12</v>
      </c>
      <c r="D1733" s="2">
        <v>22807</v>
      </c>
      <c r="E1733" s="2">
        <v>218450</v>
      </c>
      <c r="F1733" s="4">
        <v>87307</v>
      </c>
    </row>
    <row r="1734" spans="1:6" x14ac:dyDescent="0.3">
      <c r="A1734" s="3">
        <v>2017</v>
      </c>
      <c r="B1734" s="1" t="s">
        <v>60</v>
      </c>
      <c r="C1734" s="1" t="s">
        <v>13</v>
      </c>
      <c r="D1734" s="2">
        <v>8644</v>
      </c>
      <c r="E1734" s="2">
        <v>61956</v>
      </c>
      <c r="F1734" s="4">
        <v>80600</v>
      </c>
    </row>
    <row r="1735" spans="1:6" x14ac:dyDescent="0.3">
      <c r="A1735" s="3">
        <v>2017</v>
      </c>
      <c r="B1735" s="1" t="s">
        <v>60</v>
      </c>
      <c r="C1735" s="1" t="s">
        <v>14</v>
      </c>
      <c r="D1735" s="2">
        <v>156978</v>
      </c>
      <c r="E1735" s="2">
        <v>1322562</v>
      </c>
      <c r="F1735" s="4">
        <v>58653</v>
      </c>
    </row>
    <row r="1736" spans="1:6" x14ac:dyDescent="0.3">
      <c r="A1736" s="3">
        <v>2017</v>
      </c>
      <c r="B1736" s="1" t="s">
        <v>60</v>
      </c>
      <c r="C1736" s="1" t="s">
        <v>15</v>
      </c>
      <c r="D1736" s="2">
        <v>54102</v>
      </c>
      <c r="E1736" s="2">
        <v>668820</v>
      </c>
      <c r="F1736" s="4">
        <v>64724</v>
      </c>
    </row>
    <row r="1737" spans="1:6" x14ac:dyDescent="0.3">
      <c r="A1737" s="3">
        <v>2017</v>
      </c>
      <c r="B1737" s="1" t="s">
        <v>60</v>
      </c>
      <c r="C1737" s="1" t="s">
        <v>16</v>
      </c>
      <c r="D1737" s="2">
        <v>11075</v>
      </c>
      <c r="E1737" s="2">
        <v>88110</v>
      </c>
      <c r="F1737" s="4">
        <v>48653</v>
      </c>
    </row>
    <row r="1738" spans="1:6" x14ac:dyDescent="0.3">
      <c r="A1738" s="3">
        <v>2017</v>
      </c>
      <c r="B1738" s="1" t="s">
        <v>60</v>
      </c>
      <c r="C1738" s="1" t="s">
        <v>17</v>
      </c>
      <c r="D1738" s="2">
        <v>73447</v>
      </c>
      <c r="E1738" s="2">
        <v>942202</v>
      </c>
      <c r="F1738" s="4">
        <v>73829</v>
      </c>
    </row>
    <row r="1739" spans="1:6" x14ac:dyDescent="0.3">
      <c r="A1739" s="3">
        <v>2017</v>
      </c>
      <c r="B1739" s="1" t="s">
        <v>60</v>
      </c>
      <c r="C1739" s="1" t="s">
        <v>18</v>
      </c>
      <c r="D1739" s="2">
        <v>29045</v>
      </c>
      <c r="E1739" s="2">
        <v>336985</v>
      </c>
      <c r="F1739" s="4">
        <v>50796</v>
      </c>
    </row>
    <row r="1740" spans="1:6" x14ac:dyDescent="0.3">
      <c r="A1740" s="3">
        <v>2017</v>
      </c>
      <c r="B1740" s="1" t="s">
        <v>60</v>
      </c>
      <c r="C1740" s="1" t="s">
        <v>19</v>
      </c>
      <c r="D1740" s="2">
        <v>15401</v>
      </c>
      <c r="E1740" s="2">
        <v>139096</v>
      </c>
      <c r="F1740" s="4">
        <v>52293</v>
      </c>
    </row>
    <row r="1741" spans="1:6" x14ac:dyDescent="0.3">
      <c r="A1741" s="3">
        <v>2017</v>
      </c>
      <c r="B1741" s="1" t="s">
        <v>60</v>
      </c>
      <c r="C1741" s="1" t="s">
        <v>20</v>
      </c>
      <c r="D1741" s="2">
        <v>16569</v>
      </c>
      <c r="E1741" s="2">
        <v>177353</v>
      </c>
      <c r="F1741" s="4">
        <v>59048</v>
      </c>
    </row>
    <row r="1742" spans="1:6" x14ac:dyDescent="0.3">
      <c r="A1742" s="3">
        <v>2017</v>
      </c>
      <c r="B1742" s="1" t="s">
        <v>60</v>
      </c>
      <c r="C1742" s="1" t="s">
        <v>21</v>
      </c>
      <c r="D1742" s="2">
        <v>20206</v>
      </c>
      <c r="E1742" s="2">
        <v>214141</v>
      </c>
      <c r="F1742" s="4">
        <v>48829</v>
      </c>
    </row>
    <row r="1743" spans="1:6" x14ac:dyDescent="0.3">
      <c r="A1743" s="3">
        <v>2017</v>
      </c>
      <c r="B1743" s="1" t="s">
        <v>60</v>
      </c>
      <c r="C1743" s="1" t="s">
        <v>22</v>
      </c>
      <c r="D1743" s="2">
        <v>24001</v>
      </c>
      <c r="E1743" s="2">
        <v>209874</v>
      </c>
      <c r="F1743" s="4">
        <v>55218</v>
      </c>
    </row>
    <row r="1744" spans="1:6" x14ac:dyDescent="0.3">
      <c r="A1744" s="3">
        <v>2017</v>
      </c>
      <c r="B1744" s="1" t="s">
        <v>60</v>
      </c>
      <c r="C1744" s="1" t="s">
        <v>23</v>
      </c>
      <c r="D1744" s="2">
        <v>9912</v>
      </c>
      <c r="E1744" s="2">
        <v>66736</v>
      </c>
      <c r="F1744" s="4">
        <v>55405</v>
      </c>
    </row>
    <row r="1745" spans="1:6" x14ac:dyDescent="0.3">
      <c r="A1745" s="3">
        <v>2017</v>
      </c>
      <c r="B1745" s="1" t="s">
        <v>60</v>
      </c>
      <c r="C1745" s="1" t="s">
        <v>24</v>
      </c>
      <c r="D1745" s="2">
        <v>42175</v>
      </c>
      <c r="E1745" s="2">
        <v>443764</v>
      </c>
      <c r="F1745" s="4">
        <v>77259</v>
      </c>
    </row>
    <row r="1746" spans="1:6" x14ac:dyDescent="0.3">
      <c r="A1746" s="3">
        <v>2017</v>
      </c>
      <c r="B1746" s="1" t="s">
        <v>60</v>
      </c>
      <c r="C1746" s="1" t="s">
        <v>25</v>
      </c>
      <c r="D1746" s="2">
        <v>47186</v>
      </c>
      <c r="E1746" s="2">
        <v>566190</v>
      </c>
      <c r="F1746" s="4">
        <v>102580</v>
      </c>
    </row>
    <row r="1747" spans="1:6" x14ac:dyDescent="0.3">
      <c r="A1747" s="3">
        <v>2017</v>
      </c>
      <c r="B1747" s="1" t="s">
        <v>60</v>
      </c>
      <c r="C1747" s="1" t="s">
        <v>26</v>
      </c>
      <c r="D1747" s="2">
        <v>42271</v>
      </c>
      <c r="E1747" s="2">
        <v>645279</v>
      </c>
      <c r="F1747" s="4">
        <v>68677</v>
      </c>
    </row>
    <row r="1748" spans="1:6" x14ac:dyDescent="0.3">
      <c r="A1748" s="3">
        <v>2017</v>
      </c>
      <c r="B1748" s="1" t="s">
        <v>60</v>
      </c>
      <c r="C1748" s="1" t="s">
        <v>27</v>
      </c>
      <c r="D1748" s="2">
        <v>29916</v>
      </c>
      <c r="E1748" s="2">
        <v>373603</v>
      </c>
      <c r="F1748" s="4">
        <v>80794</v>
      </c>
    </row>
    <row r="1749" spans="1:6" x14ac:dyDescent="0.3">
      <c r="A1749" s="3">
        <v>2017</v>
      </c>
      <c r="B1749" s="1" t="s">
        <v>60</v>
      </c>
      <c r="C1749" s="1" t="s">
        <v>28</v>
      </c>
      <c r="D1749" s="2">
        <v>11953</v>
      </c>
      <c r="E1749" s="2">
        <v>107737</v>
      </c>
      <c r="F1749" s="4">
        <v>41461</v>
      </c>
    </row>
    <row r="1750" spans="1:6" x14ac:dyDescent="0.3">
      <c r="A1750" s="3">
        <v>2017</v>
      </c>
      <c r="B1750" s="1" t="s">
        <v>60</v>
      </c>
      <c r="C1750" s="1" t="s">
        <v>29</v>
      </c>
      <c r="D1750" s="2">
        <v>33699</v>
      </c>
      <c r="E1750" s="2">
        <v>381525</v>
      </c>
      <c r="F1750" s="4">
        <v>63932</v>
      </c>
    </row>
    <row r="1751" spans="1:6" x14ac:dyDescent="0.3">
      <c r="A1751" s="3">
        <v>2017</v>
      </c>
      <c r="B1751" s="1" t="s">
        <v>60</v>
      </c>
      <c r="C1751" s="1" t="s">
        <v>30</v>
      </c>
      <c r="D1751" s="2">
        <v>8994</v>
      </c>
      <c r="E1751" s="2">
        <v>41010</v>
      </c>
      <c r="F1751" s="4">
        <v>50921</v>
      </c>
    </row>
    <row r="1752" spans="1:6" x14ac:dyDescent="0.3">
      <c r="A1752" s="3">
        <v>2017</v>
      </c>
      <c r="B1752" s="1" t="s">
        <v>60</v>
      </c>
      <c r="C1752" s="1" t="s">
        <v>31</v>
      </c>
      <c r="D1752" s="2">
        <v>11395</v>
      </c>
      <c r="E1752" s="2">
        <v>117542</v>
      </c>
      <c r="F1752" s="4">
        <v>59204</v>
      </c>
    </row>
    <row r="1753" spans="1:6" x14ac:dyDescent="0.3">
      <c r="A1753" s="3">
        <v>2017</v>
      </c>
      <c r="B1753" s="1" t="s">
        <v>60</v>
      </c>
      <c r="C1753" s="1" t="s">
        <v>32</v>
      </c>
      <c r="D1753" s="2">
        <v>19521</v>
      </c>
      <c r="E1753" s="2">
        <v>181485</v>
      </c>
      <c r="F1753" s="4">
        <v>58283</v>
      </c>
    </row>
    <row r="1754" spans="1:6" x14ac:dyDescent="0.3">
      <c r="A1754" s="3">
        <v>2017</v>
      </c>
      <c r="B1754" s="1" t="s">
        <v>60</v>
      </c>
      <c r="C1754" s="1" t="s">
        <v>33</v>
      </c>
      <c r="D1754" s="2">
        <v>11938</v>
      </c>
      <c r="E1754" s="2">
        <v>81761</v>
      </c>
      <c r="F1754" s="4">
        <v>75584</v>
      </c>
    </row>
    <row r="1755" spans="1:6" x14ac:dyDescent="0.3">
      <c r="A1755" s="3">
        <v>2017</v>
      </c>
      <c r="B1755" s="1" t="s">
        <v>60</v>
      </c>
      <c r="C1755" s="1" t="s">
        <v>34</v>
      </c>
      <c r="D1755" s="2">
        <v>50907</v>
      </c>
      <c r="E1755" s="2">
        <v>663584</v>
      </c>
      <c r="F1755" s="4">
        <v>88404</v>
      </c>
    </row>
    <row r="1756" spans="1:6" x14ac:dyDescent="0.3">
      <c r="A1756" s="3">
        <v>2017</v>
      </c>
      <c r="B1756" s="1" t="s">
        <v>60</v>
      </c>
      <c r="C1756" s="1" t="s">
        <v>35</v>
      </c>
      <c r="D1756" s="2">
        <v>10062</v>
      </c>
      <c r="E1756" s="2">
        <v>104434</v>
      </c>
      <c r="F1756" s="4">
        <v>60086</v>
      </c>
    </row>
    <row r="1757" spans="1:6" x14ac:dyDescent="0.3">
      <c r="A1757" s="3">
        <v>2017</v>
      </c>
      <c r="B1757" s="1" t="s">
        <v>60</v>
      </c>
      <c r="C1757" s="1" t="s">
        <v>36</v>
      </c>
      <c r="D1757" s="2">
        <v>111646</v>
      </c>
      <c r="E1757" s="2">
        <v>1314408</v>
      </c>
      <c r="F1757" s="4">
        <v>92549</v>
      </c>
    </row>
    <row r="1758" spans="1:6" x14ac:dyDescent="0.3">
      <c r="A1758" s="3">
        <v>2017</v>
      </c>
      <c r="B1758" s="1" t="s">
        <v>60</v>
      </c>
      <c r="C1758" s="1" t="s">
        <v>37</v>
      </c>
      <c r="D1758" s="2">
        <v>57179</v>
      </c>
      <c r="E1758" s="2">
        <v>616193</v>
      </c>
      <c r="F1758" s="4">
        <v>62617</v>
      </c>
    </row>
    <row r="1759" spans="1:6" x14ac:dyDescent="0.3">
      <c r="A1759" s="3">
        <v>2017</v>
      </c>
      <c r="B1759" s="1" t="s">
        <v>60</v>
      </c>
      <c r="C1759" s="1" t="s">
        <v>38</v>
      </c>
      <c r="D1759" s="2">
        <v>4917</v>
      </c>
      <c r="E1759" s="2">
        <v>34300</v>
      </c>
      <c r="F1759" s="4">
        <v>59438</v>
      </c>
    </row>
    <row r="1760" spans="1:6" x14ac:dyDescent="0.3">
      <c r="A1760" s="3">
        <v>2017</v>
      </c>
      <c r="B1760" s="1" t="s">
        <v>60</v>
      </c>
      <c r="C1760" s="1" t="s">
        <v>39</v>
      </c>
      <c r="D1760" s="2">
        <v>52650</v>
      </c>
      <c r="E1760" s="2">
        <v>724748</v>
      </c>
      <c r="F1760" s="4">
        <v>62445</v>
      </c>
    </row>
    <row r="1761" spans="1:6" x14ac:dyDescent="0.3">
      <c r="A1761" s="3">
        <v>2017</v>
      </c>
      <c r="B1761" s="1" t="s">
        <v>60</v>
      </c>
      <c r="C1761" s="1" t="s">
        <v>40</v>
      </c>
      <c r="D1761" s="2">
        <v>20434</v>
      </c>
      <c r="E1761" s="2">
        <v>185534</v>
      </c>
      <c r="F1761" s="4">
        <v>50640</v>
      </c>
    </row>
    <row r="1762" spans="1:6" x14ac:dyDescent="0.3">
      <c r="A1762" s="3">
        <v>2017</v>
      </c>
      <c r="B1762" s="1" t="s">
        <v>60</v>
      </c>
      <c r="C1762" s="1" t="s">
        <v>41</v>
      </c>
      <c r="D1762" s="2">
        <v>24942</v>
      </c>
      <c r="E1762" s="2">
        <v>242708</v>
      </c>
      <c r="F1762" s="4">
        <v>67873</v>
      </c>
    </row>
    <row r="1763" spans="1:6" x14ac:dyDescent="0.3">
      <c r="A1763" s="3">
        <v>2017</v>
      </c>
      <c r="B1763" s="1" t="s">
        <v>60</v>
      </c>
      <c r="C1763" s="1" t="s">
        <v>42</v>
      </c>
      <c r="D1763" s="2">
        <v>61779</v>
      </c>
      <c r="E1763" s="2">
        <v>799939</v>
      </c>
      <c r="F1763" s="4">
        <v>76029</v>
      </c>
    </row>
    <row r="1764" spans="1:6" x14ac:dyDescent="0.3">
      <c r="A1764" s="3">
        <v>2017</v>
      </c>
      <c r="B1764" s="1" t="s">
        <v>60</v>
      </c>
      <c r="C1764" s="1" t="s">
        <v>43</v>
      </c>
      <c r="D1764" s="2">
        <v>8350</v>
      </c>
      <c r="E1764" s="2">
        <v>67366</v>
      </c>
      <c r="F1764" s="4">
        <v>67763</v>
      </c>
    </row>
    <row r="1765" spans="1:6" x14ac:dyDescent="0.3">
      <c r="A1765" s="3">
        <v>2017</v>
      </c>
      <c r="B1765" s="1" t="s">
        <v>60</v>
      </c>
      <c r="C1765" s="1" t="s">
        <v>44</v>
      </c>
      <c r="D1765" s="2">
        <v>25902</v>
      </c>
      <c r="E1765" s="2">
        <v>280711</v>
      </c>
      <c r="F1765" s="4">
        <v>49505</v>
      </c>
    </row>
    <row r="1766" spans="1:6" x14ac:dyDescent="0.3">
      <c r="A1766" s="3">
        <v>2017</v>
      </c>
      <c r="B1766" s="1" t="s">
        <v>60</v>
      </c>
      <c r="C1766" s="1" t="s">
        <v>45</v>
      </c>
      <c r="D1766" s="2">
        <v>5030</v>
      </c>
      <c r="E1766" s="2">
        <v>31264</v>
      </c>
      <c r="F1766" s="4">
        <v>55293</v>
      </c>
    </row>
    <row r="1767" spans="1:6" x14ac:dyDescent="0.3">
      <c r="A1767" s="3">
        <v>2017</v>
      </c>
      <c r="B1767" s="1" t="s">
        <v>60</v>
      </c>
      <c r="C1767" s="1" t="s">
        <v>46</v>
      </c>
      <c r="D1767" s="2">
        <v>28315</v>
      </c>
      <c r="E1767" s="2">
        <v>407133</v>
      </c>
      <c r="F1767" s="4">
        <v>56172</v>
      </c>
    </row>
    <row r="1768" spans="1:6" x14ac:dyDescent="0.3">
      <c r="A1768" s="3">
        <v>2017</v>
      </c>
      <c r="B1768" s="1" t="s">
        <v>60</v>
      </c>
      <c r="C1768" s="1" t="s">
        <v>47</v>
      </c>
      <c r="D1768" s="2">
        <v>129242</v>
      </c>
      <c r="E1768" s="2">
        <v>1666865</v>
      </c>
      <c r="F1768" s="4">
        <v>71507</v>
      </c>
    </row>
    <row r="1769" spans="1:6" x14ac:dyDescent="0.3">
      <c r="A1769" s="3">
        <v>2017</v>
      </c>
      <c r="B1769" s="1" t="s">
        <v>60</v>
      </c>
      <c r="C1769" s="1" t="s">
        <v>48</v>
      </c>
      <c r="D1769" s="2">
        <v>21911</v>
      </c>
      <c r="E1769" s="2">
        <v>205052</v>
      </c>
      <c r="F1769" s="4">
        <v>56815</v>
      </c>
    </row>
    <row r="1770" spans="1:6" x14ac:dyDescent="0.3">
      <c r="A1770" s="3">
        <v>2017</v>
      </c>
      <c r="B1770" s="1" t="s">
        <v>60</v>
      </c>
      <c r="C1770" s="1" t="s">
        <v>49</v>
      </c>
      <c r="D1770" s="2">
        <v>5488</v>
      </c>
      <c r="E1770" s="2">
        <v>28484</v>
      </c>
      <c r="F1770" s="4">
        <v>63457</v>
      </c>
    </row>
    <row r="1771" spans="1:6" x14ac:dyDescent="0.3">
      <c r="A1771" s="3">
        <v>2017</v>
      </c>
      <c r="B1771" s="1" t="s">
        <v>60</v>
      </c>
      <c r="C1771" s="1" t="s">
        <v>50</v>
      </c>
      <c r="D1771" s="2">
        <v>57146</v>
      </c>
      <c r="E1771" s="2">
        <v>725936</v>
      </c>
      <c r="F1771" s="4">
        <v>84971</v>
      </c>
    </row>
    <row r="1772" spans="1:6" x14ac:dyDescent="0.3">
      <c r="A1772" s="3">
        <v>2017</v>
      </c>
      <c r="B1772" s="1" t="s">
        <v>60</v>
      </c>
      <c r="C1772" s="1" t="s">
        <v>51</v>
      </c>
      <c r="D1772" s="2">
        <v>39177</v>
      </c>
      <c r="E1772" s="2">
        <v>404782</v>
      </c>
      <c r="F1772" s="4">
        <v>76348</v>
      </c>
    </row>
    <row r="1773" spans="1:6" x14ac:dyDescent="0.3">
      <c r="A1773" s="3">
        <v>2017</v>
      </c>
      <c r="B1773" s="1" t="s">
        <v>60</v>
      </c>
      <c r="C1773" s="1" t="s">
        <v>52</v>
      </c>
      <c r="D1773" s="2">
        <v>8077</v>
      </c>
      <c r="E1773" s="2">
        <v>66420</v>
      </c>
      <c r="F1773" s="4">
        <v>48213</v>
      </c>
    </row>
    <row r="1774" spans="1:6" x14ac:dyDescent="0.3">
      <c r="A1774" s="3">
        <v>2017</v>
      </c>
      <c r="B1774" s="1" t="s">
        <v>60</v>
      </c>
      <c r="C1774" s="1" t="s">
        <v>53</v>
      </c>
      <c r="D1774" s="2">
        <v>23769</v>
      </c>
      <c r="E1774" s="2">
        <v>324012</v>
      </c>
      <c r="F1774" s="4">
        <v>57868</v>
      </c>
    </row>
    <row r="1775" spans="1:6" x14ac:dyDescent="0.3">
      <c r="A1775" s="3">
        <v>2017</v>
      </c>
      <c r="B1775" s="1" t="s">
        <v>60</v>
      </c>
      <c r="C1775" s="1" t="s">
        <v>54</v>
      </c>
      <c r="D1775" s="2">
        <v>4417</v>
      </c>
      <c r="E1775" s="2">
        <v>18050</v>
      </c>
      <c r="F1775" s="4">
        <v>50226</v>
      </c>
    </row>
    <row r="1776" spans="1:6" x14ac:dyDescent="0.3">
      <c r="A1776" s="3">
        <v>2017</v>
      </c>
      <c r="B1776" s="1" t="s">
        <v>61</v>
      </c>
      <c r="C1776" s="1" t="s">
        <v>7</v>
      </c>
      <c r="D1776" s="2">
        <v>12429</v>
      </c>
      <c r="E1776" s="2">
        <v>229821</v>
      </c>
      <c r="F1776" s="4">
        <v>45641</v>
      </c>
    </row>
    <row r="1777" spans="1:6" x14ac:dyDescent="0.3">
      <c r="A1777" s="3">
        <v>2017</v>
      </c>
      <c r="B1777" s="1" t="s">
        <v>61</v>
      </c>
      <c r="C1777" s="1" t="s">
        <v>8</v>
      </c>
      <c r="D1777" s="2">
        <v>16509</v>
      </c>
      <c r="E1777" s="2">
        <v>420129</v>
      </c>
      <c r="F1777" s="4">
        <v>50240</v>
      </c>
    </row>
    <row r="1778" spans="1:6" x14ac:dyDescent="0.3">
      <c r="A1778" s="3">
        <v>2017</v>
      </c>
      <c r="B1778" s="1" t="s">
        <v>61</v>
      </c>
      <c r="C1778" s="1" t="s">
        <v>9</v>
      </c>
      <c r="D1778" s="2">
        <v>15762</v>
      </c>
      <c r="E1778" s="2">
        <v>183433</v>
      </c>
      <c r="F1778" s="4">
        <v>41521</v>
      </c>
    </row>
    <row r="1779" spans="1:6" x14ac:dyDescent="0.3">
      <c r="A1779" s="3">
        <v>2017</v>
      </c>
      <c r="B1779" s="1" t="s">
        <v>61</v>
      </c>
      <c r="C1779" s="1" t="s">
        <v>10</v>
      </c>
      <c r="D1779" s="2">
        <v>593987</v>
      </c>
      <c r="E1779" s="2">
        <v>2560907</v>
      </c>
      <c r="F1779" s="4">
        <v>50766</v>
      </c>
    </row>
    <row r="1780" spans="1:6" x14ac:dyDescent="0.3">
      <c r="A1780" s="3">
        <v>2017</v>
      </c>
      <c r="B1780" s="1" t="s">
        <v>61</v>
      </c>
      <c r="C1780" s="1" t="s">
        <v>11</v>
      </c>
      <c r="D1780" s="2">
        <v>21356</v>
      </c>
      <c r="E1780" s="2">
        <v>328843</v>
      </c>
      <c r="F1780" s="4">
        <v>48754</v>
      </c>
    </row>
    <row r="1781" spans="1:6" x14ac:dyDescent="0.3">
      <c r="A1781" s="3">
        <v>2017</v>
      </c>
      <c r="B1781" s="1" t="s">
        <v>61</v>
      </c>
      <c r="C1781" s="1" t="s">
        <v>12</v>
      </c>
      <c r="D1781" s="2">
        <v>12701</v>
      </c>
      <c r="E1781" s="2">
        <v>325348</v>
      </c>
      <c r="F1781" s="4">
        <v>53993</v>
      </c>
    </row>
    <row r="1782" spans="1:6" x14ac:dyDescent="0.3">
      <c r="A1782" s="3">
        <v>2017</v>
      </c>
      <c r="B1782" s="1" t="s">
        <v>61</v>
      </c>
      <c r="C1782" s="1" t="s">
        <v>13</v>
      </c>
      <c r="D1782" s="2">
        <v>4626</v>
      </c>
      <c r="E1782" s="2">
        <v>73879</v>
      </c>
      <c r="F1782" s="4">
        <v>53083</v>
      </c>
    </row>
    <row r="1783" spans="1:6" x14ac:dyDescent="0.3">
      <c r="A1783" s="3">
        <v>2017</v>
      </c>
      <c r="B1783" s="1" t="s">
        <v>61</v>
      </c>
      <c r="C1783" s="1" t="s">
        <v>14</v>
      </c>
      <c r="D1783" s="2">
        <v>71929</v>
      </c>
      <c r="E1783" s="2">
        <v>1258710</v>
      </c>
      <c r="F1783" s="4">
        <v>49450</v>
      </c>
    </row>
    <row r="1784" spans="1:6" x14ac:dyDescent="0.3">
      <c r="A1784" s="3">
        <v>2017</v>
      </c>
      <c r="B1784" s="1" t="s">
        <v>61</v>
      </c>
      <c r="C1784" s="1" t="s">
        <v>15</v>
      </c>
      <c r="D1784" s="2">
        <v>28426</v>
      </c>
      <c r="E1784" s="2">
        <v>546707</v>
      </c>
      <c r="F1784" s="4">
        <v>50819</v>
      </c>
    </row>
    <row r="1785" spans="1:6" x14ac:dyDescent="0.3">
      <c r="A1785" s="3">
        <v>2017</v>
      </c>
      <c r="B1785" s="1" t="s">
        <v>61</v>
      </c>
      <c r="C1785" s="1" t="s">
        <v>16</v>
      </c>
      <c r="D1785" s="2">
        <v>7292</v>
      </c>
      <c r="E1785" s="2">
        <v>96246</v>
      </c>
      <c r="F1785" s="4">
        <v>40927</v>
      </c>
    </row>
    <row r="1786" spans="1:6" x14ac:dyDescent="0.3">
      <c r="A1786" s="3">
        <v>2017</v>
      </c>
      <c r="B1786" s="1" t="s">
        <v>61</v>
      </c>
      <c r="C1786" s="1" t="s">
        <v>17</v>
      </c>
      <c r="D1786" s="2">
        <v>34414</v>
      </c>
      <c r="E1786" s="2">
        <v>910288</v>
      </c>
      <c r="F1786" s="4">
        <v>49347</v>
      </c>
    </row>
    <row r="1787" spans="1:6" x14ac:dyDescent="0.3">
      <c r="A1787" s="3">
        <v>2017</v>
      </c>
      <c r="B1787" s="1" t="s">
        <v>61</v>
      </c>
      <c r="C1787" s="1" t="s">
        <v>18</v>
      </c>
      <c r="D1787" s="2">
        <v>15254</v>
      </c>
      <c r="E1787" s="2">
        <v>452646</v>
      </c>
      <c r="F1787" s="4">
        <v>46791</v>
      </c>
    </row>
    <row r="1788" spans="1:6" x14ac:dyDescent="0.3">
      <c r="A1788" s="3">
        <v>2017</v>
      </c>
      <c r="B1788" s="1" t="s">
        <v>61</v>
      </c>
      <c r="C1788" s="1" t="s">
        <v>19</v>
      </c>
      <c r="D1788" s="2">
        <v>11324</v>
      </c>
      <c r="E1788" s="2">
        <v>219362</v>
      </c>
      <c r="F1788" s="4">
        <v>42092</v>
      </c>
    </row>
    <row r="1789" spans="1:6" x14ac:dyDescent="0.3">
      <c r="A1789" s="3">
        <v>2017</v>
      </c>
      <c r="B1789" s="1" t="s">
        <v>61</v>
      </c>
      <c r="C1789" s="1" t="s">
        <v>20</v>
      </c>
      <c r="D1789" s="2">
        <v>10129</v>
      </c>
      <c r="E1789" s="2">
        <v>192638</v>
      </c>
      <c r="F1789" s="4">
        <v>41465</v>
      </c>
    </row>
    <row r="1790" spans="1:6" x14ac:dyDescent="0.3">
      <c r="A1790" s="3">
        <v>2017</v>
      </c>
      <c r="B1790" s="1" t="s">
        <v>61</v>
      </c>
      <c r="C1790" s="1" t="s">
        <v>21</v>
      </c>
      <c r="D1790" s="2">
        <v>17849</v>
      </c>
      <c r="E1790" s="2">
        <v>262151</v>
      </c>
      <c r="F1790" s="4">
        <v>47340</v>
      </c>
    </row>
    <row r="1791" spans="1:6" x14ac:dyDescent="0.3">
      <c r="A1791" s="3">
        <v>2017</v>
      </c>
      <c r="B1791" s="1" t="s">
        <v>61</v>
      </c>
      <c r="C1791" s="1" t="s">
        <v>22</v>
      </c>
      <c r="D1791" s="2">
        <v>15003</v>
      </c>
      <c r="E1791" s="2">
        <v>297694</v>
      </c>
      <c r="F1791" s="4">
        <v>42305</v>
      </c>
    </row>
    <row r="1792" spans="1:6" x14ac:dyDescent="0.3">
      <c r="A1792" s="3">
        <v>2017</v>
      </c>
      <c r="B1792" s="1" t="s">
        <v>61</v>
      </c>
      <c r="C1792" s="1" t="s">
        <v>23</v>
      </c>
      <c r="D1792" s="2">
        <v>6292</v>
      </c>
      <c r="E1792" s="2">
        <v>118412</v>
      </c>
      <c r="F1792" s="4">
        <v>45937</v>
      </c>
    </row>
    <row r="1793" spans="1:6" x14ac:dyDescent="0.3">
      <c r="A1793" s="3">
        <v>2017</v>
      </c>
      <c r="B1793" s="1" t="s">
        <v>61</v>
      </c>
      <c r="C1793" s="1" t="s">
        <v>24</v>
      </c>
      <c r="D1793" s="2">
        <v>20270</v>
      </c>
      <c r="E1793" s="2">
        <v>436185</v>
      </c>
      <c r="F1793" s="4">
        <v>53201</v>
      </c>
    </row>
    <row r="1794" spans="1:6" x14ac:dyDescent="0.3">
      <c r="A1794" s="3">
        <v>2017</v>
      </c>
      <c r="B1794" s="1" t="s">
        <v>61</v>
      </c>
      <c r="C1794" s="1" t="s">
        <v>25</v>
      </c>
      <c r="D1794" s="2">
        <v>61589</v>
      </c>
      <c r="E1794" s="2">
        <v>769824</v>
      </c>
      <c r="F1794" s="4">
        <v>57794</v>
      </c>
    </row>
    <row r="1795" spans="1:6" x14ac:dyDescent="0.3">
      <c r="A1795" s="3">
        <v>2017</v>
      </c>
      <c r="B1795" s="1" t="s">
        <v>61</v>
      </c>
      <c r="C1795" s="1" t="s">
        <v>26</v>
      </c>
      <c r="D1795" s="2">
        <v>24957</v>
      </c>
      <c r="E1795" s="2">
        <v>656020</v>
      </c>
      <c r="F1795" s="4">
        <v>48406</v>
      </c>
    </row>
    <row r="1796" spans="1:6" x14ac:dyDescent="0.3">
      <c r="A1796" s="3">
        <v>2017</v>
      </c>
      <c r="B1796" s="1" t="s">
        <v>61</v>
      </c>
      <c r="C1796" s="1" t="s">
        <v>27</v>
      </c>
      <c r="D1796" s="2">
        <v>17543</v>
      </c>
      <c r="E1796" s="2">
        <v>514711</v>
      </c>
      <c r="F1796" s="4">
        <v>49720</v>
      </c>
    </row>
    <row r="1797" spans="1:6" x14ac:dyDescent="0.3">
      <c r="A1797" s="3">
        <v>2017</v>
      </c>
      <c r="B1797" s="1" t="s">
        <v>61</v>
      </c>
      <c r="C1797" s="1" t="s">
        <v>28</v>
      </c>
      <c r="D1797" s="2">
        <v>7420</v>
      </c>
      <c r="E1797" s="2">
        <v>142412</v>
      </c>
      <c r="F1797" s="4">
        <v>40426</v>
      </c>
    </row>
    <row r="1798" spans="1:6" x14ac:dyDescent="0.3">
      <c r="A1798" s="3">
        <v>2017</v>
      </c>
      <c r="B1798" s="1" t="s">
        <v>61</v>
      </c>
      <c r="C1798" s="1" t="s">
        <v>29</v>
      </c>
      <c r="D1798" s="2">
        <v>48626</v>
      </c>
      <c r="E1798" s="2">
        <v>450671</v>
      </c>
      <c r="F1798" s="4">
        <v>44800</v>
      </c>
    </row>
    <row r="1799" spans="1:6" x14ac:dyDescent="0.3">
      <c r="A1799" s="3">
        <v>2017</v>
      </c>
      <c r="B1799" s="1" t="s">
        <v>61</v>
      </c>
      <c r="C1799" s="1" t="s">
        <v>30</v>
      </c>
      <c r="D1799" s="2">
        <v>4448</v>
      </c>
      <c r="E1799" s="2">
        <v>73262</v>
      </c>
      <c r="F1799" s="4">
        <v>46171</v>
      </c>
    </row>
    <row r="1800" spans="1:6" x14ac:dyDescent="0.3">
      <c r="A1800" s="3">
        <v>2017</v>
      </c>
      <c r="B1800" s="1" t="s">
        <v>61</v>
      </c>
      <c r="C1800" s="1" t="s">
        <v>31</v>
      </c>
      <c r="D1800" s="2">
        <v>13241</v>
      </c>
      <c r="E1800" s="2">
        <v>136970</v>
      </c>
      <c r="F1800" s="4">
        <v>44565</v>
      </c>
    </row>
    <row r="1801" spans="1:6" x14ac:dyDescent="0.3">
      <c r="A1801" s="3">
        <v>2017</v>
      </c>
      <c r="B1801" s="1" t="s">
        <v>61</v>
      </c>
      <c r="C1801" s="1" t="s">
        <v>32</v>
      </c>
      <c r="D1801" s="2">
        <v>8681</v>
      </c>
      <c r="E1801" s="2">
        <v>131756</v>
      </c>
      <c r="F1801" s="4">
        <v>53119</v>
      </c>
    </row>
    <row r="1802" spans="1:6" x14ac:dyDescent="0.3">
      <c r="A1802" s="3">
        <v>2017</v>
      </c>
      <c r="B1802" s="1" t="s">
        <v>61</v>
      </c>
      <c r="C1802" s="1" t="s">
        <v>33</v>
      </c>
      <c r="D1802" s="2">
        <v>4635</v>
      </c>
      <c r="E1802" s="2">
        <v>111212</v>
      </c>
      <c r="F1802" s="4">
        <v>54599</v>
      </c>
    </row>
    <row r="1803" spans="1:6" x14ac:dyDescent="0.3">
      <c r="A1803" s="3">
        <v>2017</v>
      </c>
      <c r="B1803" s="1" t="s">
        <v>61</v>
      </c>
      <c r="C1803" s="1" t="s">
        <v>34</v>
      </c>
      <c r="D1803" s="2">
        <v>33411</v>
      </c>
      <c r="E1803" s="2">
        <v>644049</v>
      </c>
      <c r="F1803" s="4">
        <v>52138</v>
      </c>
    </row>
    <row r="1804" spans="1:6" x14ac:dyDescent="0.3">
      <c r="A1804" s="3">
        <v>2017</v>
      </c>
      <c r="B1804" s="1" t="s">
        <v>61</v>
      </c>
      <c r="C1804" s="1" t="s">
        <v>35</v>
      </c>
      <c r="D1804" s="2">
        <v>9629</v>
      </c>
      <c r="E1804" s="2">
        <v>127804</v>
      </c>
      <c r="F1804" s="4">
        <v>40621</v>
      </c>
    </row>
    <row r="1805" spans="1:6" x14ac:dyDescent="0.3">
      <c r="A1805" s="3">
        <v>2017</v>
      </c>
      <c r="B1805" s="1" t="s">
        <v>61</v>
      </c>
      <c r="C1805" s="1" t="s">
        <v>36</v>
      </c>
      <c r="D1805" s="2">
        <v>67533</v>
      </c>
      <c r="E1805" s="2">
        <v>1847585</v>
      </c>
      <c r="F1805" s="4">
        <v>51932</v>
      </c>
    </row>
    <row r="1806" spans="1:6" x14ac:dyDescent="0.3">
      <c r="A1806" s="3">
        <v>2017</v>
      </c>
      <c r="B1806" s="1" t="s">
        <v>61</v>
      </c>
      <c r="C1806" s="1" t="s">
        <v>37</v>
      </c>
      <c r="D1806" s="2">
        <v>26885</v>
      </c>
      <c r="E1806" s="2">
        <v>578637</v>
      </c>
      <c r="F1806" s="4">
        <v>47135</v>
      </c>
    </row>
    <row r="1807" spans="1:6" x14ac:dyDescent="0.3">
      <c r="A1807" s="3">
        <v>2017</v>
      </c>
      <c r="B1807" s="1" t="s">
        <v>61</v>
      </c>
      <c r="C1807" s="1" t="s">
        <v>38</v>
      </c>
      <c r="D1807" s="2">
        <v>2484</v>
      </c>
      <c r="E1807" s="2">
        <v>61847</v>
      </c>
      <c r="F1807" s="4">
        <v>49915</v>
      </c>
    </row>
    <row r="1808" spans="1:6" x14ac:dyDescent="0.3">
      <c r="A1808" s="3">
        <v>2017</v>
      </c>
      <c r="B1808" s="1" t="s">
        <v>61</v>
      </c>
      <c r="C1808" s="1" t="s">
        <v>39</v>
      </c>
      <c r="D1808" s="2">
        <v>34090</v>
      </c>
      <c r="E1808" s="2">
        <v>897244</v>
      </c>
      <c r="F1808" s="4">
        <v>45314</v>
      </c>
    </row>
    <row r="1809" spans="1:6" x14ac:dyDescent="0.3">
      <c r="A1809" s="3">
        <v>2017</v>
      </c>
      <c r="B1809" s="1" t="s">
        <v>61</v>
      </c>
      <c r="C1809" s="1" t="s">
        <v>40</v>
      </c>
      <c r="D1809" s="2">
        <v>13367</v>
      </c>
      <c r="E1809" s="2">
        <v>208934</v>
      </c>
      <c r="F1809" s="4">
        <v>44167</v>
      </c>
    </row>
    <row r="1810" spans="1:6" x14ac:dyDescent="0.3">
      <c r="A1810" s="3">
        <v>2017</v>
      </c>
      <c r="B1810" s="1" t="s">
        <v>61</v>
      </c>
      <c r="C1810" s="1" t="s">
        <v>41</v>
      </c>
      <c r="D1810" s="2">
        <v>15363</v>
      </c>
      <c r="E1810" s="2">
        <v>266489</v>
      </c>
      <c r="F1810" s="4">
        <v>50908</v>
      </c>
    </row>
    <row r="1811" spans="1:6" x14ac:dyDescent="0.3">
      <c r="A1811" s="3">
        <v>2017</v>
      </c>
      <c r="B1811" s="1" t="s">
        <v>61</v>
      </c>
      <c r="C1811" s="1" t="s">
        <v>42</v>
      </c>
      <c r="D1811" s="2">
        <v>58709</v>
      </c>
      <c r="E1811" s="2">
        <v>1179271</v>
      </c>
      <c r="F1811" s="4">
        <v>50500</v>
      </c>
    </row>
    <row r="1812" spans="1:6" x14ac:dyDescent="0.3">
      <c r="A1812" s="3">
        <v>2017</v>
      </c>
      <c r="B1812" s="1" t="s">
        <v>61</v>
      </c>
      <c r="C1812" s="1" t="s">
        <v>43</v>
      </c>
      <c r="D1812" s="2">
        <v>4485</v>
      </c>
      <c r="E1812" s="2">
        <v>99581</v>
      </c>
      <c r="F1812" s="4">
        <v>47941</v>
      </c>
    </row>
    <row r="1813" spans="1:6" x14ac:dyDescent="0.3">
      <c r="A1813" s="3">
        <v>2017</v>
      </c>
      <c r="B1813" s="1" t="s">
        <v>61</v>
      </c>
      <c r="C1813" s="1" t="s">
        <v>44</v>
      </c>
      <c r="D1813" s="2">
        <v>11574</v>
      </c>
      <c r="E1813" s="2">
        <v>226255</v>
      </c>
      <c r="F1813" s="4">
        <v>45624</v>
      </c>
    </row>
    <row r="1814" spans="1:6" x14ac:dyDescent="0.3">
      <c r="A1814" s="3">
        <v>2017</v>
      </c>
      <c r="B1814" s="1" t="s">
        <v>61</v>
      </c>
      <c r="C1814" s="1" t="s">
        <v>45</v>
      </c>
      <c r="D1814" s="2">
        <v>2732</v>
      </c>
      <c r="E1814" s="2">
        <v>66629</v>
      </c>
      <c r="F1814" s="4">
        <v>49512</v>
      </c>
    </row>
    <row r="1815" spans="1:6" x14ac:dyDescent="0.3">
      <c r="A1815" s="3">
        <v>2017</v>
      </c>
      <c r="B1815" s="1" t="s">
        <v>61</v>
      </c>
      <c r="C1815" s="1" t="s">
        <v>46</v>
      </c>
      <c r="D1815" s="2">
        <v>15761</v>
      </c>
      <c r="E1815" s="2">
        <v>416511</v>
      </c>
      <c r="F1815" s="4">
        <v>50938</v>
      </c>
    </row>
    <row r="1816" spans="1:6" x14ac:dyDescent="0.3">
      <c r="A1816" s="3">
        <v>2017</v>
      </c>
      <c r="B1816" s="1" t="s">
        <v>61</v>
      </c>
      <c r="C1816" s="1" t="s">
        <v>47</v>
      </c>
      <c r="D1816" s="2">
        <v>87635</v>
      </c>
      <c r="E1816" s="2">
        <v>1607487</v>
      </c>
      <c r="F1816" s="4">
        <v>47096</v>
      </c>
    </row>
    <row r="1817" spans="1:6" x14ac:dyDescent="0.3">
      <c r="A1817" s="3">
        <v>2017</v>
      </c>
      <c r="B1817" s="1" t="s">
        <v>61</v>
      </c>
      <c r="C1817" s="1" t="s">
        <v>48</v>
      </c>
      <c r="D1817" s="2">
        <v>11679</v>
      </c>
      <c r="E1817" s="2">
        <v>181402</v>
      </c>
      <c r="F1817" s="4">
        <v>42492</v>
      </c>
    </row>
    <row r="1818" spans="1:6" x14ac:dyDescent="0.3">
      <c r="A1818" s="3">
        <v>2017</v>
      </c>
      <c r="B1818" s="1" t="s">
        <v>61</v>
      </c>
      <c r="C1818" s="1" t="s">
        <v>49</v>
      </c>
      <c r="D1818" s="2">
        <v>2460</v>
      </c>
      <c r="E1818" s="2">
        <v>62109</v>
      </c>
      <c r="F1818" s="4">
        <v>45259</v>
      </c>
    </row>
    <row r="1819" spans="1:6" x14ac:dyDescent="0.3">
      <c r="A1819" s="3">
        <v>2017</v>
      </c>
      <c r="B1819" s="1" t="s">
        <v>61</v>
      </c>
      <c r="C1819" s="1" t="s">
        <v>50</v>
      </c>
      <c r="D1819" s="2">
        <v>42910</v>
      </c>
      <c r="E1819" s="2">
        <v>496944</v>
      </c>
      <c r="F1819" s="4">
        <v>48573</v>
      </c>
    </row>
    <row r="1820" spans="1:6" x14ac:dyDescent="0.3">
      <c r="A1820" s="3">
        <v>2017</v>
      </c>
      <c r="B1820" s="1" t="s">
        <v>61</v>
      </c>
      <c r="C1820" s="1" t="s">
        <v>51</v>
      </c>
      <c r="D1820" s="2">
        <v>56689</v>
      </c>
      <c r="E1820" s="2">
        <v>451563</v>
      </c>
      <c r="F1820" s="4">
        <v>49782</v>
      </c>
    </row>
    <row r="1821" spans="1:6" x14ac:dyDescent="0.3">
      <c r="A1821" s="3">
        <v>2017</v>
      </c>
      <c r="B1821" s="1" t="s">
        <v>61</v>
      </c>
      <c r="C1821" s="1" t="s">
        <v>52</v>
      </c>
      <c r="D1821" s="2">
        <v>5679</v>
      </c>
      <c r="E1821" s="2">
        <v>123772</v>
      </c>
      <c r="F1821" s="4">
        <v>44732</v>
      </c>
    </row>
    <row r="1822" spans="1:6" x14ac:dyDescent="0.3">
      <c r="A1822" s="3">
        <v>2017</v>
      </c>
      <c r="B1822" s="1" t="s">
        <v>61</v>
      </c>
      <c r="C1822" s="1" t="s">
        <v>53</v>
      </c>
      <c r="D1822" s="2">
        <v>25989</v>
      </c>
      <c r="E1822" s="2">
        <v>428367</v>
      </c>
      <c r="F1822" s="4">
        <v>47663</v>
      </c>
    </row>
    <row r="1823" spans="1:6" x14ac:dyDescent="0.3">
      <c r="A1823" s="3">
        <v>2017</v>
      </c>
      <c r="B1823" s="1" t="s">
        <v>61</v>
      </c>
      <c r="C1823" s="1" t="s">
        <v>54</v>
      </c>
      <c r="D1823" s="2">
        <v>3268</v>
      </c>
      <c r="E1823" s="2">
        <v>26479</v>
      </c>
      <c r="F1823" s="4">
        <v>41913</v>
      </c>
    </row>
    <row r="1824" spans="1:6" x14ac:dyDescent="0.3">
      <c r="A1824" s="3">
        <v>2017</v>
      </c>
      <c r="B1824" s="1" t="s">
        <v>62</v>
      </c>
      <c r="C1824" s="1" t="s">
        <v>7</v>
      </c>
      <c r="D1824" s="2">
        <v>10741</v>
      </c>
      <c r="E1824" s="2">
        <v>202336</v>
      </c>
      <c r="F1824" s="4">
        <v>16222</v>
      </c>
    </row>
    <row r="1825" spans="1:6" x14ac:dyDescent="0.3">
      <c r="A1825" s="3">
        <v>2017</v>
      </c>
      <c r="B1825" s="1" t="s">
        <v>62</v>
      </c>
      <c r="C1825" s="1" t="s">
        <v>8</v>
      </c>
      <c r="D1825" s="2">
        <v>12771</v>
      </c>
      <c r="E1825" s="2">
        <v>317076</v>
      </c>
      <c r="F1825" s="4">
        <v>23505</v>
      </c>
    </row>
    <row r="1826" spans="1:6" x14ac:dyDescent="0.3">
      <c r="A1826" s="3">
        <v>2017</v>
      </c>
      <c r="B1826" s="1" t="s">
        <v>62</v>
      </c>
      <c r="C1826" s="1" t="s">
        <v>9</v>
      </c>
      <c r="D1826" s="2">
        <v>7024</v>
      </c>
      <c r="E1826" s="2">
        <v>116690</v>
      </c>
      <c r="F1826" s="4">
        <v>16181</v>
      </c>
    </row>
    <row r="1827" spans="1:6" x14ac:dyDescent="0.3">
      <c r="A1827" s="3">
        <v>2017</v>
      </c>
      <c r="B1827" s="1" t="s">
        <v>62</v>
      </c>
      <c r="C1827" s="1" t="s">
        <v>10</v>
      </c>
      <c r="D1827" s="2">
        <v>103495</v>
      </c>
      <c r="E1827" s="2">
        <v>1935980</v>
      </c>
      <c r="F1827" s="4">
        <v>29214</v>
      </c>
    </row>
    <row r="1828" spans="1:6" x14ac:dyDescent="0.3">
      <c r="A1828" s="3">
        <v>2017</v>
      </c>
      <c r="B1828" s="1" t="s">
        <v>62</v>
      </c>
      <c r="C1828" s="1" t="s">
        <v>11</v>
      </c>
      <c r="D1828" s="2">
        <v>16627</v>
      </c>
      <c r="E1828" s="2">
        <v>333190</v>
      </c>
      <c r="F1828" s="4">
        <v>24462</v>
      </c>
    </row>
    <row r="1829" spans="1:6" x14ac:dyDescent="0.3">
      <c r="A1829" s="3">
        <v>2017</v>
      </c>
      <c r="B1829" s="1" t="s">
        <v>62</v>
      </c>
      <c r="C1829" s="1" t="s">
        <v>12</v>
      </c>
      <c r="D1829" s="2">
        <v>10338</v>
      </c>
      <c r="E1829" s="2">
        <v>156514</v>
      </c>
      <c r="F1829" s="4">
        <v>23066</v>
      </c>
    </row>
    <row r="1830" spans="1:6" x14ac:dyDescent="0.3">
      <c r="A1830" s="3">
        <v>2017</v>
      </c>
      <c r="B1830" s="1" t="s">
        <v>62</v>
      </c>
      <c r="C1830" s="1" t="s">
        <v>13</v>
      </c>
      <c r="D1830" s="2">
        <v>2565</v>
      </c>
      <c r="E1830" s="2">
        <v>50272</v>
      </c>
      <c r="F1830" s="4">
        <v>19997</v>
      </c>
    </row>
    <row r="1831" spans="1:6" x14ac:dyDescent="0.3">
      <c r="A1831" s="3">
        <v>2017</v>
      </c>
      <c r="B1831" s="1" t="s">
        <v>62</v>
      </c>
      <c r="C1831" s="1" t="s">
        <v>14</v>
      </c>
      <c r="D1831" s="2">
        <v>55396</v>
      </c>
      <c r="E1831" s="2">
        <v>1198478</v>
      </c>
      <c r="F1831" s="4">
        <v>24953</v>
      </c>
    </row>
    <row r="1832" spans="1:6" x14ac:dyDescent="0.3">
      <c r="A1832" s="3">
        <v>2017</v>
      </c>
      <c r="B1832" s="1" t="s">
        <v>62</v>
      </c>
      <c r="C1832" s="1" t="s">
        <v>15</v>
      </c>
      <c r="D1832" s="2">
        <v>23538</v>
      </c>
      <c r="E1832" s="2">
        <v>476035</v>
      </c>
      <c r="F1832" s="4">
        <v>20142</v>
      </c>
    </row>
    <row r="1833" spans="1:6" x14ac:dyDescent="0.3">
      <c r="A1833" s="3">
        <v>2017</v>
      </c>
      <c r="B1833" s="1" t="s">
        <v>62</v>
      </c>
      <c r="C1833" s="1" t="s">
        <v>16</v>
      </c>
      <c r="D1833" s="2">
        <v>4906</v>
      </c>
      <c r="E1833" s="2">
        <v>74928</v>
      </c>
      <c r="F1833" s="4">
        <v>16382</v>
      </c>
    </row>
    <row r="1834" spans="1:6" x14ac:dyDescent="0.3">
      <c r="A1834" s="3">
        <v>2017</v>
      </c>
      <c r="B1834" s="1" t="s">
        <v>62</v>
      </c>
      <c r="C1834" s="1" t="s">
        <v>17</v>
      </c>
      <c r="D1834" s="2">
        <v>32076</v>
      </c>
      <c r="E1834" s="2">
        <v>610100</v>
      </c>
      <c r="F1834" s="4">
        <v>22930</v>
      </c>
    </row>
    <row r="1835" spans="1:6" x14ac:dyDescent="0.3">
      <c r="A1835" s="3">
        <v>2017</v>
      </c>
      <c r="B1835" s="1" t="s">
        <v>62</v>
      </c>
      <c r="C1835" s="1" t="s">
        <v>18</v>
      </c>
      <c r="D1835" s="2">
        <v>15273</v>
      </c>
      <c r="E1835" s="2">
        <v>308506</v>
      </c>
      <c r="F1835" s="4">
        <v>18223</v>
      </c>
    </row>
    <row r="1836" spans="1:6" x14ac:dyDescent="0.3">
      <c r="A1836" s="3">
        <v>2017</v>
      </c>
      <c r="B1836" s="1" t="s">
        <v>62</v>
      </c>
      <c r="C1836" s="1" t="s">
        <v>19</v>
      </c>
      <c r="D1836" s="2">
        <v>8532</v>
      </c>
      <c r="E1836" s="2">
        <v>143101</v>
      </c>
      <c r="F1836" s="4">
        <v>16280</v>
      </c>
    </row>
    <row r="1837" spans="1:6" x14ac:dyDescent="0.3">
      <c r="A1837" s="3">
        <v>2017</v>
      </c>
      <c r="B1837" s="1" t="s">
        <v>62</v>
      </c>
      <c r="C1837" s="1" t="s">
        <v>20</v>
      </c>
      <c r="D1837" s="2">
        <v>6839</v>
      </c>
      <c r="E1837" s="2">
        <v>128449</v>
      </c>
      <c r="F1837" s="4">
        <v>16257</v>
      </c>
    </row>
    <row r="1838" spans="1:6" x14ac:dyDescent="0.3">
      <c r="A1838" s="3">
        <v>2017</v>
      </c>
      <c r="B1838" s="1" t="s">
        <v>62</v>
      </c>
      <c r="C1838" s="1" t="s">
        <v>21</v>
      </c>
      <c r="D1838" s="2">
        <v>10063</v>
      </c>
      <c r="E1838" s="2">
        <v>196846</v>
      </c>
      <c r="F1838" s="4">
        <v>17160</v>
      </c>
    </row>
    <row r="1839" spans="1:6" x14ac:dyDescent="0.3">
      <c r="A1839" s="3">
        <v>2017</v>
      </c>
      <c r="B1839" s="1" t="s">
        <v>62</v>
      </c>
      <c r="C1839" s="1" t="s">
        <v>22</v>
      </c>
      <c r="D1839" s="2">
        <v>12015</v>
      </c>
      <c r="E1839" s="2">
        <v>233109</v>
      </c>
      <c r="F1839" s="4">
        <v>20623</v>
      </c>
    </row>
    <row r="1840" spans="1:6" x14ac:dyDescent="0.3">
      <c r="A1840" s="3">
        <v>2017</v>
      </c>
      <c r="B1840" s="1" t="s">
        <v>62</v>
      </c>
      <c r="C1840" s="1" t="s">
        <v>23</v>
      </c>
      <c r="D1840" s="2">
        <v>5119</v>
      </c>
      <c r="E1840" s="2">
        <v>67354</v>
      </c>
      <c r="F1840" s="4">
        <v>21119</v>
      </c>
    </row>
    <row r="1841" spans="1:6" x14ac:dyDescent="0.3">
      <c r="A1841" s="3">
        <v>2017</v>
      </c>
      <c r="B1841" s="1" t="s">
        <v>62</v>
      </c>
      <c r="C1841" s="1" t="s">
        <v>24</v>
      </c>
      <c r="D1841" s="2">
        <v>14733</v>
      </c>
      <c r="E1841" s="2">
        <v>280195</v>
      </c>
      <c r="F1841" s="4">
        <v>23436</v>
      </c>
    </row>
    <row r="1842" spans="1:6" x14ac:dyDescent="0.3">
      <c r="A1842" s="3">
        <v>2017</v>
      </c>
      <c r="B1842" s="1" t="s">
        <v>62</v>
      </c>
      <c r="C1842" s="1" t="s">
        <v>25</v>
      </c>
      <c r="D1842" s="2">
        <v>20695</v>
      </c>
      <c r="E1842" s="2">
        <v>369350</v>
      </c>
      <c r="F1842" s="4">
        <v>26779</v>
      </c>
    </row>
    <row r="1843" spans="1:6" x14ac:dyDescent="0.3">
      <c r="A1843" s="3">
        <v>2017</v>
      </c>
      <c r="B1843" s="1" t="s">
        <v>62</v>
      </c>
      <c r="C1843" s="1" t="s">
        <v>26</v>
      </c>
      <c r="D1843" s="2">
        <v>21783</v>
      </c>
      <c r="E1843" s="2">
        <v>431316</v>
      </c>
      <c r="F1843" s="4">
        <v>19834</v>
      </c>
    </row>
    <row r="1844" spans="1:6" x14ac:dyDescent="0.3">
      <c r="A1844" s="3">
        <v>2017</v>
      </c>
      <c r="B1844" s="1" t="s">
        <v>62</v>
      </c>
      <c r="C1844" s="1" t="s">
        <v>27</v>
      </c>
      <c r="D1844" s="2">
        <v>14729</v>
      </c>
      <c r="E1844" s="2">
        <v>270490</v>
      </c>
      <c r="F1844" s="4">
        <v>21386</v>
      </c>
    </row>
    <row r="1845" spans="1:6" x14ac:dyDescent="0.3">
      <c r="A1845" s="3">
        <v>2017</v>
      </c>
      <c r="B1845" s="1" t="s">
        <v>62</v>
      </c>
      <c r="C1845" s="1" t="s">
        <v>28</v>
      </c>
      <c r="D1845" s="2">
        <v>6381</v>
      </c>
      <c r="E1845" s="2">
        <v>134613</v>
      </c>
      <c r="F1845" s="4">
        <v>17011</v>
      </c>
    </row>
    <row r="1846" spans="1:6" x14ac:dyDescent="0.3">
      <c r="A1846" s="3">
        <v>2017</v>
      </c>
      <c r="B1846" s="1" t="s">
        <v>62</v>
      </c>
      <c r="C1846" s="1" t="s">
        <v>29</v>
      </c>
      <c r="D1846" s="2">
        <v>14797</v>
      </c>
      <c r="E1846" s="2">
        <v>303022</v>
      </c>
      <c r="F1846" s="4">
        <v>20276</v>
      </c>
    </row>
    <row r="1847" spans="1:6" x14ac:dyDescent="0.3">
      <c r="A1847" s="3">
        <v>2017</v>
      </c>
      <c r="B1847" s="1" t="s">
        <v>62</v>
      </c>
      <c r="C1847" s="1" t="s">
        <v>30</v>
      </c>
      <c r="D1847" s="2">
        <v>4978</v>
      </c>
      <c r="E1847" s="2">
        <v>64958</v>
      </c>
      <c r="F1847" s="4">
        <v>18625</v>
      </c>
    </row>
    <row r="1848" spans="1:6" x14ac:dyDescent="0.3">
      <c r="A1848" s="3">
        <v>2017</v>
      </c>
      <c r="B1848" s="1" t="s">
        <v>62</v>
      </c>
      <c r="C1848" s="1" t="s">
        <v>31</v>
      </c>
      <c r="D1848" s="2">
        <v>5508</v>
      </c>
      <c r="E1848" s="2">
        <v>91776</v>
      </c>
      <c r="F1848" s="4">
        <v>16253</v>
      </c>
    </row>
    <row r="1849" spans="1:6" x14ac:dyDescent="0.3">
      <c r="A1849" s="3">
        <v>2017</v>
      </c>
      <c r="B1849" s="1" t="s">
        <v>62</v>
      </c>
      <c r="C1849" s="1" t="s">
        <v>32</v>
      </c>
      <c r="D1849" s="2">
        <v>8246</v>
      </c>
      <c r="E1849" s="2">
        <v>348888</v>
      </c>
      <c r="F1849" s="4">
        <v>33048</v>
      </c>
    </row>
    <row r="1850" spans="1:6" x14ac:dyDescent="0.3">
      <c r="A1850" s="3">
        <v>2017</v>
      </c>
      <c r="B1850" s="1" t="s">
        <v>62</v>
      </c>
      <c r="C1850" s="1" t="s">
        <v>33</v>
      </c>
      <c r="D1850" s="2">
        <v>4512</v>
      </c>
      <c r="E1850" s="2">
        <v>70729</v>
      </c>
      <c r="F1850" s="4">
        <v>21058</v>
      </c>
    </row>
    <row r="1851" spans="1:6" x14ac:dyDescent="0.3">
      <c r="A1851" s="3">
        <v>2017</v>
      </c>
      <c r="B1851" s="1" t="s">
        <v>62</v>
      </c>
      <c r="C1851" s="1" t="s">
        <v>34</v>
      </c>
      <c r="D1851" s="2">
        <v>23501</v>
      </c>
      <c r="E1851" s="2">
        <v>372798</v>
      </c>
      <c r="F1851" s="4">
        <v>24851</v>
      </c>
    </row>
    <row r="1852" spans="1:6" x14ac:dyDescent="0.3">
      <c r="A1852" s="3">
        <v>2017</v>
      </c>
      <c r="B1852" s="1" t="s">
        <v>62</v>
      </c>
      <c r="C1852" s="1" t="s">
        <v>35</v>
      </c>
      <c r="D1852" s="2">
        <v>4929</v>
      </c>
      <c r="E1852" s="2">
        <v>96321</v>
      </c>
      <c r="F1852" s="4">
        <v>17901</v>
      </c>
    </row>
    <row r="1853" spans="1:6" x14ac:dyDescent="0.3">
      <c r="A1853" s="3">
        <v>2017</v>
      </c>
      <c r="B1853" s="1" t="s">
        <v>62</v>
      </c>
      <c r="C1853" s="1" t="s">
        <v>36</v>
      </c>
      <c r="D1853" s="2">
        <v>66166</v>
      </c>
      <c r="E1853" s="2">
        <v>944545</v>
      </c>
      <c r="F1853" s="4">
        <v>32365</v>
      </c>
    </row>
    <row r="1854" spans="1:6" x14ac:dyDescent="0.3">
      <c r="A1854" s="3">
        <v>2017</v>
      </c>
      <c r="B1854" s="1" t="s">
        <v>62</v>
      </c>
      <c r="C1854" s="1" t="s">
        <v>37</v>
      </c>
      <c r="D1854" s="2">
        <v>25235</v>
      </c>
      <c r="E1854" s="2">
        <v>493758</v>
      </c>
      <c r="F1854" s="4">
        <v>19111</v>
      </c>
    </row>
    <row r="1855" spans="1:6" x14ac:dyDescent="0.3">
      <c r="A1855" s="3">
        <v>2017</v>
      </c>
      <c r="B1855" s="1" t="s">
        <v>62</v>
      </c>
      <c r="C1855" s="1" t="s">
        <v>38</v>
      </c>
      <c r="D1855" s="2">
        <v>2600</v>
      </c>
      <c r="E1855" s="2">
        <v>39316</v>
      </c>
      <c r="F1855" s="4">
        <v>17400</v>
      </c>
    </row>
    <row r="1856" spans="1:6" x14ac:dyDescent="0.3">
      <c r="A1856" s="3">
        <v>2017</v>
      </c>
      <c r="B1856" s="1" t="s">
        <v>62</v>
      </c>
      <c r="C1856" s="1" t="s">
        <v>39</v>
      </c>
      <c r="D1856" s="2">
        <v>28218</v>
      </c>
      <c r="E1856" s="2">
        <v>560257</v>
      </c>
      <c r="F1856" s="4">
        <v>18856</v>
      </c>
    </row>
    <row r="1857" spans="1:6" x14ac:dyDescent="0.3">
      <c r="A1857" s="3">
        <v>2017</v>
      </c>
      <c r="B1857" s="1" t="s">
        <v>62</v>
      </c>
      <c r="C1857" s="1" t="s">
        <v>40</v>
      </c>
      <c r="D1857" s="2">
        <v>8969</v>
      </c>
      <c r="E1857" s="2">
        <v>167540</v>
      </c>
      <c r="F1857" s="4">
        <v>17729</v>
      </c>
    </row>
    <row r="1858" spans="1:6" x14ac:dyDescent="0.3">
      <c r="A1858" s="3">
        <v>2017</v>
      </c>
      <c r="B1858" s="1" t="s">
        <v>62</v>
      </c>
      <c r="C1858" s="1" t="s">
        <v>41</v>
      </c>
      <c r="D1858" s="2">
        <v>13588</v>
      </c>
      <c r="E1858" s="2">
        <v>205823</v>
      </c>
      <c r="F1858" s="4">
        <v>21379</v>
      </c>
    </row>
    <row r="1859" spans="1:6" x14ac:dyDescent="0.3">
      <c r="A1859" s="3">
        <v>2017</v>
      </c>
      <c r="B1859" s="1" t="s">
        <v>62</v>
      </c>
      <c r="C1859" s="1" t="s">
        <v>42</v>
      </c>
      <c r="D1859" s="2">
        <v>33146</v>
      </c>
      <c r="E1859" s="2">
        <v>566779</v>
      </c>
      <c r="F1859" s="4">
        <v>20389</v>
      </c>
    </row>
    <row r="1860" spans="1:6" x14ac:dyDescent="0.3">
      <c r="A1860" s="3">
        <v>2017</v>
      </c>
      <c r="B1860" s="1" t="s">
        <v>62</v>
      </c>
      <c r="C1860" s="1" t="s">
        <v>43</v>
      </c>
      <c r="D1860" s="2">
        <v>3683</v>
      </c>
      <c r="E1860" s="2">
        <v>58183</v>
      </c>
      <c r="F1860" s="4">
        <v>22353</v>
      </c>
    </row>
    <row r="1861" spans="1:6" x14ac:dyDescent="0.3">
      <c r="A1861" s="3">
        <v>2017</v>
      </c>
      <c r="B1861" s="1" t="s">
        <v>62</v>
      </c>
      <c r="C1861" s="1" t="s">
        <v>44</v>
      </c>
      <c r="D1861" s="2">
        <v>12337</v>
      </c>
      <c r="E1861" s="2">
        <v>254069</v>
      </c>
      <c r="F1861" s="4">
        <v>17885</v>
      </c>
    </row>
    <row r="1862" spans="1:6" x14ac:dyDescent="0.3">
      <c r="A1862" s="3">
        <v>2017</v>
      </c>
      <c r="B1862" s="1" t="s">
        <v>62</v>
      </c>
      <c r="C1862" s="1" t="s">
        <v>45</v>
      </c>
      <c r="D1862" s="2">
        <v>3109</v>
      </c>
      <c r="E1862" s="2">
        <v>46967</v>
      </c>
      <c r="F1862" s="4">
        <v>16460</v>
      </c>
    </row>
    <row r="1863" spans="1:6" x14ac:dyDescent="0.3">
      <c r="A1863" s="3">
        <v>2017</v>
      </c>
      <c r="B1863" s="1" t="s">
        <v>62</v>
      </c>
      <c r="C1863" s="1" t="s">
        <v>46</v>
      </c>
      <c r="D1863" s="2">
        <v>15932</v>
      </c>
      <c r="E1863" s="2">
        <v>328856</v>
      </c>
      <c r="F1863" s="4">
        <v>22398</v>
      </c>
    </row>
    <row r="1864" spans="1:6" x14ac:dyDescent="0.3">
      <c r="A1864" s="3">
        <v>2017</v>
      </c>
      <c r="B1864" s="1" t="s">
        <v>62</v>
      </c>
      <c r="C1864" s="1" t="s">
        <v>47</v>
      </c>
      <c r="D1864" s="2">
        <v>60744</v>
      </c>
      <c r="E1864" s="2">
        <v>1317762</v>
      </c>
      <c r="F1864" s="4">
        <v>21234</v>
      </c>
    </row>
    <row r="1865" spans="1:6" x14ac:dyDescent="0.3">
      <c r="A1865" s="3">
        <v>2017</v>
      </c>
      <c r="B1865" s="1" t="s">
        <v>62</v>
      </c>
      <c r="C1865" s="1" t="s">
        <v>48</v>
      </c>
      <c r="D1865" s="2">
        <v>7068</v>
      </c>
      <c r="E1865" s="2">
        <v>142985</v>
      </c>
      <c r="F1865" s="4">
        <v>19510</v>
      </c>
    </row>
    <row r="1866" spans="1:6" x14ac:dyDescent="0.3">
      <c r="A1866" s="3">
        <v>2017</v>
      </c>
      <c r="B1866" s="1" t="s">
        <v>62</v>
      </c>
      <c r="C1866" s="1" t="s">
        <v>49</v>
      </c>
      <c r="D1866" s="2">
        <v>2266</v>
      </c>
      <c r="E1866" s="2">
        <v>37337</v>
      </c>
      <c r="F1866" s="4">
        <v>22375</v>
      </c>
    </row>
    <row r="1867" spans="1:6" x14ac:dyDescent="0.3">
      <c r="A1867" s="3">
        <v>2017</v>
      </c>
      <c r="B1867" s="1" t="s">
        <v>62</v>
      </c>
      <c r="C1867" s="1" t="s">
        <v>50</v>
      </c>
      <c r="D1867" s="2">
        <v>20269</v>
      </c>
      <c r="E1867" s="2">
        <v>402475</v>
      </c>
      <c r="F1867" s="4">
        <v>20078</v>
      </c>
    </row>
    <row r="1868" spans="1:6" x14ac:dyDescent="0.3">
      <c r="A1868" s="3">
        <v>2017</v>
      </c>
      <c r="B1868" s="1" t="s">
        <v>62</v>
      </c>
      <c r="C1868" s="1" t="s">
        <v>51</v>
      </c>
      <c r="D1868" s="2">
        <v>20065</v>
      </c>
      <c r="E1868" s="2">
        <v>325141</v>
      </c>
      <c r="F1868" s="4">
        <v>24250</v>
      </c>
    </row>
    <row r="1869" spans="1:6" x14ac:dyDescent="0.3">
      <c r="A1869" s="3">
        <v>2017</v>
      </c>
      <c r="B1869" s="1" t="s">
        <v>62</v>
      </c>
      <c r="C1869" s="1" t="s">
        <v>52</v>
      </c>
      <c r="D1869" s="2">
        <v>4646</v>
      </c>
      <c r="E1869" s="2">
        <v>74275</v>
      </c>
      <c r="F1869" s="4">
        <v>17335</v>
      </c>
    </row>
    <row r="1870" spans="1:6" x14ac:dyDescent="0.3">
      <c r="A1870" s="3">
        <v>2017</v>
      </c>
      <c r="B1870" s="1" t="s">
        <v>62</v>
      </c>
      <c r="C1870" s="1" t="s">
        <v>53</v>
      </c>
      <c r="D1870" s="2">
        <v>16599</v>
      </c>
      <c r="E1870" s="2">
        <v>279749</v>
      </c>
      <c r="F1870" s="4">
        <v>17248</v>
      </c>
    </row>
    <row r="1871" spans="1:6" x14ac:dyDescent="0.3">
      <c r="A1871" s="3">
        <v>2017</v>
      </c>
      <c r="B1871" s="1" t="s">
        <v>62</v>
      </c>
      <c r="C1871" s="1" t="s">
        <v>54</v>
      </c>
      <c r="D1871" s="2">
        <v>2355</v>
      </c>
      <c r="E1871" s="2">
        <v>36297</v>
      </c>
      <c r="F1871" s="4">
        <v>19867</v>
      </c>
    </row>
    <row r="1872" spans="1:6" x14ac:dyDescent="0.3">
      <c r="A1872" s="3">
        <v>2017</v>
      </c>
      <c r="B1872" s="1" t="s">
        <v>63</v>
      </c>
      <c r="C1872" s="1" t="s">
        <v>7</v>
      </c>
      <c r="D1872" s="2">
        <v>9603</v>
      </c>
      <c r="E1872" s="2">
        <v>45296</v>
      </c>
      <c r="F1872" s="4">
        <v>36539</v>
      </c>
    </row>
    <row r="1873" spans="1:6" x14ac:dyDescent="0.3">
      <c r="A1873" s="3">
        <v>2017</v>
      </c>
      <c r="B1873" s="1" t="s">
        <v>63</v>
      </c>
      <c r="C1873" s="1" t="s">
        <v>8</v>
      </c>
      <c r="D1873" s="2">
        <v>10297</v>
      </c>
      <c r="E1873" s="2">
        <v>71320</v>
      </c>
      <c r="F1873" s="4">
        <v>37061</v>
      </c>
    </row>
    <row r="1874" spans="1:6" x14ac:dyDescent="0.3">
      <c r="A1874" s="3">
        <v>2017</v>
      </c>
      <c r="B1874" s="1" t="s">
        <v>63</v>
      </c>
      <c r="C1874" s="1" t="s">
        <v>9</v>
      </c>
      <c r="D1874" s="2">
        <v>5315</v>
      </c>
      <c r="E1874" s="2">
        <v>24804</v>
      </c>
      <c r="F1874" s="4">
        <v>33179</v>
      </c>
    </row>
    <row r="1875" spans="1:6" x14ac:dyDescent="0.3">
      <c r="A1875" s="3">
        <v>2017</v>
      </c>
      <c r="B1875" s="1" t="s">
        <v>63</v>
      </c>
      <c r="C1875" s="1" t="s">
        <v>10</v>
      </c>
      <c r="D1875" s="2">
        <v>88470</v>
      </c>
      <c r="E1875" s="2">
        <v>527915</v>
      </c>
      <c r="F1875" s="4">
        <v>40412</v>
      </c>
    </row>
    <row r="1876" spans="1:6" x14ac:dyDescent="0.3">
      <c r="A1876" s="3">
        <v>2017</v>
      </c>
      <c r="B1876" s="1" t="s">
        <v>63</v>
      </c>
      <c r="C1876" s="1" t="s">
        <v>11</v>
      </c>
      <c r="D1876" s="2">
        <v>15777</v>
      </c>
      <c r="E1876" s="2">
        <v>80034</v>
      </c>
      <c r="F1876" s="4">
        <v>39558</v>
      </c>
    </row>
    <row r="1877" spans="1:6" x14ac:dyDescent="0.3">
      <c r="A1877" s="3">
        <v>2017</v>
      </c>
      <c r="B1877" s="1" t="s">
        <v>63</v>
      </c>
      <c r="C1877" s="1" t="s">
        <v>12</v>
      </c>
      <c r="D1877" s="2">
        <v>16529</v>
      </c>
      <c r="E1877" s="2">
        <v>64279</v>
      </c>
      <c r="F1877" s="4">
        <v>33397</v>
      </c>
    </row>
    <row r="1878" spans="1:6" x14ac:dyDescent="0.3">
      <c r="A1878" s="3">
        <v>2017</v>
      </c>
      <c r="B1878" s="1" t="s">
        <v>63</v>
      </c>
      <c r="C1878" s="1" t="s">
        <v>13</v>
      </c>
      <c r="D1878" s="2">
        <v>2003</v>
      </c>
      <c r="E1878" s="2">
        <v>11881</v>
      </c>
      <c r="F1878" s="4">
        <v>33610</v>
      </c>
    </row>
    <row r="1879" spans="1:6" x14ac:dyDescent="0.3">
      <c r="A1879" s="3">
        <v>2017</v>
      </c>
      <c r="B1879" s="1" t="s">
        <v>63</v>
      </c>
      <c r="C1879" s="1" t="s">
        <v>14</v>
      </c>
      <c r="D1879" s="2">
        <v>54928</v>
      </c>
      <c r="E1879" s="2">
        <v>273903</v>
      </c>
      <c r="F1879" s="4">
        <v>35319</v>
      </c>
    </row>
    <row r="1880" spans="1:6" x14ac:dyDescent="0.3">
      <c r="A1880" s="3">
        <v>2017</v>
      </c>
      <c r="B1880" s="1" t="s">
        <v>63</v>
      </c>
      <c r="C1880" s="1" t="s">
        <v>15</v>
      </c>
      <c r="D1880" s="2">
        <v>18097</v>
      </c>
      <c r="E1880" s="2">
        <v>106445</v>
      </c>
      <c r="F1880" s="4">
        <v>35520</v>
      </c>
    </row>
    <row r="1881" spans="1:6" x14ac:dyDescent="0.3">
      <c r="A1881" s="3">
        <v>2017</v>
      </c>
      <c r="B1881" s="1" t="s">
        <v>63</v>
      </c>
      <c r="C1881" s="1" t="s">
        <v>16</v>
      </c>
      <c r="D1881" s="2">
        <v>3888</v>
      </c>
      <c r="E1881" s="2">
        <v>17915</v>
      </c>
      <c r="F1881" s="4">
        <v>30056</v>
      </c>
    </row>
    <row r="1882" spans="1:6" x14ac:dyDescent="0.3">
      <c r="A1882" s="3">
        <v>2017</v>
      </c>
      <c r="B1882" s="1" t="s">
        <v>63</v>
      </c>
      <c r="C1882" s="1" t="s">
        <v>17</v>
      </c>
      <c r="D1882" s="2">
        <v>39500</v>
      </c>
      <c r="E1882" s="2">
        <v>206494</v>
      </c>
      <c r="F1882" s="4">
        <v>41240</v>
      </c>
    </row>
    <row r="1883" spans="1:6" x14ac:dyDescent="0.3">
      <c r="A1883" s="3">
        <v>2017</v>
      </c>
      <c r="B1883" s="1" t="s">
        <v>63</v>
      </c>
      <c r="C1883" s="1" t="s">
        <v>18</v>
      </c>
      <c r="D1883" s="2">
        <v>13113</v>
      </c>
      <c r="E1883" s="2">
        <v>86944</v>
      </c>
      <c r="F1883" s="4">
        <v>31882</v>
      </c>
    </row>
    <row r="1884" spans="1:6" x14ac:dyDescent="0.3">
      <c r="A1884" s="3">
        <v>2017</v>
      </c>
      <c r="B1884" s="1" t="s">
        <v>63</v>
      </c>
      <c r="C1884" s="1" t="s">
        <v>19</v>
      </c>
      <c r="D1884" s="2">
        <v>8710</v>
      </c>
      <c r="E1884" s="2">
        <v>42498</v>
      </c>
      <c r="F1884" s="4">
        <v>33069</v>
      </c>
    </row>
    <row r="1885" spans="1:6" x14ac:dyDescent="0.3">
      <c r="A1885" s="3">
        <v>2017</v>
      </c>
      <c r="B1885" s="1" t="s">
        <v>63</v>
      </c>
      <c r="C1885" s="1" t="s">
        <v>20</v>
      </c>
      <c r="D1885" s="2">
        <v>6031</v>
      </c>
      <c r="E1885" s="2">
        <v>33578</v>
      </c>
      <c r="F1885" s="4">
        <v>33575</v>
      </c>
    </row>
    <row r="1886" spans="1:6" x14ac:dyDescent="0.3">
      <c r="A1886" s="3">
        <v>2017</v>
      </c>
      <c r="B1886" s="1" t="s">
        <v>63</v>
      </c>
      <c r="C1886" s="1" t="s">
        <v>21</v>
      </c>
      <c r="D1886" s="2">
        <v>10912</v>
      </c>
      <c r="E1886" s="2">
        <v>46382</v>
      </c>
      <c r="F1886" s="4">
        <v>32330</v>
      </c>
    </row>
    <row r="1887" spans="1:6" x14ac:dyDescent="0.3">
      <c r="A1887" s="3">
        <v>2017</v>
      </c>
      <c r="B1887" s="1" t="s">
        <v>63</v>
      </c>
      <c r="C1887" s="1" t="s">
        <v>22</v>
      </c>
      <c r="D1887" s="2">
        <v>9250</v>
      </c>
      <c r="E1887" s="2">
        <v>45963</v>
      </c>
      <c r="F1887" s="4">
        <v>36468</v>
      </c>
    </row>
    <row r="1888" spans="1:6" x14ac:dyDescent="0.3">
      <c r="A1888" s="3">
        <v>2017</v>
      </c>
      <c r="B1888" s="1" t="s">
        <v>63</v>
      </c>
      <c r="C1888" s="1" t="s">
        <v>23</v>
      </c>
      <c r="D1888" s="2">
        <v>4028</v>
      </c>
      <c r="E1888" s="2">
        <v>17774</v>
      </c>
      <c r="F1888" s="4">
        <v>32993</v>
      </c>
    </row>
    <row r="1889" spans="1:6" x14ac:dyDescent="0.3">
      <c r="A1889" s="3">
        <v>2017</v>
      </c>
      <c r="B1889" s="1" t="s">
        <v>63</v>
      </c>
      <c r="C1889" s="1" t="s">
        <v>24</v>
      </c>
      <c r="D1889" s="2">
        <v>19506</v>
      </c>
      <c r="E1889" s="2">
        <v>91492</v>
      </c>
      <c r="F1889" s="4">
        <v>41793</v>
      </c>
    </row>
    <row r="1890" spans="1:6" x14ac:dyDescent="0.3">
      <c r="A1890" s="3">
        <v>2017</v>
      </c>
      <c r="B1890" s="1" t="s">
        <v>63</v>
      </c>
      <c r="C1890" s="1" t="s">
        <v>25</v>
      </c>
      <c r="D1890" s="2">
        <v>21677</v>
      </c>
      <c r="E1890" s="2">
        <v>118160</v>
      </c>
      <c r="F1890" s="4">
        <v>37032</v>
      </c>
    </row>
    <row r="1891" spans="1:6" x14ac:dyDescent="0.3">
      <c r="A1891" s="3">
        <v>2017</v>
      </c>
      <c r="B1891" s="1" t="s">
        <v>63</v>
      </c>
      <c r="C1891" s="1" t="s">
        <v>26</v>
      </c>
      <c r="D1891" s="2">
        <v>29930</v>
      </c>
      <c r="E1891" s="2">
        <v>137568</v>
      </c>
      <c r="F1891" s="4">
        <v>32157</v>
      </c>
    </row>
    <row r="1892" spans="1:6" x14ac:dyDescent="0.3">
      <c r="A1892" s="3">
        <v>2017</v>
      </c>
      <c r="B1892" s="1" t="s">
        <v>63</v>
      </c>
      <c r="C1892" s="1" t="s">
        <v>27</v>
      </c>
      <c r="D1892" s="2">
        <v>16226</v>
      </c>
      <c r="E1892" s="2">
        <v>90138</v>
      </c>
      <c r="F1892" s="4">
        <v>33237</v>
      </c>
    </row>
    <row r="1893" spans="1:6" x14ac:dyDescent="0.3">
      <c r="A1893" s="3">
        <v>2017</v>
      </c>
      <c r="B1893" s="1" t="s">
        <v>63</v>
      </c>
      <c r="C1893" s="1" t="s">
        <v>28</v>
      </c>
      <c r="D1893" s="2">
        <v>4726</v>
      </c>
      <c r="E1893" s="2">
        <v>21154</v>
      </c>
      <c r="F1893" s="4">
        <v>33958</v>
      </c>
    </row>
    <row r="1894" spans="1:6" x14ac:dyDescent="0.3">
      <c r="A1894" s="3">
        <v>2017</v>
      </c>
      <c r="B1894" s="1" t="s">
        <v>63</v>
      </c>
      <c r="C1894" s="1" t="s">
        <v>29</v>
      </c>
      <c r="D1894" s="2">
        <v>13734</v>
      </c>
      <c r="E1894" s="2">
        <v>76037</v>
      </c>
      <c r="F1894" s="4">
        <v>32705</v>
      </c>
    </row>
    <row r="1895" spans="1:6" x14ac:dyDescent="0.3">
      <c r="A1895" s="3">
        <v>2017</v>
      </c>
      <c r="B1895" s="1" t="s">
        <v>63</v>
      </c>
      <c r="C1895" s="1" t="s">
        <v>30</v>
      </c>
      <c r="D1895" s="2">
        <v>4094</v>
      </c>
      <c r="E1895" s="2">
        <v>17909</v>
      </c>
      <c r="F1895" s="4">
        <v>29177</v>
      </c>
    </row>
    <row r="1896" spans="1:6" x14ac:dyDescent="0.3">
      <c r="A1896" s="3">
        <v>2017</v>
      </c>
      <c r="B1896" s="1" t="s">
        <v>63</v>
      </c>
      <c r="C1896" s="1" t="s">
        <v>31</v>
      </c>
      <c r="D1896" s="2">
        <v>4671</v>
      </c>
      <c r="E1896" s="2">
        <v>25082</v>
      </c>
      <c r="F1896" s="4">
        <v>31310</v>
      </c>
    </row>
    <row r="1897" spans="1:6" x14ac:dyDescent="0.3">
      <c r="A1897" s="3">
        <v>2017</v>
      </c>
      <c r="B1897" s="1" t="s">
        <v>63</v>
      </c>
      <c r="C1897" s="1" t="s">
        <v>32</v>
      </c>
      <c r="D1897" s="2">
        <v>4959</v>
      </c>
      <c r="E1897" s="2">
        <v>33667</v>
      </c>
      <c r="F1897" s="4">
        <v>36336</v>
      </c>
    </row>
    <row r="1898" spans="1:6" x14ac:dyDescent="0.3">
      <c r="A1898" s="3">
        <v>2017</v>
      </c>
      <c r="B1898" s="1" t="s">
        <v>63</v>
      </c>
      <c r="C1898" s="1" t="s">
        <v>33</v>
      </c>
      <c r="D1898" s="2">
        <v>3871</v>
      </c>
      <c r="E1898" s="2">
        <v>20493</v>
      </c>
      <c r="F1898" s="4">
        <v>36646</v>
      </c>
    </row>
    <row r="1899" spans="1:6" x14ac:dyDescent="0.3">
      <c r="A1899" s="3">
        <v>2017</v>
      </c>
      <c r="B1899" s="1" t="s">
        <v>63</v>
      </c>
      <c r="C1899" s="1" t="s">
        <v>34</v>
      </c>
      <c r="D1899" s="2">
        <v>25881</v>
      </c>
      <c r="E1899" s="2">
        <v>136480</v>
      </c>
      <c r="F1899" s="4">
        <v>35059</v>
      </c>
    </row>
    <row r="1900" spans="1:6" x14ac:dyDescent="0.3">
      <c r="A1900" s="3">
        <v>2017</v>
      </c>
      <c r="B1900" s="1" t="s">
        <v>63</v>
      </c>
      <c r="C1900" s="1" t="s">
        <v>35</v>
      </c>
      <c r="D1900" s="2">
        <v>3961</v>
      </c>
      <c r="E1900" s="2">
        <v>20593</v>
      </c>
      <c r="F1900" s="4">
        <v>32578</v>
      </c>
    </row>
    <row r="1901" spans="1:6" x14ac:dyDescent="0.3">
      <c r="A1901" s="3">
        <v>2017</v>
      </c>
      <c r="B1901" s="1" t="s">
        <v>63</v>
      </c>
      <c r="C1901" s="1" t="s">
        <v>36</v>
      </c>
      <c r="D1901" s="2">
        <v>74536</v>
      </c>
      <c r="E1901" s="2">
        <v>369805</v>
      </c>
      <c r="F1901" s="4">
        <v>40436</v>
      </c>
    </row>
    <row r="1902" spans="1:6" x14ac:dyDescent="0.3">
      <c r="A1902" s="3">
        <v>2017</v>
      </c>
      <c r="B1902" s="1" t="s">
        <v>63</v>
      </c>
      <c r="C1902" s="1" t="s">
        <v>37</v>
      </c>
      <c r="D1902" s="2">
        <v>23024</v>
      </c>
      <c r="E1902" s="2">
        <v>107404</v>
      </c>
      <c r="F1902" s="4">
        <v>33978</v>
      </c>
    </row>
    <row r="1903" spans="1:6" x14ac:dyDescent="0.3">
      <c r="A1903" s="3">
        <v>2017</v>
      </c>
      <c r="B1903" s="1" t="s">
        <v>63</v>
      </c>
      <c r="C1903" s="1" t="s">
        <v>38</v>
      </c>
      <c r="D1903" s="2">
        <v>2040</v>
      </c>
      <c r="E1903" s="2">
        <v>12231</v>
      </c>
      <c r="F1903" s="4">
        <v>34167</v>
      </c>
    </row>
    <row r="1904" spans="1:6" x14ac:dyDescent="0.3">
      <c r="A1904" s="3">
        <v>2017</v>
      </c>
      <c r="B1904" s="1" t="s">
        <v>63</v>
      </c>
      <c r="C1904" s="1" t="s">
        <v>39</v>
      </c>
      <c r="D1904" s="2">
        <v>23601</v>
      </c>
      <c r="E1904" s="2">
        <v>155257</v>
      </c>
      <c r="F1904" s="4">
        <v>33039</v>
      </c>
    </row>
    <row r="1905" spans="1:6" x14ac:dyDescent="0.3">
      <c r="A1905" s="3">
        <v>2017</v>
      </c>
      <c r="B1905" s="1" t="s">
        <v>63</v>
      </c>
      <c r="C1905" s="1" t="s">
        <v>40</v>
      </c>
      <c r="D1905" s="2">
        <v>6751</v>
      </c>
      <c r="E1905" s="2">
        <v>35772</v>
      </c>
      <c r="F1905" s="4">
        <v>34306</v>
      </c>
    </row>
    <row r="1906" spans="1:6" x14ac:dyDescent="0.3">
      <c r="A1906" s="3">
        <v>2017</v>
      </c>
      <c r="B1906" s="1" t="s">
        <v>63</v>
      </c>
      <c r="C1906" s="1" t="s">
        <v>41</v>
      </c>
      <c r="D1906" s="2">
        <v>22753</v>
      </c>
      <c r="E1906" s="2">
        <v>77028</v>
      </c>
      <c r="F1906" s="4">
        <v>31901</v>
      </c>
    </row>
    <row r="1907" spans="1:6" x14ac:dyDescent="0.3">
      <c r="A1907" s="3">
        <v>2017</v>
      </c>
      <c r="B1907" s="1" t="s">
        <v>63</v>
      </c>
      <c r="C1907" s="1" t="s">
        <v>42</v>
      </c>
      <c r="D1907" s="2">
        <v>32259</v>
      </c>
      <c r="E1907" s="2">
        <v>197527</v>
      </c>
      <c r="F1907" s="4">
        <v>32593</v>
      </c>
    </row>
    <row r="1908" spans="1:6" x14ac:dyDescent="0.3">
      <c r="A1908" s="3">
        <v>2017</v>
      </c>
      <c r="B1908" s="1" t="s">
        <v>63</v>
      </c>
      <c r="C1908" s="1" t="s">
        <v>43</v>
      </c>
      <c r="D1908" s="2">
        <v>3395</v>
      </c>
      <c r="E1908" s="2">
        <v>17959</v>
      </c>
      <c r="F1908" s="4">
        <v>32566</v>
      </c>
    </row>
    <row r="1909" spans="1:6" x14ac:dyDescent="0.3">
      <c r="A1909" s="3">
        <v>2017</v>
      </c>
      <c r="B1909" s="1" t="s">
        <v>63</v>
      </c>
      <c r="C1909" s="1" t="s">
        <v>44</v>
      </c>
      <c r="D1909" s="2">
        <v>11490</v>
      </c>
      <c r="E1909" s="2">
        <v>51779</v>
      </c>
      <c r="F1909" s="4">
        <v>32842</v>
      </c>
    </row>
    <row r="1910" spans="1:6" x14ac:dyDescent="0.3">
      <c r="A1910" s="3">
        <v>2017</v>
      </c>
      <c r="B1910" s="1" t="s">
        <v>63</v>
      </c>
      <c r="C1910" s="1" t="s">
        <v>45</v>
      </c>
      <c r="D1910" s="2">
        <v>2171</v>
      </c>
      <c r="E1910" s="2">
        <v>11078</v>
      </c>
      <c r="F1910" s="4">
        <v>31403</v>
      </c>
    </row>
    <row r="1911" spans="1:6" x14ac:dyDescent="0.3">
      <c r="A1911" s="3">
        <v>2017</v>
      </c>
      <c r="B1911" s="1" t="s">
        <v>63</v>
      </c>
      <c r="C1911" s="1" t="s">
        <v>46</v>
      </c>
      <c r="D1911" s="2">
        <v>14618</v>
      </c>
      <c r="E1911" s="2">
        <v>76045</v>
      </c>
      <c r="F1911" s="4">
        <v>34443</v>
      </c>
    </row>
    <row r="1912" spans="1:6" x14ac:dyDescent="0.3">
      <c r="A1912" s="3">
        <v>2017</v>
      </c>
      <c r="B1912" s="1" t="s">
        <v>63</v>
      </c>
      <c r="C1912" s="1" t="s">
        <v>47</v>
      </c>
      <c r="D1912" s="2">
        <v>56060</v>
      </c>
      <c r="E1912" s="2">
        <v>328026</v>
      </c>
      <c r="F1912" s="4">
        <v>37841</v>
      </c>
    </row>
    <row r="1913" spans="1:6" x14ac:dyDescent="0.3">
      <c r="A1913" s="3">
        <v>2017</v>
      </c>
      <c r="B1913" s="1" t="s">
        <v>63</v>
      </c>
      <c r="C1913" s="1" t="s">
        <v>48</v>
      </c>
      <c r="D1913" s="2">
        <v>6084</v>
      </c>
      <c r="E1913" s="2">
        <v>35143</v>
      </c>
      <c r="F1913" s="4">
        <v>34421</v>
      </c>
    </row>
    <row r="1914" spans="1:6" x14ac:dyDescent="0.3">
      <c r="A1914" s="3">
        <v>2017</v>
      </c>
      <c r="B1914" s="1" t="s">
        <v>63</v>
      </c>
      <c r="C1914" s="1" t="s">
        <v>49</v>
      </c>
      <c r="D1914" s="2">
        <v>1958</v>
      </c>
      <c r="E1914" s="2">
        <v>8658</v>
      </c>
      <c r="F1914" s="4">
        <v>34757</v>
      </c>
    </row>
    <row r="1915" spans="1:6" x14ac:dyDescent="0.3">
      <c r="A1915" s="3">
        <v>2017</v>
      </c>
      <c r="B1915" s="1" t="s">
        <v>63</v>
      </c>
      <c r="C1915" s="1" t="s">
        <v>50</v>
      </c>
      <c r="D1915" s="2">
        <v>32154</v>
      </c>
      <c r="E1915" s="2">
        <v>141985</v>
      </c>
      <c r="F1915" s="4">
        <v>42290</v>
      </c>
    </row>
    <row r="1916" spans="1:6" x14ac:dyDescent="0.3">
      <c r="A1916" s="3">
        <v>2017</v>
      </c>
      <c r="B1916" s="1" t="s">
        <v>63</v>
      </c>
      <c r="C1916" s="1" t="s">
        <v>51</v>
      </c>
      <c r="D1916" s="2">
        <v>19701</v>
      </c>
      <c r="E1916" s="2">
        <v>97492</v>
      </c>
      <c r="F1916" s="4">
        <v>38822</v>
      </c>
    </row>
    <row r="1917" spans="1:6" x14ac:dyDescent="0.3">
      <c r="A1917" s="3">
        <v>2017</v>
      </c>
      <c r="B1917" s="1" t="s">
        <v>63</v>
      </c>
      <c r="C1917" s="1" t="s">
        <v>52</v>
      </c>
      <c r="D1917" s="2">
        <v>5237</v>
      </c>
      <c r="E1917" s="2">
        <v>19979</v>
      </c>
      <c r="F1917" s="4">
        <v>29927</v>
      </c>
    </row>
    <row r="1918" spans="1:6" x14ac:dyDescent="0.3">
      <c r="A1918" s="3">
        <v>2017</v>
      </c>
      <c r="B1918" s="1" t="s">
        <v>63</v>
      </c>
      <c r="C1918" s="1" t="s">
        <v>53</v>
      </c>
      <c r="D1918" s="2">
        <v>14001</v>
      </c>
      <c r="E1918" s="2">
        <v>84153</v>
      </c>
      <c r="F1918" s="4">
        <v>29242</v>
      </c>
    </row>
    <row r="1919" spans="1:6" x14ac:dyDescent="0.3">
      <c r="A1919" s="5">
        <v>2017</v>
      </c>
      <c r="B1919" s="6" t="s">
        <v>63</v>
      </c>
      <c r="C1919" s="6" t="s">
        <v>54</v>
      </c>
      <c r="D1919" s="7">
        <v>1656</v>
      </c>
      <c r="E1919" s="7">
        <v>7231</v>
      </c>
      <c r="F1919" s="8">
        <v>35035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229E0-8024-495D-9836-246295BB1EEF}">
  <dimension ref="A1:Z50"/>
  <sheetViews>
    <sheetView zoomScale="90" zoomScaleNormal="90" workbookViewId="0">
      <selection activeCell="F4" sqref="F4"/>
    </sheetView>
  </sheetViews>
  <sheetFormatPr defaultRowHeight="14.4" x14ac:dyDescent="0.3"/>
  <cols>
    <col min="1" max="1" width="19.33203125" bestFit="1" customWidth="1"/>
    <col min="2" max="2" width="23.44140625" bestFit="1" customWidth="1"/>
    <col min="4" max="4" width="20.21875" bestFit="1" customWidth="1"/>
    <col min="5" max="5" width="16.88671875" bestFit="1" customWidth="1"/>
    <col min="6" max="6" width="16.88671875" customWidth="1"/>
    <col min="8" max="8" width="19.33203125" bestFit="1" customWidth="1"/>
    <col min="9" max="9" width="16.88671875" bestFit="1" customWidth="1"/>
    <col min="11" max="11" width="19.33203125" bestFit="1" customWidth="1"/>
    <col min="12" max="12" width="16" bestFit="1" customWidth="1"/>
    <col min="14" max="14" width="8.6640625" bestFit="1" customWidth="1"/>
    <col min="15" max="15" width="16.88671875" bestFit="1" customWidth="1"/>
    <col min="16" max="16" width="15" bestFit="1" customWidth="1"/>
    <col min="18" max="18" width="14.5546875" bestFit="1" customWidth="1"/>
    <col min="19" max="19" width="16.88671875" bestFit="1" customWidth="1"/>
    <col min="20" max="20" width="15.33203125" bestFit="1" customWidth="1"/>
    <col min="21" max="21" width="25.44140625" bestFit="1" customWidth="1"/>
    <col min="22" max="22" width="10.5546875" bestFit="1" customWidth="1"/>
    <col min="23" max="23" width="25.44140625" bestFit="1" customWidth="1"/>
    <col min="25" max="25" width="16.6640625" bestFit="1" customWidth="1"/>
  </cols>
  <sheetData>
    <row r="1" spans="1:26" ht="18" thickBot="1" x14ac:dyDescent="0.4">
      <c r="A1" s="14" t="s">
        <v>64</v>
      </c>
      <c r="B1" s="15"/>
      <c r="D1" s="26" t="s">
        <v>68</v>
      </c>
      <c r="E1" s="18"/>
      <c r="F1" s="18"/>
      <c r="H1" s="26" t="s">
        <v>70</v>
      </c>
      <c r="I1" s="18"/>
      <c r="K1" s="26" t="s">
        <v>70</v>
      </c>
      <c r="L1" s="18"/>
      <c r="N1" s="26" t="s">
        <v>72</v>
      </c>
      <c r="O1" s="18"/>
      <c r="P1" s="30"/>
      <c r="R1" s="39" t="s">
        <v>74</v>
      </c>
      <c r="S1" s="40"/>
      <c r="T1" s="30"/>
      <c r="U1" s="30"/>
      <c r="V1" s="30"/>
      <c r="W1" s="30"/>
      <c r="Y1" s="46" t="s">
        <v>80</v>
      </c>
    </row>
    <row r="2" spans="1:26" ht="16.2" thickBot="1" x14ac:dyDescent="0.35">
      <c r="A2" s="13" t="s">
        <v>1</v>
      </c>
      <c r="B2" s="13" t="s">
        <v>65</v>
      </c>
      <c r="D2" s="19" t="s">
        <v>1</v>
      </c>
      <c r="E2" s="19" t="s">
        <v>5</v>
      </c>
      <c r="F2" s="19" t="s">
        <v>65</v>
      </c>
      <c r="H2" s="19" t="s">
        <v>1</v>
      </c>
      <c r="I2" s="19" t="s">
        <v>69</v>
      </c>
      <c r="K2" s="19" t="s">
        <v>1</v>
      </c>
      <c r="L2" s="19" t="s">
        <v>69</v>
      </c>
      <c r="N2" s="19" t="s">
        <v>0</v>
      </c>
      <c r="O2" s="19" t="s">
        <v>5</v>
      </c>
      <c r="P2" s="19" t="s">
        <v>73</v>
      </c>
      <c r="R2" s="19" t="s">
        <v>2</v>
      </c>
      <c r="S2" s="19" t="s">
        <v>73</v>
      </c>
      <c r="T2" s="19" t="s">
        <v>75</v>
      </c>
      <c r="U2" s="19" t="s">
        <v>76</v>
      </c>
      <c r="V2" s="19" t="s">
        <v>77</v>
      </c>
      <c r="W2" s="19" t="str">
        <f>B18</f>
        <v>Employee Per 1000 Capita</v>
      </c>
      <c r="Y2" s="45">
        <f ca="1">NOW()</f>
        <v>46167.248042939813</v>
      </c>
    </row>
    <row r="3" spans="1:26" ht="15" thickBot="1" x14ac:dyDescent="0.35">
      <c r="A3" s="20" t="s">
        <v>60</v>
      </c>
      <c r="B3" s="23" t="str">
        <f>Dashboard!D10</f>
        <v>Manufacturing</v>
      </c>
      <c r="D3" s="12" t="s">
        <v>58</v>
      </c>
      <c r="E3" s="17">
        <f>AVERAGEIFS(Raw_Data[Avg Annual Wage], Raw_Data[Industry], $D3, Raw_Data[Year], $B$15)</f>
        <v>93586.333333333328</v>
      </c>
      <c r="F3" s="17">
        <f>IF($B$3 = $D3, $E3, 0)</f>
        <v>0</v>
      </c>
      <c r="H3" s="12" t="s">
        <v>57</v>
      </c>
      <c r="I3" s="31">
        <f>SUMIFS(Raw_Data[Employees], Raw_Data[Industry], $H3, Raw_Data[Year], $B$15)</f>
        <v>26277342</v>
      </c>
      <c r="K3" s="12" t="str">
        <f>B3</f>
        <v>Manufacturing</v>
      </c>
      <c r="L3" s="31">
        <f>VLOOKUP($B$3, $H$2:$I$12, 2, 0)</f>
        <v>12058694</v>
      </c>
      <c r="N3" s="12">
        <v>2017</v>
      </c>
      <c r="O3" s="17">
        <f>AVERAGEIFS(Raw_Data[Avg Annual Wage], Raw_Data[Industry], $B$3, Raw_Data[Year], $N3)</f>
        <v>62625.291666666664</v>
      </c>
      <c r="P3" s="31">
        <f>SUMIFS(Raw_Data[Employees], Raw_Data[Industry], $B$3, Raw_Data[Year], $N3)</f>
        <v>12378010</v>
      </c>
      <c r="R3" s="12" t="s">
        <v>7</v>
      </c>
      <c r="S3" s="31">
        <f>SUMIFS(Raw_Data[Employees], Raw_Data[Industry], $B$3, Raw_Data[Year], $B$15, Raw_Data[State], $R3)</f>
        <v>258328</v>
      </c>
      <c r="T3" s="41">
        <v>5024279</v>
      </c>
      <c r="U3" s="42">
        <f>(S3/T3)*1000</f>
        <v>51.415934505229508</v>
      </c>
      <c r="V3" s="43">
        <f>AVERAGEIFS(Raw_Data[Avg Annual Wage], Raw_Data[Industry], $B$3, Raw_Data[Year], $B$15, Raw_Data[State], $R3)</f>
        <v>60387</v>
      </c>
      <c r="W3" s="44">
        <f>IF($W$2=$V$2, -$V3, $U3)</f>
        <v>51.415934505229508</v>
      </c>
      <c r="Y3" s="27"/>
      <c r="Z3" s="27"/>
    </row>
    <row r="4" spans="1:26" x14ac:dyDescent="0.3">
      <c r="A4" s="21" t="s">
        <v>55</v>
      </c>
      <c r="D4" s="1" t="s">
        <v>59</v>
      </c>
      <c r="E4" s="16">
        <f>AVERAGEIFS(Raw_Data[Avg Annual Wage], Raw_Data[Industry], $D4, Raw_Data[Year], $B$15)</f>
        <v>90040.666666666672</v>
      </c>
      <c r="F4" s="16">
        <f t="shared" ref="F4:F12" si="0">IF($B$3 = $D4, $E4, 0)</f>
        <v>0</v>
      </c>
      <c r="H4" s="1" t="s">
        <v>61</v>
      </c>
      <c r="I4" s="28">
        <f>SUMIFS(Raw_Data[Employees], Raw_Data[Industry], $H4, Raw_Data[Year], $B$15)</f>
        <v>22035033</v>
      </c>
      <c r="K4" s="1" t="s">
        <v>71</v>
      </c>
      <c r="L4" s="29">
        <f>SUM(I3:I12) - L3</f>
        <v>104590645</v>
      </c>
      <c r="N4" s="1">
        <v>2018</v>
      </c>
      <c r="O4" s="16">
        <f>AVERAGEIFS(Raw_Data[Avg Annual Wage], Raw_Data[Industry], $B$3, Raw_Data[Year], $N4)</f>
        <v>64166.541666666664</v>
      </c>
      <c r="P4" s="28">
        <f>SUMIFS(Raw_Data[Employees], Raw_Data[Industry], $B$3, Raw_Data[Year], $N4)</f>
        <v>12619732</v>
      </c>
      <c r="R4" s="1" t="s">
        <v>8</v>
      </c>
      <c r="S4" s="28">
        <f>SUMIFS(Raw_Data[Employees], Raw_Data[Industry], $B$3, Raw_Data[Year], $B$15, Raw_Data[State], $R4)</f>
        <v>177110</v>
      </c>
      <c r="T4" s="32">
        <v>7151502</v>
      </c>
      <c r="U4" s="36">
        <f t="shared" ref="U4:U50" si="1">(S4/T4)*1000</f>
        <v>24.765426899132517</v>
      </c>
      <c r="V4" s="37">
        <f>AVERAGEIFS(Raw_Data[Avg Annual Wage], Raw_Data[Industry], $B$3, Raw_Data[Year], $B$15, Raw_Data[State], $R4)</f>
        <v>82375</v>
      </c>
      <c r="W4" s="38">
        <f t="shared" ref="W4:W50" si="2">IF($W$2=$V$2, -$V4, $U4)</f>
        <v>24.765426899132517</v>
      </c>
      <c r="Y4" s="27"/>
    </row>
    <row r="5" spans="1:26" x14ac:dyDescent="0.3">
      <c r="A5" s="21" t="s">
        <v>61</v>
      </c>
      <c r="D5" s="1" t="s">
        <v>60</v>
      </c>
      <c r="E5" s="16">
        <f>AVERAGEIFS(Raw_Data[Avg Annual Wage], Raw_Data[Industry], $D5, Raw_Data[Year], $B$15)</f>
        <v>74713.0625</v>
      </c>
      <c r="F5" s="16">
        <f t="shared" si="0"/>
        <v>0</v>
      </c>
      <c r="H5" s="1" t="s">
        <v>60</v>
      </c>
      <c r="I5" s="28">
        <f>SUMIFS(Raw_Data[Employees], Raw_Data[Industry], $H5, Raw_Data[Year], $B$15)</f>
        <v>20065896</v>
      </c>
      <c r="N5" s="1">
        <v>2019</v>
      </c>
      <c r="O5" s="16">
        <f>AVERAGEIFS(Raw_Data[Avg Annual Wage], Raw_Data[Industry], $B$3, Raw_Data[Year], $N5)</f>
        <v>65480.25</v>
      </c>
      <c r="P5" s="28">
        <f>SUMIFS(Raw_Data[Employees], Raw_Data[Industry], $B$3, Raw_Data[Year], $N5)</f>
        <v>12747753</v>
      </c>
      <c r="R5" s="1" t="s">
        <v>9</v>
      </c>
      <c r="S5" s="28">
        <f>SUMIFS(Raw_Data[Employees], Raw_Data[Industry], $B$3, Raw_Data[Year], $B$15, Raw_Data[State], $R5)</f>
        <v>154922</v>
      </c>
      <c r="T5" s="32">
        <v>3011524</v>
      </c>
      <c r="U5" s="36">
        <f t="shared" si="1"/>
        <v>51.443056738050231</v>
      </c>
      <c r="V5" s="37">
        <f>AVERAGEIFS(Raw_Data[Avg Annual Wage], Raw_Data[Industry], $B$3, Raw_Data[Year], $B$15, Raw_Data[State], $R5)</f>
        <v>51570</v>
      </c>
      <c r="W5" s="38">
        <f t="shared" si="2"/>
        <v>51.443056738050231</v>
      </c>
    </row>
    <row r="6" spans="1:26" x14ac:dyDescent="0.3">
      <c r="A6" s="21" t="s">
        <v>59</v>
      </c>
      <c r="D6" s="1" t="s">
        <v>56</v>
      </c>
      <c r="E6" s="16">
        <f>AVERAGEIFS(Raw_Data[Avg Annual Wage], Raw_Data[Industry], $D6, Raw_Data[Year], $B$15)</f>
        <v>68427.875</v>
      </c>
      <c r="F6" s="16">
        <f t="shared" si="0"/>
        <v>68427.875</v>
      </c>
      <c r="H6" s="1" t="s">
        <v>62</v>
      </c>
      <c r="I6" s="28">
        <f>SUMIFS(Raw_Data[Employees], Raw_Data[Industry], $H6, Raw_Data[Year], $B$15)</f>
        <v>12649500</v>
      </c>
      <c r="N6" s="1">
        <v>2020</v>
      </c>
      <c r="O6" s="16">
        <f>AVERAGEIFS(Raw_Data[Avg Annual Wage], Raw_Data[Industry], $B$3, Raw_Data[Year], $N6)</f>
        <v>68427.875</v>
      </c>
      <c r="P6" s="28">
        <f>SUMIFS(Raw_Data[Employees], Raw_Data[Industry], $B$3, Raw_Data[Year], $N6)</f>
        <v>12058694</v>
      </c>
      <c r="R6" s="1" t="s">
        <v>10</v>
      </c>
      <c r="S6" s="28">
        <f>SUMIFS(Raw_Data[Employees], Raw_Data[Industry], $B$3, Raw_Data[Year], $B$15, Raw_Data[State], $R6)</f>
        <v>1263780</v>
      </c>
      <c r="T6" s="32">
        <v>39538223</v>
      </c>
      <c r="U6" s="36">
        <f t="shared" si="1"/>
        <v>31.963500231156065</v>
      </c>
      <c r="V6" s="37">
        <f>AVERAGEIFS(Raw_Data[Avg Annual Wage], Raw_Data[Industry], $B$3, Raw_Data[Year], $B$15, Raw_Data[State], $R6)</f>
        <v>109888</v>
      </c>
      <c r="W6" s="38">
        <f t="shared" si="2"/>
        <v>31.963500231156065</v>
      </c>
    </row>
    <row r="7" spans="1:26" x14ac:dyDescent="0.3">
      <c r="A7" s="21" t="s">
        <v>58</v>
      </c>
      <c r="D7" s="1" t="s">
        <v>55</v>
      </c>
      <c r="E7" s="16">
        <f>AVERAGEIFS(Raw_Data[Avg Annual Wage], Raw_Data[Industry], $D7, Raw_Data[Year], $B$15)</f>
        <v>63896.895833333336</v>
      </c>
      <c r="F7" s="16">
        <f t="shared" si="0"/>
        <v>0</v>
      </c>
      <c r="H7" s="1" t="s">
        <v>56</v>
      </c>
      <c r="I7" s="28">
        <f>SUMIFS(Raw_Data[Employees], Raw_Data[Industry], $H7, Raw_Data[Year], $B$15)</f>
        <v>12058694</v>
      </c>
      <c r="R7" s="1" t="s">
        <v>11</v>
      </c>
      <c r="S7" s="28">
        <f>SUMIFS(Raw_Data[Employees], Raw_Data[Industry], $B$3, Raw_Data[Year], $B$15, Raw_Data[State], $R7)</f>
        <v>146473</v>
      </c>
      <c r="T7" s="32">
        <v>5773714</v>
      </c>
      <c r="U7" s="36">
        <f t="shared" si="1"/>
        <v>25.368939299729774</v>
      </c>
      <c r="V7" s="37">
        <f>AVERAGEIFS(Raw_Data[Avg Annual Wage], Raw_Data[Industry], $B$3, Raw_Data[Year], $B$15, Raw_Data[State], $R7)</f>
        <v>77207</v>
      </c>
      <c r="W7" s="38">
        <f t="shared" si="2"/>
        <v>25.368939299729774</v>
      </c>
    </row>
    <row r="8" spans="1:26" x14ac:dyDescent="0.3">
      <c r="A8" s="21" t="s">
        <v>62</v>
      </c>
      <c r="D8" s="1" t="s">
        <v>6</v>
      </c>
      <c r="E8" s="16">
        <f>AVERAGEIFS(Raw_Data[Avg Annual Wage], Raw_Data[Industry], $D8, Raw_Data[Year], $B$15)</f>
        <v>55605.9375</v>
      </c>
      <c r="F8" s="16">
        <f t="shared" si="0"/>
        <v>0</v>
      </c>
      <c r="H8" s="1" t="s">
        <v>59</v>
      </c>
      <c r="I8" s="28">
        <f>SUMIFS(Raw_Data[Employees], Raw_Data[Industry], $H8, Raw_Data[Year], $B$15)</f>
        <v>8142043</v>
      </c>
      <c r="R8" s="1" t="s">
        <v>12</v>
      </c>
      <c r="S8" s="28">
        <f>SUMIFS(Raw_Data[Employees], Raw_Data[Industry], $B$3, Raw_Data[Year], $B$15, Raw_Data[State], $R8)</f>
        <v>153812</v>
      </c>
      <c r="T8" s="32">
        <v>3605944</v>
      </c>
      <c r="U8" s="36">
        <f t="shared" si="1"/>
        <v>42.655127201087979</v>
      </c>
      <c r="V8" s="37">
        <f>AVERAGEIFS(Raw_Data[Avg Annual Wage], Raw_Data[Industry], $B$3, Raw_Data[Year], $B$15, Raw_Data[State], $R8)</f>
        <v>87706</v>
      </c>
      <c r="W8" s="38">
        <f t="shared" si="2"/>
        <v>42.655127201087979</v>
      </c>
    </row>
    <row r="9" spans="1:26" x14ac:dyDescent="0.3">
      <c r="A9" s="21" t="s">
        <v>56</v>
      </c>
      <c r="D9" s="1" t="s">
        <v>61</v>
      </c>
      <c r="E9" s="16">
        <f>AVERAGEIFS(Raw_Data[Avg Annual Wage], Raw_Data[Industry], $D9, Raw_Data[Year], $B$15)</f>
        <v>53607.208333333336</v>
      </c>
      <c r="F9" s="16">
        <f t="shared" si="0"/>
        <v>0</v>
      </c>
      <c r="H9" s="1" t="s">
        <v>55</v>
      </c>
      <c r="I9" s="28">
        <f>SUMIFS(Raw_Data[Employees], Raw_Data[Industry], $H9, Raw_Data[Year], $B$15)</f>
        <v>7136444</v>
      </c>
      <c r="R9" s="1" t="s">
        <v>13</v>
      </c>
      <c r="S9" s="28">
        <f>SUMIFS(Raw_Data[Employees], Raw_Data[Industry], $B$3, Raw_Data[Year], $B$15, Raw_Data[State], $R9)</f>
        <v>25520</v>
      </c>
      <c r="T9" s="32">
        <v>989948</v>
      </c>
      <c r="U9" s="36">
        <f t="shared" si="1"/>
        <v>25.779131833187197</v>
      </c>
      <c r="V9" s="37">
        <f>AVERAGEIFS(Raw_Data[Avg Annual Wage], Raw_Data[Industry], $B$3, Raw_Data[Year], $B$15, Raw_Data[State], $R9)</f>
        <v>68049</v>
      </c>
      <c r="W9" s="38">
        <f t="shared" si="2"/>
        <v>25.779131833187197</v>
      </c>
    </row>
    <row r="10" spans="1:26" x14ac:dyDescent="0.3">
      <c r="A10" s="21" t="s">
        <v>6</v>
      </c>
      <c r="D10" s="1" t="s">
        <v>57</v>
      </c>
      <c r="E10" s="16">
        <f>AVERAGEIFS(Raw_Data[Avg Annual Wage], Raw_Data[Industry], $D10, Raw_Data[Year], $B$15)</f>
        <v>49366.8125</v>
      </c>
      <c r="F10" s="16">
        <f t="shared" si="0"/>
        <v>0</v>
      </c>
      <c r="H10" s="1" t="s">
        <v>63</v>
      </c>
      <c r="I10" s="28">
        <f>SUMIFS(Raw_Data[Employees], Raw_Data[Industry], $H10, Raw_Data[Year], $B$15)</f>
        <v>3843699</v>
      </c>
      <c r="R10" s="1" t="s">
        <v>14</v>
      </c>
      <c r="S10" s="28">
        <f>SUMIFS(Raw_Data[Employees], Raw_Data[Industry], $B$3, Raw_Data[Year], $B$15, Raw_Data[State], $R10)</f>
        <v>376070</v>
      </c>
      <c r="T10" s="32">
        <v>21538187</v>
      </c>
      <c r="U10" s="36">
        <f t="shared" si="1"/>
        <v>17.460615417630091</v>
      </c>
      <c r="V10" s="37">
        <f>AVERAGEIFS(Raw_Data[Avg Annual Wage], Raw_Data[Industry], $B$3, Raw_Data[Year], $B$15, Raw_Data[State], $R10)</f>
        <v>66758</v>
      </c>
      <c r="W10" s="38">
        <f t="shared" si="2"/>
        <v>17.460615417630091</v>
      </c>
    </row>
    <row r="11" spans="1:26" x14ac:dyDescent="0.3">
      <c r="A11" s="21" t="s">
        <v>63</v>
      </c>
      <c r="D11" s="1" t="s">
        <v>63</v>
      </c>
      <c r="E11" s="16">
        <f>AVERAGEIFS(Raw_Data[Avg Annual Wage], Raw_Data[Industry], $D11, Raw_Data[Year], $B$15)</f>
        <v>40790.1875</v>
      </c>
      <c r="F11" s="16">
        <f t="shared" si="0"/>
        <v>0</v>
      </c>
      <c r="H11" s="1" t="s">
        <v>58</v>
      </c>
      <c r="I11" s="28">
        <f>SUMIFS(Raw_Data[Employees], Raw_Data[Industry], $H11, Raw_Data[Year], $B$15)</f>
        <v>2677815</v>
      </c>
      <c r="R11" s="1" t="s">
        <v>15</v>
      </c>
      <c r="S11" s="28">
        <f>SUMIFS(Raw_Data[Employees], Raw_Data[Industry], $B$3, Raw_Data[Year], $B$15, Raw_Data[State], $R11)</f>
        <v>382938</v>
      </c>
      <c r="T11" s="32">
        <v>10711908</v>
      </c>
      <c r="U11" s="36">
        <f t="shared" si="1"/>
        <v>35.74881337666455</v>
      </c>
      <c r="V11" s="37">
        <f>AVERAGEIFS(Raw_Data[Avg Annual Wage], Raw_Data[Industry], $B$3, Raw_Data[Year], $B$15, Raw_Data[State], $R11)</f>
        <v>60184</v>
      </c>
      <c r="W11" s="38">
        <f t="shared" si="2"/>
        <v>35.74881337666455</v>
      </c>
    </row>
    <row r="12" spans="1:26" ht="15" thickBot="1" x14ac:dyDescent="0.35">
      <c r="A12" s="22" t="s">
        <v>57</v>
      </c>
      <c r="D12" s="1" t="s">
        <v>62</v>
      </c>
      <c r="E12" s="16">
        <f>AVERAGEIFS(Raw_Data[Avg Annual Wage], Raw_Data[Industry], $D12, Raw_Data[Year], $B$15)</f>
        <v>23286.416666666668</v>
      </c>
      <c r="F12" s="16">
        <f t="shared" si="0"/>
        <v>0</v>
      </c>
      <c r="H12" s="1" t="s">
        <v>6</v>
      </c>
      <c r="I12" s="28">
        <f>SUMIFS(Raw_Data[Employees], Raw_Data[Industry], $H12, Raw_Data[Year], $B$15)</f>
        <v>1762873</v>
      </c>
      <c r="R12" s="1" t="s">
        <v>16</v>
      </c>
      <c r="S12" s="28">
        <f>SUMIFS(Raw_Data[Employees], Raw_Data[Industry], $B$3, Raw_Data[Year], $B$15, Raw_Data[State], $R12)</f>
        <v>67700</v>
      </c>
      <c r="T12" s="32">
        <v>1839106</v>
      </c>
      <c r="U12" s="36">
        <f t="shared" si="1"/>
        <v>36.811363782185474</v>
      </c>
      <c r="V12" s="37">
        <f>AVERAGEIFS(Raw_Data[Avg Annual Wage], Raw_Data[Industry], $B$3, Raw_Data[Year], $B$15, Raw_Data[State], $R12)</f>
        <v>65603</v>
      </c>
      <c r="W12" s="38">
        <f t="shared" si="2"/>
        <v>36.811363782185474</v>
      </c>
    </row>
    <row r="13" spans="1:26" ht="15" thickBot="1" x14ac:dyDescent="0.35">
      <c r="R13" s="1" t="s">
        <v>17</v>
      </c>
      <c r="S13" s="28">
        <f>SUMIFS(Raw_Data[Employees], Raw_Data[Industry], $B$3, Raw_Data[Year], $B$15, Raw_Data[State], $R13)</f>
        <v>554712</v>
      </c>
      <c r="T13" s="32">
        <v>12812508</v>
      </c>
      <c r="U13" s="36">
        <f t="shared" si="1"/>
        <v>43.294568089245288</v>
      </c>
      <c r="V13" s="37">
        <f>AVERAGEIFS(Raw_Data[Avg Annual Wage], Raw_Data[Industry], $B$3, Raw_Data[Year], $B$15, Raw_Data[State], $R13)</f>
        <v>74855</v>
      </c>
      <c r="W13" s="38">
        <f t="shared" si="2"/>
        <v>43.294568089245288</v>
      </c>
    </row>
    <row r="14" spans="1:26" ht="18" thickBot="1" x14ac:dyDescent="0.4">
      <c r="A14" s="14" t="s">
        <v>66</v>
      </c>
      <c r="B14" s="15"/>
      <c r="R14" s="1" t="s">
        <v>18</v>
      </c>
      <c r="S14" s="28">
        <f>SUMIFS(Raw_Data[Employees], Raw_Data[Industry], $B$3, Raw_Data[Year], $B$15, Raw_Data[State], $R14)</f>
        <v>504460</v>
      </c>
      <c r="T14" s="32">
        <v>6785528</v>
      </c>
      <c r="U14" s="36">
        <f t="shared" si="1"/>
        <v>74.343514609327386</v>
      </c>
      <c r="V14" s="37">
        <f>AVERAGEIFS(Raw_Data[Avg Annual Wage], Raw_Data[Industry], $B$3, Raw_Data[Year], $B$15, Raw_Data[State], $R14)</f>
        <v>65092</v>
      </c>
      <c r="W14" s="38">
        <f t="shared" si="2"/>
        <v>74.343514609327386</v>
      </c>
    </row>
    <row r="15" spans="1:26" ht="16.2" thickBot="1" x14ac:dyDescent="0.35">
      <c r="A15" s="24" t="s">
        <v>67</v>
      </c>
      <c r="B15" s="25">
        <v>2020</v>
      </c>
      <c r="R15" s="1" t="s">
        <v>19</v>
      </c>
      <c r="S15" s="28">
        <f>SUMIFS(Raw_Data[Employees], Raw_Data[Industry], $B$3, Raw_Data[Year], $B$15, Raw_Data[State], $R15)</f>
        <v>216615</v>
      </c>
      <c r="T15" s="32">
        <v>3190369</v>
      </c>
      <c r="U15" s="36">
        <f t="shared" si="1"/>
        <v>67.896534852238091</v>
      </c>
      <c r="V15" s="37">
        <f>AVERAGEIFS(Raw_Data[Avg Annual Wage], Raw_Data[Industry], $B$3, Raw_Data[Year], $B$15, Raw_Data[State], $R15)</f>
        <v>63103</v>
      </c>
      <c r="W15" s="38">
        <f t="shared" si="2"/>
        <v>67.896534852238091</v>
      </c>
    </row>
    <row r="16" spans="1:26" ht="15" thickBot="1" x14ac:dyDescent="0.35">
      <c r="R16" s="1" t="s">
        <v>20</v>
      </c>
      <c r="S16" s="28">
        <f>SUMIFS(Raw_Data[Employees], Raw_Data[Industry], $B$3, Raw_Data[Year], $B$15, Raw_Data[State], $R16)</f>
        <v>158784</v>
      </c>
      <c r="T16" s="32">
        <v>2937880</v>
      </c>
      <c r="U16" s="36">
        <f t="shared" si="1"/>
        <v>54.047136030062497</v>
      </c>
      <c r="V16" s="37">
        <f>AVERAGEIFS(Raw_Data[Avg Annual Wage], Raw_Data[Industry], $B$3, Raw_Data[Year], $B$15, Raw_Data[State], $R16)</f>
        <v>62958</v>
      </c>
      <c r="W16" s="38">
        <f t="shared" si="2"/>
        <v>54.047136030062497</v>
      </c>
    </row>
    <row r="17" spans="1:23" ht="18" thickBot="1" x14ac:dyDescent="0.4">
      <c r="A17" s="14" t="s">
        <v>78</v>
      </c>
      <c r="B17" s="15"/>
      <c r="R17" s="1" t="s">
        <v>21</v>
      </c>
      <c r="S17" s="28">
        <f>SUMIFS(Raw_Data[Employees], Raw_Data[Industry], $B$3, Raw_Data[Year], $B$15, Raw_Data[State], $R17)</f>
        <v>235564</v>
      </c>
      <c r="T17" s="32">
        <v>4505836</v>
      </c>
      <c r="U17" s="36">
        <f t="shared" si="1"/>
        <v>52.279754522801099</v>
      </c>
      <c r="V17" s="37">
        <f>AVERAGEIFS(Raw_Data[Avg Annual Wage], Raw_Data[Industry], $B$3, Raw_Data[Year], $B$15, Raw_Data[State], $R17)</f>
        <v>62902</v>
      </c>
      <c r="W17" s="38">
        <f t="shared" si="2"/>
        <v>52.279754522801099</v>
      </c>
    </row>
    <row r="18" spans="1:23" ht="16.2" thickBot="1" x14ac:dyDescent="0.35">
      <c r="A18" s="24" t="s">
        <v>79</v>
      </c>
      <c r="B18" s="33" t="str">
        <f>Dashboard!H10</f>
        <v>Employee Per 1000 Capita</v>
      </c>
      <c r="R18" s="1" t="s">
        <v>22</v>
      </c>
      <c r="S18" s="28">
        <f>SUMIFS(Raw_Data[Employees], Raw_Data[Industry], $B$3, Raw_Data[Year], $B$15, Raw_Data[State], $R18)</f>
        <v>131430</v>
      </c>
      <c r="T18" s="32">
        <v>4657757</v>
      </c>
      <c r="U18" s="36">
        <f t="shared" si="1"/>
        <v>28.217444576863929</v>
      </c>
      <c r="V18" s="37">
        <f>AVERAGEIFS(Raw_Data[Avg Annual Wage], Raw_Data[Industry], $B$3, Raw_Data[Year], $B$15, Raw_Data[State], $R18)</f>
        <v>78183</v>
      </c>
      <c r="W18" s="38">
        <f t="shared" si="2"/>
        <v>28.217444576863929</v>
      </c>
    </row>
    <row r="19" spans="1:23" x14ac:dyDescent="0.3">
      <c r="R19" s="1" t="s">
        <v>23</v>
      </c>
      <c r="S19" s="28">
        <f>SUMIFS(Raw_Data[Employees], Raw_Data[Industry], $B$3, Raw_Data[Year], $B$15, Raw_Data[State], $R19)</f>
        <v>50166</v>
      </c>
      <c r="T19" s="32">
        <v>1362359</v>
      </c>
      <c r="U19" s="36">
        <f t="shared" si="1"/>
        <v>36.822893231519735</v>
      </c>
      <c r="V19" s="37">
        <f>AVERAGEIFS(Raw_Data[Avg Annual Wage], Raw_Data[Industry], $B$3, Raw_Data[Year], $B$15, Raw_Data[State], $R19)</f>
        <v>61682</v>
      </c>
      <c r="W19" s="38">
        <f t="shared" si="2"/>
        <v>36.822893231519735</v>
      </c>
    </row>
    <row r="20" spans="1:23" x14ac:dyDescent="0.3">
      <c r="R20" s="1" t="s">
        <v>24</v>
      </c>
      <c r="S20" s="28">
        <f>SUMIFS(Raw_Data[Employees], Raw_Data[Industry], $B$3, Raw_Data[Year], $B$15, Raw_Data[State], $R20)</f>
        <v>108500</v>
      </c>
      <c r="T20" s="32">
        <v>6177224</v>
      </c>
      <c r="U20" s="36">
        <f t="shared" si="1"/>
        <v>17.564524129285257</v>
      </c>
      <c r="V20" s="37">
        <f>AVERAGEIFS(Raw_Data[Avg Annual Wage], Raw_Data[Industry], $B$3, Raw_Data[Year], $B$15, Raw_Data[State], $R20)</f>
        <v>85426</v>
      </c>
      <c r="W20" s="38">
        <f t="shared" si="2"/>
        <v>17.564524129285257</v>
      </c>
    </row>
    <row r="21" spans="1:23" x14ac:dyDescent="0.3">
      <c r="R21" s="1" t="s">
        <v>25</v>
      </c>
      <c r="S21" s="28">
        <f>SUMIFS(Raw_Data[Employees], Raw_Data[Industry], $B$3, Raw_Data[Year], $B$15, Raw_Data[State], $R21)</f>
        <v>229741</v>
      </c>
      <c r="T21" s="32">
        <v>7029917</v>
      </c>
      <c r="U21" s="36">
        <f t="shared" si="1"/>
        <v>32.680471191907387</v>
      </c>
      <c r="V21" s="37">
        <f>AVERAGEIFS(Raw_Data[Avg Annual Wage], Raw_Data[Industry], $B$3, Raw_Data[Year], $B$15, Raw_Data[State], $R21)</f>
        <v>96190</v>
      </c>
      <c r="W21" s="38">
        <f t="shared" si="2"/>
        <v>32.680471191907387</v>
      </c>
    </row>
    <row r="22" spans="1:23" x14ac:dyDescent="0.3">
      <c r="R22" s="1" t="s">
        <v>26</v>
      </c>
      <c r="S22" s="28">
        <f>SUMIFS(Raw_Data[Employees], Raw_Data[Industry], $B$3, Raw_Data[Year], $B$15, Raw_Data[State], $R22)</f>
        <v>554767</v>
      </c>
      <c r="T22" s="32">
        <v>10077331</v>
      </c>
      <c r="U22" s="36">
        <f t="shared" si="1"/>
        <v>55.050985226147681</v>
      </c>
      <c r="V22" s="37">
        <f>AVERAGEIFS(Raw_Data[Avg Annual Wage], Raw_Data[Industry], $B$3, Raw_Data[Year], $B$15, Raw_Data[State], $R22)</f>
        <v>70769</v>
      </c>
      <c r="W22" s="38">
        <f t="shared" si="2"/>
        <v>55.050985226147681</v>
      </c>
    </row>
    <row r="23" spans="1:23" x14ac:dyDescent="0.3">
      <c r="R23" s="1" t="s">
        <v>27</v>
      </c>
      <c r="S23" s="28">
        <f>SUMIFS(Raw_Data[Employees], Raw_Data[Industry], $B$3, Raw_Data[Year], $B$15, Raw_Data[State], $R23)</f>
        <v>309006</v>
      </c>
      <c r="T23" s="32">
        <v>5706494</v>
      </c>
      <c r="U23" s="36">
        <f t="shared" si="1"/>
        <v>54.149886077160517</v>
      </c>
      <c r="V23" s="37">
        <f>AVERAGEIFS(Raw_Data[Avg Annual Wage], Raw_Data[Industry], $B$3, Raw_Data[Year], $B$15, Raw_Data[State], $R23)</f>
        <v>70870</v>
      </c>
      <c r="W23" s="38">
        <f t="shared" si="2"/>
        <v>54.149886077160517</v>
      </c>
    </row>
    <row r="24" spans="1:23" x14ac:dyDescent="0.3">
      <c r="R24" s="1" t="s">
        <v>28</v>
      </c>
      <c r="S24" s="28">
        <f>SUMIFS(Raw_Data[Employees], Raw_Data[Industry], $B$3, Raw_Data[Year], $B$15, Raw_Data[State], $R24)</f>
        <v>139480</v>
      </c>
      <c r="T24" s="32">
        <v>2961279</v>
      </c>
      <c r="U24" s="36">
        <f t="shared" si="1"/>
        <v>47.101269417707691</v>
      </c>
      <c r="V24" s="37">
        <f>AVERAGEIFS(Raw_Data[Avg Annual Wage], Raw_Data[Industry], $B$3, Raw_Data[Year], $B$15, Raw_Data[State], $R24)</f>
        <v>51918</v>
      </c>
      <c r="W24" s="38">
        <f t="shared" si="2"/>
        <v>47.101269417707691</v>
      </c>
    </row>
    <row r="25" spans="1:23" x14ac:dyDescent="0.3">
      <c r="R25" s="1" t="s">
        <v>29</v>
      </c>
      <c r="S25" s="28">
        <f>SUMIFS(Raw_Data[Employees], Raw_Data[Industry], $B$3, Raw_Data[Year], $B$15, Raw_Data[State], $R25)</f>
        <v>266452</v>
      </c>
      <c r="T25" s="32">
        <v>6154913</v>
      </c>
      <c r="U25" s="36">
        <f t="shared" si="1"/>
        <v>43.290944973552023</v>
      </c>
      <c r="V25" s="37">
        <f>AVERAGEIFS(Raw_Data[Avg Annual Wage], Raw_Data[Industry], $B$3, Raw_Data[Year], $B$15, Raw_Data[State], $R25)</f>
        <v>61836</v>
      </c>
      <c r="W25" s="38">
        <f t="shared" si="2"/>
        <v>43.290944973552023</v>
      </c>
    </row>
    <row r="26" spans="1:23" x14ac:dyDescent="0.3">
      <c r="R26" s="1" t="s">
        <v>30</v>
      </c>
      <c r="S26" s="28">
        <f>SUMIFS(Raw_Data[Employees], Raw_Data[Industry], $B$3, Raw_Data[Year], $B$15, Raw_Data[State], $R26)</f>
        <v>20421</v>
      </c>
      <c r="T26" s="32">
        <v>1084225</v>
      </c>
      <c r="U26" s="36">
        <f t="shared" si="1"/>
        <v>18.83465147916715</v>
      </c>
      <c r="V26" s="37">
        <f>AVERAGEIFS(Raw_Data[Avg Annual Wage], Raw_Data[Industry], $B$3, Raw_Data[Year], $B$15, Raw_Data[State], $R26)</f>
        <v>54178</v>
      </c>
      <c r="W26" s="38">
        <f t="shared" si="2"/>
        <v>18.83465147916715</v>
      </c>
    </row>
    <row r="27" spans="1:23" x14ac:dyDescent="0.3">
      <c r="R27" s="1" t="s">
        <v>31</v>
      </c>
      <c r="S27" s="28">
        <f>SUMIFS(Raw_Data[Employees], Raw_Data[Industry], $B$3, Raw_Data[Year], $B$15, Raw_Data[State], $R27)</f>
        <v>97530</v>
      </c>
      <c r="T27" s="32">
        <v>1961504</v>
      </c>
      <c r="U27" s="36">
        <f t="shared" si="1"/>
        <v>49.722050018761117</v>
      </c>
      <c r="V27" s="37">
        <f>AVERAGEIFS(Raw_Data[Avg Annual Wage], Raw_Data[Industry], $B$3, Raw_Data[Year], $B$15, Raw_Data[State], $R27)</f>
        <v>56492</v>
      </c>
      <c r="W27" s="38">
        <f t="shared" si="2"/>
        <v>49.722050018761117</v>
      </c>
    </row>
    <row r="28" spans="1:23" x14ac:dyDescent="0.3">
      <c r="R28" s="1" t="s">
        <v>32</v>
      </c>
      <c r="S28" s="28">
        <f>SUMIFS(Raw_Data[Employees], Raw_Data[Industry], $B$3, Raw_Data[Year], $B$15, Raw_Data[State], $R28)</f>
        <v>55673</v>
      </c>
      <c r="T28" s="32">
        <v>3104614</v>
      </c>
      <c r="U28" s="36">
        <f t="shared" si="1"/>
        <v>17.932341991629233</v>
      </c>
      <c r="V28" s="37">
        <f>AVERAGEIFS(Raw_Data[Avg Annual Wage], Raw_Data[Industry], $B$3, Raw_Data[Year], $B$15, Raw_Data[State], $R28)</f>
        <v>66821</v>
      </c>
      <c r="W28" s="38">
        <f t="shared" si="2"/>
        <v>17.932341991629233</v>
      </c>
    </row>
    <row r="29" spans="1:23" x14ac:dyDescent="0.3">
      <c r="R29" s="1" t="s">
        <v>33</v>
      </c>
      <c r="S29" s="28">
        <f>SUMIFS(Raw_Data[Employees], Raw_Data[Industry], $B$3, Raw_Data[Year], $B$15, Raw_Data[State], $R29)</f>
        <v>67282</v>
      </c>
      <c r="T29" s="32">
        <v>1377529</v>
      </c>
      <c r="U29" s="36">
        <f t="shared" si="1"/>
        <v>48.842528905017609</v>
      </c>
      <c r="V29" s="37">
        <f>AVERAGEIFS(Raw_Data[Avg Annual Wage], Raw_Data[Industry], $B$3, Raw_Data[Year], $B$15, Raw_Data[State], $R29)</f>
        <v>77769</v>
      </c>
      <c r="W29" s="38">
        <f t="shared" si="2"/>
        <v>48.842528905017609</v>
      </c>
    </row>
    <row r="30" spans="1:23" x14ac:dyDescent="0.3">
      <c r="R30" s="1" t="s">
        <v>34</v>
      </c>
      <c r="S30" s="28">
        <f>SUMIFS(Raw_Data[Employees], Raw_Data[Industry], $B$3, Raw_Data[Year], $B$15, Raw_Data[State], $R30)</f>
        <v>235850</v>
      </c>
      <c r="T30" s="32">
        <v>9288994</v>
      </c>
      <c r="U30" s="36">
        <f t="shared" si="1"/>
        <v>25.390262928364471</v>
      </c>
      <c r="V30" s="37">
        <f>AVERAGEIFS(Raw_Data[Avg Annual Wage], Raw_Data[Industry], $B$3, Raw_Data[Year], $B$15, Raw_Data[State], $R30)</f>
        <v>86277</v>
      </c>
      <c r="W30" s="38">
        <f t="shared" si="2"/>
        <v>25.390262928364471</v>
      </c>
    </row>
    <row r="31" spans="1:23" x14ac:dyDescent="0.3">
      <c r="R31" s="1" t="s">
        <v>35</v>
      </c>
      <c r="S31" s="28">
        <f>SUMIFS(Raw_Data[Employees], Raw_Data[Industry], $B$3, Raw_Data[Year], $B$15, Raw_Data[State], $R31)</f>
        <v>27201</v>
      </c>
      <c r="T31" s="32">
        <v>2117522</v>
      </c>
      <c r="U31" s="36">
        <f t="shared" si="1"/>
        <v>12.845675275156527</v>
      </c>
      <c r="V31" s="37">
        <f>AVERAGEIFS(Raw_Data[Avg Annual Wage], Raw_Data[Industry], $B$3, Raw_Data[Year], $B$15, Raw_Data[State], $R31)</f>
        <v>58794</v>
      </c>
      <c r="W31" s="38">
        <f t="shared" si="2"/>
        <v>12.845675275156527</v>
      </c>
    </row>
    <row r="32" spans="1:23" x14ac:dyDescent="0.3">
      <c r="R32" s="1" t="s">
        <v>36</v>
      </c>
      <c r="S32" s="28">
        <f>SUMIFS(Raw_Data[Employees], Raw_Data[Industry], $B$3, Raw_Data[Year], $B$15, Raw_Data[State], $R32)</f>
        <v>399337</v>
      </c>
      <c r="T32" s="32">
        <v>20201249</v>
      </c>
      <c r="U32" s="36">
        <f t="shared" si="1"/>
        <v>19.767936131077835</v>
      </c>
      <c r="V32" s="37">
        <f>AVERAGEIFS(Raw_Data[Avg Annual Wage], Raw_Data[Industry], $B$3, Raw_Data[Year], $B$15, Raw_Data[State], $R32)</f>
        <v>73103</v>
      </c>
      <c r="W32" s="38">
        <f t="shared" si="2"/>
        <v>19.767936131077835</v>
      </c>
    </row>
    <row r="33" spans="18:23" x14ac:dyDescent="0.3">
      <c r="R33" s="1" t="s">
        <v>37</v>
      </c>
      <c r="S33" s="28">
        <f>SUMIFS(Raw_Data[Employees], Raw_Data[Industry], $B$3, Raw_Data[Year], $B$15, Raw_Data[State], $R33)</f>
        <v>452637</v>
      </c>
      <c r="T33" s="32">
        <v>10439388</v>
      </c>
      <c r="U33" s="36">
        <f t="shared" si="1"/>
        <v>43.358576192397486</v>
      </c>
      <c r="V33" s="37">
        <f>AVERAGEIFS(Raw_Data[Avg Annual Wage], Raw_Data[Industry], $B$3, Raw_Data[Year], $B$15, Raw_Data[State], $R33)</f>
        <v>63281</v>
      </c>
      <c r="W33" s="38">
        <f t="shared" si="2"/>
        <v>43.358576192397486</v>
      </c>
    </row>
    <row r="34" spans="18:23" x14ac:dyDescent="0.3">
      <c r="R34" s="1" t="s">
        <v>38</v>
      </c>
      <c r="S34" s="28">
        <f>SUMIFS(Raw_Data[Employees], Raw_Data[Industry], $B$3, Raw_Data[Year], $B$15, Raw_Data[State], $R34)</f>
        <v>25259</v>
      </c>
      <c r="T34" s="32">
        <v>779094</v>
      </c>
      <c r="U34" s="36">
        <f t="shared" si="1"/>
        <v>32.420991561993802</v>
      </c>
      <c r="V34" s="37">
        <f>AVERAGEIFS(Raw_Data[Avg Annual Wage], Raw_Data[Industry], $B$3, Raw_Data[Year], $B$15, Raw_Data[State], $R34)</f>
        <v>57695</v>
      </c>
      <c r="W34" s="38">
        <f t="shared" si="2"/>
        <v>32.420991561993802</v>
      </c>
    </row>
    <row r="35" spans="18:23" x14ac:dyDescent="0.3">
      <c r="R35" s="1" t="s">
        <v>39</v>
      </c>
      <c r="S35" s="28">
        <f>SUMIFS(Raw_Data[Employees], Raw_Data[Industry], $B$3, Raw_Data[Year], $B$15, Raw_Data[State], $R35)</f>
        <v>653028</v>
      </c>
      <c r="T35" s="32">
        <v>11799448</v>
      </c>
      <c r="U35" s="36">
        <f t="shared" si="1"/>
        <v>55.343944903185303</v>
      </c>
      <c r="V35" s="37">
        <f>AVERAGEIFS(Raw_Data[Avg Annual Wage], Raw_Data[Industry], $B$3, Raw_Data[Year], $B$15, Raw_Data[State], $R35)</f>
        <v>64995</v>
      </c>
      <c r="W35" s="38">
        <f t="shared" si="2"/>
        <v>55.343944903185303</v>
      </c>
    </row>
    <row r="36" spans="18:23" x14ac:dyDescent="0.3">
      <c r="R36" s="1" t="s">
        <v>40</v>
      </c>
      <c r="S36" s="28">
        <f>SUMIFS(Raw_Data[Employees], Raw_Data[Industry], $B$3, Raw_Data[Year], $B$15, Raw_Data[State], $R36)</f>
        <v>131206</v>
      </c>
      <c r="T36" s="32">
        <v>3959353</v>
      </c>
      <c r="U36" s="36">
        <f t="shared" si="1"/>
        <v>33.13824253609112</v>
      </c>
      <c r="V36" s="37">
        <f>AVERAGEIFS(Raw_Data[Avg Annual Wage], Raw_Data[Industry], $B$3, Raw_Data[Year], $B$15, Raw_Data[State], $R36)</f>
        <v>60915</v>
      </c>
      <c r="W36" s="38">
        <f t="shared" si="2"/>
        <v>33.13824253609112</v>
      </c>
    </row>
    <row r="37" spans="18:23" x14ac:dyDescent="0.3">
      <c r="R37" s="1" t="s">
        <v>41</v>
      </c>
      <c r="S37" s="28">
        <f>SUMIFS(Raw_Data[Employees], Raw_Data[Industry], $B$3, Raw_Data[Year], $B$15, Raw_Data[State], $R37)</f>
        <v>184947</v>
      </c>
      <c r="T37" s="32">
        <v>4237256</v>
      </c>
      <c r="U37" s="36">
        <f t="shared" si="1"/>
        <v>43.647823025089821</v>
      </c>
      <c r="V37" s="37">
        <f>AVERAGEIFS(Raw_Data[Avg Annual Wage], Raw_Data[Industry], $B$3, Raw_Data[Year], $B$15, Raw_Data[State], $R37)</f>
        <v>74927</v>
      </c>
      <c r="W37" s="38">
        <f t="shared" si="2"/>
        <v>43.647823025089821</v>
      </c>
    </row>
    <row r="38" spans="18:23" x14ac:dyDescent="0.3">
      <c r="R38" s="1" t="s">
        <v>42</v>
      </c>
      <c r="S38" s="28">
        <f>SUMIFS(Raw_Data[Employees], Raw_Data[Industry], $B$3, Raw_Data[Year], $B$15, Raw_Data[State], $R38)</f>
        <v>537402</v>
      </c>
      <c r="T38" s="32">
        <v>13002700</v>
      </c>
      <c r="U38" s="36">
        <f t="shared" si="1"/>
        <v>41.330031455005503</v>
      </c>
      <c r="V38" s="37">
        <f>AVERAGEIFS(Raw_Data[Avg Annual Wage], Raw_Data[Industry], $B$3, Raw_Data[Year], $B$15, Raw_Data[State], $R38)</f>
        <v>66931</v>
      </c>
      <c r="W38" s="38">
        <f t="shared" si="2"/>
        <v>41.330031455005503</v>
      </c>
    </row>
    <row r="39" spans="18:23" x14ac:dyDescent="0.3">
      <c r="R39" s="1" t="s">
        <v>43</v>
      </c>
      <c r="S39" s="28">
        <f>SUMIFS(Raw_Data[Employees], Raw_Data[Industry], $B$3, Raw_Data[Year], $B$15, Raw_Data[State], $R39)</f>
        <v>37411</v>
      </c>
      <c r="T39" s="32">
        <v>1097379</v>
      </c>
      <c r="U39" s="36">
        <f t="shared" si="1"/>
        <v>34.091230103728975</v>
      </c>
      <c r="V39" s="37">
        <f>AVERAGEIFS(Raw_Data[Avg Annual Wage], Raw_Data[Industry], $B$3, Raw_Data[Year], $B$15, Raw_Data[State], $R39)</f>
        <v>63645</v>
      </c>
      <c r="W39" s="38">
        <f t="shared" si="2"/>
        <v>34.091230103728975</v>
      </c>
    </row>
    <row r="40" spans="18:23" x14ac:dyDescent="0.3">
      <c r="R40" s="1" t="s">
        <v>44</v>
      </c>
      <c r="S40" s="28">
        <f>SUMIFS(Raw_Data[Employees], Raw_Data[Industry], $B$3, Raw_Data[Year], $B$15, Raw_Data[State], $R40)</f>
        <v>244395</v>
      </c>
      <c r="T40" s="32">
        <v>5118425</v>
      </c>
      <c r="U40" s="36">
        <f t="shared" si="1"/>
        <v>47.748086569599046</v>
      </c>
      <c r="V40" s="37">
        <f>AVERAGEIFS(Raw_Data[Avg Annual Wage], Raw_Data[Industry], $B$3, Raw_Data[Year], $B$15, Raw_Data[State], $R40)</f>
        <v>61779</v>
      </c>
      <c r="W40" s="38">
        <f t="shared" si="2"/>
        <v>47.748086569599046</v>
      </c>
    </row>
    <row r="41" spans="18:23" x14ac:dyDescent="0.3">
      <c r="R41" s="1" t="s">
        <v>45</v>
      </c>
      <c r="S41" s="28">
        <f>SUMIFS(Raw_Data[Employees], Raw_Data[Industry], $B$3, Raw_Data[Year], $B$15, Raw_Data[State], $R41)</f>
        <v>43135</v>
      </c>
      <c r="T41" s="32">
        <v>886667</v>
      </c>
      <c r="U41" s="36">
        <f t="shared" si="1"/>
        <v>48.648477951700016</v>
      </c>
      <c r="V41" s="37">
        <f>AVERAGEIFS(Raw_Data[Avg Annual Wage], Raw_Data[Industry], $B$3, Raw_Data[Year], $B$15, Raw_Data[State], $R41)</f>
        <v>53285</v>
      </c>
      <c r="W41" s="38">
        <f t="shared" si="2"/>
        <v>48.648477951700016</v>
      </c>
    </row>
    <row r="42" spans="18:23" x14ac:dyDescent="0.3">
      <c r="R42" s="1" t="s">
        <v>46</v>
      </c>
      <c r="S42" s="28">
        <f>SUMIFS(Raw_Data[Employees], Raw_Data[Industry], $B$3, Raw_Data[Year], $B$15, Raw_Data[State], $R42)</f>
        <v>334972</v>
      </c>
      <c r="T42" s="32">
        <v>6910840</v>
      </c>
      <c r="U42" s="36">
        <f t="shared" si="1"/>
        <v>48.47051877919327</v>
      </c>
      <c r="V42" s="37">
        <f>AVERAGEIFS(Raw_Data[Avg Annual Wage], Raw_Data[Industry], $B$3, Raw_Data[Year], $B$15, Raw_Data[State], $R42)</f>
        <v>63122</v>
      </c>
      <c r="W42" s="38">
        <f t="shared" si="2"/>
        <v>48.47051877919327</v>
      </c>
    </row>
    <row r="43" spans="18:23" x14ac:dyDescent="0.3">
      <c r="R43" s="1" t="s">
        <v>47</v>
      </c>
      <c r="S43" s="28">
        <f>SUMIFS(Raw_Data[Employees], Raw_Data[Industry], $B$3, Raw_Data[Year], $B$15, Raw_Data[State], $R43)</f>
        <v>867807</v>
      </c>
      <c r="T43" s="32">
        <v>29145505</v>
      </c>
      <c r="U43" s="36">
        <f t="shared" si="1"/>
        <v>29.77498588547359</v>
      </c>
      <c r="V43" s="37">
        <f>AVERAGEIFS(Raw_Data[Avg Annual Wage], Raw_Data[Industry], $B$3, Raw_Data[Year], $B$15, Raw_Data[State], $R43)</f>
        <v>81206</v>
      </c>
      <c r="W43" s="38">
        <f t="shared" si="2"/>
        <v>29.77498588547359</v>
      </c>
    </row>
    <row r="44" spans="18:23" x14ac:dyDescent="0.3">
      <c r="R44" s="1" t="s">
        <v>48</v>
      </c>
      <c r="S44" s="28">
        <f>SUMIFS(Raw_Data[Employees], Raw_Data[Industry], $B$3, Raw_Data[Year], $B$15, Raw_Data[State], $R44)</f>
        <v>135571</v>
      </c>
      <c r="T44" s="32">
        <v>3271616</v>
      </c>
      <c r="U44" s="36">
        <f t="shared" si="1"/>
        <v>41.438542909681331</v>
      </c>
      <c r="V44" s="37">
        <f>AVERAGEIFS(Raw_Data[Avg Annual Wage], Raw_Data[Industry], $B$3, Raw_Data[Year], $B$15, Raw_Data[State], $R44)</f>
        <v>61796</v>
      </c>
      <c r="W44" s="38">
        <f t="shared" si="2"/>
        <v>41.438542909681331</v>
      </c>
    </row>
    <row r="45" spans="18:23" x14ac:dyDescent="0.3">
      <c r="R45" s="1" t="s">
        <v>49</v>
      </c>
      <c r="S45" s="28">
        <f>SUMIFS(Raw_Data[Employees], Raw_Data[Industry], $B$3, Raw_Data[Year], $B$15, Raw_Data[State], $R45)</f>
        <v>28176</v>
      </c>
      <c r="T45" s="32">
        <v>643077</v>
      </c>
      <c r="U45" s="36">
        <f t="shared" si="1"/>
        <v>43.814348826034824</v>
      </c>
      <c r="V45" s="37">
        <f>AVERAGEIFS(Raw_Data[Avg Annual Wage], Raw_Data[Industry], $B$3, Raw_Data[Year], $B$15, Raw_Data[State], $R45)</f>
        <v>62352</v>
      </c>
      <c r="W45" s="38">
        <f t="shared" si="2"/>
        <v>43.814348826034824</v>
      </c>
    </row>
    <row r="46" spans="18:23" x14ac:dyDescent="0.3">
      <c r="R46" s="1" t="s">
        <v>50</v>
      </c>
      <c r="S46" s="28">
        <f>SUMIFS(Raw_Data[Employees], Raw_Data[Industry], $B$3, Raw_Data[Year], $B$15, Raw_Data[State], $R46)</f>
        <v>232300</v>
      </c>
      <c r="T46" s="32">
        <v>8631393</v>
      </c>
      <c r="U46" s="36">
        <f t="shared" si="1"/>
        <v>26.913384664561097</v>
      </c>
      <c r="V46" s="37">
        <f>AVERAGEIFS(Raw_Data[Avg Annual Wage], Raw_Data[Industry], $B$3, Raw_Data[Year], $B$15, Raw_Data[State], $R46)</f>
        <v>63958</v>
      </c>
      <c r="W46" s="38">
        <f t="shared" si="2"/>
        <v>26.913384664561097</v>
      </c>
    </row>
    <row r="47" spans="18:23" x14ac:dyDescent="0.3">
      <c r="R47" s="1" t="s">
        <v>51</v>
      </c>
      <c r="S47" s="28">
        <f>SUMIFS(Raw_Data[Employees], Raw_Data[Industry], $B$3, Raw_Data[Year], $B$15, Raw_Data[State], $R47)</f>
        <v>268553</v>
      </c>
      <c r="T47" s="32">
        <v>7705281</v>
      </c>
      <c r="U47" s="36">
        <f t="shared" si="1"/>
        <v>34.853109185764929</v>
      </c>
      <c r="V47" s="37">
        <f>AVERAGEIFS(Raw_Data[Avg Annual Wage], Raw_Data[Industry], $B$3, Raw_Data[Year], $B$15, Raw_Data[State], $R47)</f>
        <v>82000</v>
      </c>
      <c r="W47" s="38">
        <f t="shared" si="2"/>
        <v>34.853109185764929</v>
      </c>
    </row>
    <row r="48" spans="18:23" x14ac:dyDescent="0.3">
      <c r="R48" s="1" t="s">
        <v>52</v>
      </c>
      <c r="S48" s="28">
        <f>SUMIFS(Raw_Data[Employees], Raw_Data[Industry], $B$3, Raw_Data[Year], $B$15, Raw_Data[State], $R48)</f>
        <v>44429</v>
      </c>
      <c r="T48" s="32">
        <v>1793716</v>
      </c>
      <c r="U48" s="36">
        <f t="shared" si="1"/>
        <v>24.769249981602439</v>
      </c>
      <c r="V48" s="37">
        <f>AVERAGEIFS(Raw_Data[Avg Annual Wage], Raw_Data[Industry], $B$3, Raw_Data[Year], $B$15, Raw_Data[State], $R48)</f>
        <v>62359</v>
      </c>
      <c r="W48" s="38">
        <f t="shared" si="2"/>
        <v>24.769249981602439</v>
      </c>
    </row>
    <row r="49" spans="18:23" x14ac:dyDescent="0.3">
      <c r="R49" s="1" t="s">
        <v>53</v>
      </c>
      <c r="S49" s="28">
        <f>SUMIFS(Raw_Data[Employees], Raw_Data[Industry], $B$3, Raw_Data[Year], $B$15, Raw_Data[State], $R49)</f>
        <v>458262</v>
      </c>
      <c r="T49" s="32">
        <v>5893718</v>
      </c>
      <c r="U49" s="36">
        <f t="shared" si="1"/>
        <v>77.75431400009299</v>
      </c>
      <c r="V49" s="37">
        <f>AVERAGEIFS(Raw_Data[Avg Annual Wage], Raw_Data[Industry], $B$3, Raw_Data[Year], $B$15, Raw_Data[State], $R49)</f>
        <v>61039</v>
      </c>
      <c r="W49" s="38">
        <f t="shared" si="2"/>
        <v>77.75431400009299</v>
      </c>
    </row>
    <row r="50" spans="18:23" x14ac:dyDescent="0.3">
      <c r="R50" s="1" t="s">
        <v>54</v>
      </c>
      <c r="S50" s="28">
        <f>SUMIFS(Raw_Data[Employees], Raw_Data[Industry], $B$3, Raw_Data[Year], $B$15, Raw_Data[State], $R50)</f>
        <v>9580</v>
      </c>
      <c r="T50" s="32">
        <v>576851</v>
      </c>
      <c r="U50" s="36">
        <f t="shared" si="1"/>
        <v>16.607408152191816</v>
      </c>
      <c r="V50" s="37">
        <f>AVERAGEIFS(Raw_Data[Avg Annual Wage], Raw_Data[Industry], $B$3, Raw_Data[Year], $B$15, Raw_Data[State], $R50)</f>
        <v>70308</v>
      </c>
      <c r="W50" s="38">
        <f t="shared" si="2"/>
        <v>16.607408152191816</v>
      </c>
    </row>
  </sheetData>
  <sortState xmlns:xlrd2="http://schemas.microsoft.com/office/spreadsheetml/2017/richdata2" ref="H3:I12">
    <sortCondition descending="1" ref="I3:I12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FC53A-AC9B-4EB1-8E22-C2DA7D1072A1}">
  <dimension ref="A1:H10"/>
  <sheetViews>
    <sheetView showGridLines="0" zoomScale="90" zoomScaleNormal="90" workbookViewId="0">
      <selection activeCell="H10" sqref="H10"/>
    </sheetView>
  </sheetViews>
  <sheetFormatPr defaultRowHeight="14.4" x14ac:dyDescent="0.3"/>
  <cols>
    <col min="1" max="1" width="11.33203125" customWidth="1"/>
    <col min="2" max="2" width="8.88671875" customWidth="1"/>
    <col min="3" max="3" width="19.88671875" style="34" customWidth="1"/>
    <col min="4" max="4" width="22.44140625" style="34" customWidth="1"/>
    <col min="5" max="5" width="20.77734375" style="34" customWidth="1"/>
    <col min="6" max="6" width="25.33203125" style="34" customWidth="1"/>
    <col min="7" max="7" width="16.33203125" style="34" customWidth="1"/>
    <col min="8" max="8" width="25.33203125" style="34" customWidth="1"/>
    <col min="9" max="16384" width="8.88671875" style="34"/>
  </cols>
  <sheetData>
    <row r="1" spans="4:8" customFormat="1" x14ac:dyDescent="0.3"/>
    <row r="2" spans="4:8" customFormat="1" x14ac:dyDescent="0.3"/>
    <row r="3" spans="4:8" customFormat="1" x14ac:dyDescent="0.3"/>
    <row r="4" spans="4:8" customFormat="1" x14ac:dyDescent="0.3"/>
    <row r="7" spans="4:8" ht="13.8" customHeight="1" x14ac:dyDescent="0.3"/>
    <row r="8" spans="4:8" ht="2.4" customHeight="1" x14ac:dyDescent="0.3"/>
    <row r="9" spans="4:8" ht="0.6" customHeight="1" thickBot="1" x14ac:dyDescent="0.35"/>
    <row r="10" spans="4:8" ht="16.2" thickBot="1" x14ac:dyDescent="0.35">
      <c r="D10" s="35" t="s">
        <v>56</v>
      </c>
      <c r="F10" s="35">
        <v>2020</v>
      </c>
      <c r="H10" s="35" t="s">
        <v>76</v>
      </c>
    </row>
  </sheetData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2715EE9-1F54-47CE-BAAD-B85634998A20}">
          <x14:formula1>
            <xm:f>Data_Prep!$A$3:$A$12</xm:f>
          </x14:formula1>
          <xm:sqref>D10</xm:sqref>
        </x14:dataValidation>
        <x14:dataValidation type="list" allowBlank="1" showInputMessage="1" showErrorMessage="1" xr:uid="{6C7DAFFC-4D4E-4A9E-A776-FC1021448B57}">
          <x14:formula1>
            <xm:f>Data_Prep!$U$2:$V$2</xm:f>
          </x14:formula1>
          <xm:sqref>H10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Raw_Data</vt:lpstr>
      <vt:lpstr>Data_Prep</vt:lpstr>
      <vt:lpstr>Dashboard</vt:lpstr>
      <vt:lpstr>Date_Time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Ranjan Maity</dc:creator>
  <cp:lastModifiedBy>Ranjan Maity</cp:lastModifiedBy>
  <dcterms:created xsi:type="dcterms:W3CDTF">2026-05-24T05:16:04Z</dcterms:created>
  <dcterms:modified xsi:type="dcterms:W3CDTF">2026-05-25T00:32:48Z</dcterms:modified>
</cp:coreProperties>
</file>