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AN\Desktop\A.) Module - 1\A.) Excel Problems\3.) Excel for MIS\H.) Projects\C.) Mojo Career Project\"/>
    </mc:Choice>
  </mc:AlternateContent>
  <xr:revisionPtr revIDLastSave="0" documentId="13_ncr:1_{82E3FF64-E26F-4F57-A76A-B4F6FD936415}" xr6:coauthVersionLast="47" xr6:coauthVersionMax="47" xr10:uidLastSave="{00000000-0000-0000-0000-000000000000}"/>
  <bookViews>
    <workbookView xWindow="-108" yWindow="-108" windowWidth="23256" windowHeight="12456" activeTab="2" xr2:uid="{9764D514-E4A7-40A1-801E-2C60A73522A9}"/>
  </bookViews>
  <sheets>
    <sheet name="Data" sheetId="1" r:id="rId1"/>
    <sheet name="Data Prep" sheetId="2" r:id="rId2"/>
    <sheet name="Dashboard" sheetId="3" r:id="rId3"/>
  </sheets>
  <definedNames>
    <definedName name="_xlchart.v5.0" hidden="1">'Data Prep'!$R$2</definedName>
    <definedName name="_xlchart.v5.1" hidden="1">'Data Prep'!$R$3:$R$50</definedName>
    <definedName name="_xlchart.v5.2" hidden="1">'Data Prep'!$W$2</definedName>
    <definedName name="_xlchart.v5.3" hidden="1">'Data Prep'!$W$3:$W$50</definedName>
    <definedName name="Date_Time">'Data Prep'!$AE$3</definedName>
    <definedName name="Industry_Filter">'Data Prep'!$B$3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E9" i="3" a="1"/>
  <c r="AE3" i="2"/>
  <c r="G9" i="3"/>
  <c r="I8" i="2"/>
  <c r="I5" i="2"/>
  <c r="I7" i="2"/>
  <c r="I9" i="2"/>
  <c r="I12" i="2"/>
  <c r="I4" i="2"/>
  <c r="I3" i="2"/>
  <c r="I10" i="2"/>
  <c r="I6" i="2"/>
  <c r="I11" i="2"/>
  <c r="E7" i="2"/>
  <c r="E9" i="2"/>
  <c r="E4" i="2"/>
  <c r="E3" i="2"/>
  <c r="E12" i="2"/>
  <c r="E6" i="2"/>
  <c r="E8" i="2"/>
  <c r="E11" i="2"/>
  <c r="E10" i="2"/>
  <c r="E5" i="2"/>
  <c r="B3" i="2" l="1"/>
  <c r="W2" i="2"/>
  <c r="S40" i="2"/>
  <c r="S41" i="2"/>
  <c r="S42" i="2"/>
  <c r="S43" i="2"/>
  <c r="S44" i="2"/>
  <c r="S45" i="2"/>
  <c r="S46" i="2"/>
  <c r="S47" i="2"/>
  <c r="S48" i="2"/>
  <c r="S49" i="2"/>
  <c r="S50" i="2"/>
  <c r="S3" i="2"/>
  <c r="P4" i="2"/>
  <c r="P5" i="2"/>
  <c r="P6" i="2"/>
  <c r="P3" i="2"/>
  <c r="O4" i="2"/>
  <c r="S13" i="2"/>
  <c r="S23" i="2"/>
  <c r="K3" i="2"/>
  <c r="V12" i="2"/>
  <c r="V19" i="2"/>
  <c r="V22" i="2"/>
  <c r="V25" i="2"/>
  <c r="V28" i="2"/>
  <c r="V31" i="2"/>
  <c r="V33" i="2"/>
  <c r="V36" i="2"/>
  <c r="V40" i="2"/>
  <c r="V44" i="2"/>
  <c r="V47" i="2"/>
  <c r="S4" i="2"/>
  <c r="S20" i="2" l="1"/>
  <c r="V4" i="2"/>
  <c r="F3" i="2"/>
  <c r="F11" i="2"/>
  <c r="F7" i="2"/>
  <c r="F9" i="2"/>
  <c r="F12" i="2"/>
  <c r="F10" i="2"/>
  <c r="F4" i="2"/>
  <c r="O5" i="2"/>
  <c r="O6" i="2"/>
  <c r="V13" i="2"/>
  <c r="V24" i="2"/>
  <c r="V30" i="2"/>
  <c r="V35" i="2"/>
  <c r="V39" i="2"/>
  <c r="V50" i="2"/>
  <c r="S8" i="2"/>
  <c r="S17" i="2"/>
  <c r="S22" i="2"/>
  <c r="S35" i="2"/>
  <c r="V7" i="2"/>
  <c r="V43" i="2"/>
  <c r="S7" i="2"/>
  <c r="S12" i="2"/>
  <c r="S18" i="2"/>
  <c r="S26" i="2"/>
  <c r="S31" i="2"/>
  <c r="V8" i="2"/>
  <c r="S16" i="2"/>
  <c r="S29" i="2"/>
  <c r="V10" i="2"/>
  <c r="V14" i="2"/>
  <c r="V15" i="2"/>
  <c r="V16" i="2"/>
  <c r="V17" i="2"/>
  <c r="V20" i="2"/>
  <c r="V21" i="2"/>
  <c r="V23" i="2"/>
  <c r="V26" i="2"/>
  <c r="V29" i="2"/>
  <c r="V32" i="2"/>
  <c r="V34" i="2"/>
  <c r="V38" i="2"/>
  <c r="V41" i="2"/>
  <c r="V46" i="2"/>
  <c r="V49" i="2"/>
  <c r="S5" i="2"/>
  <c r="S11" i="2"/>
  <c r="S9" i="2"/>
  <c r="S14" i="2"/>
  <c r="S19" i="2"/>
  <c r="S25" i="2"/>
  <c r="S28" i="2"/>
  <c r="S38" i="2"/>
  <c r="L3" i="2"/>
  <c r="V11" i="2"/>
  <c r="S24" i="2"/>
  <c r="S33" i="2"/>
  <c r="S39" i="2"/>
  <c r="V6" i="2"/>
  <c r="S34" i="2"/>
  <c r="V9" i="2"/>
  <c r="V27" i="2"/>
  <c r="V37" i="2"/>
  <c r="V42" i="2"/>
  <c r="V45" i="2"/>
  <c r="V3" i="2"/>
  <c r="S6" i="2"/>
  <c r="S15" i="2"/>
  <c r="S21" i="2"/>
  <c r="S27" i="2"/>
  <c r="S30" i="2"/>
  <c r="S37" i="2"/>
  <c r="O3" i="2"/>
  <c r="V5" i="2"/>
  <c r="S10" i="2"/>
  <c r="S32" i="2"/>
  <c r="S36" i="2"/>
  <c r="V18" i="2"/>
  <c r="V48" i="2"/>
  <c r="F6" i="2"/>
  <c r="F8" i="2"/>
  <c r="F5" i="2"/>
  <c r="U3" i="2"/>
  <c r="U42" i="2"/>
  <c r="U43" i="2"/>
  <c r="U44" i="2"/>
  <c r="U45" i="2"/>
  <c r="U46" i="2"/>
  <c r="U47" i="2"/>
  <c r="U48" i="2"/>
  <c r="U49" i="2"/>
  <c r="U50" i="2"/>
  <c r="U4" i="2"/>
  <c r="U13" i="2"/>
  <c r="U23" i="2"/>
  <c r="U40" i="2"/>
  <c r="U41" i="2"/>
  <c r="U20" i="2" l="1"/>
  <c r="U14" i="2"/>
  <c r="U10" i="2"/>
  <c r="U5" i="2"/>
  <c r="U11" i="2"/>
  <c r="U8" i="2"/>
  <c r="U12" i="2"/>
  <c r="U18" i="2"/>
  <c r="U25" i="2"/>
  <c r="U6" i="2"/>
  <c r="U7" i="2"/>
  <c r="U15" i="2"/>
  <c r="U16" i="2"/>
  <c r="U17" i="2"/>
  <c r="U19" i="2"/>
  <c r="U21" i="2"/>
  <c r="U22" i="2"/>
  <c r="U24" i="2"/>
  <c r="U26" i="2"/>
  <c r="U27" i="2"/>
  <c r="U28" i="2"/>
  <c r="U29" i="2"/>
  <c r="U30" i="2"/>
  <c r="U31" i="2"/>
  <c r="U32" i="2"/>
  <c r="U34" i="2"/>
  <c r="U35" i="2"/>
  <c r="U37" i="2"/>
  <c r="U38" i="2"/>
  <c r="U9" i="2"/>
  <c r="U33" i="2"/>
  <c r="U39" i="2"/>
  <c r="L4" i="2"/>
  <c r="L5" i="2" s="1"/>
  <c r="U36" i="2"/>
  <c r="AB3" i="2"/>
  <c r="AC3" i="2"/>
  <c r="W3" i="2"/>
  <c r="W23" i="2"/>
  <c r="W41" i="2"/>
  <c r="W40" i="2"/>
  <c r="W4" i="2"/>
  <c r="W13" i="2"/>
  <c r="W42" i="2"/>
  <c r="W43" i="2"/>
  <c r="W44" i="2"/>
  <c r="W45" i="2"/>
  <c r="W46" i="2"/>
  <c r="W47" i="2"/>
  <c r="W48" i="2"/>
  <c r="W49" i="2"/>
  <c r="W50" i="2"/>
  <c r="W20" i="2" l="1"/>
  <c r="W38" i="2"/>
  <c r="W9" i="2"/>
  <c r="W37" i="2"/>
  <c r="W21" i="2"/>
  <c r="W22" i="2"/>
  <c r="W29" i="2"/>
  <c r="W18" i="2"/>
  <c r="W5" i="2"/>
  <c r="W6" i="2"/>
  <c r="W7" i="2"/>
  <c r="W14" i="2"/>
  <c r="W15" i="2"/>
  <c r="W24" i="2"/>
  <c r="W26" i="2"/>
  <c r="W27" i="2"/>
  <c r="W28" i="2"/>
  <c r="W30" i="2"/>
  <c r="W31" i="2"/>
  <c r="W32" i="2"/>
  <c r="W33" i="2"/>
  <c r="W34" i="2"/>
  <c r="W35" i="2"/>
  <c r="W36" i="2"/>
  <c r="W39" i="2"/>
  <c r="W8" i="2"/>
  <c r="W10" i="2"/>
  <c r="W11" i="2"/>
  <c r="W12" i="2"/>
  <c r="W16" i="2"/>
  <c r="W17" i="2"/>
  <c r="W19" i="2"/>
  <c r="W25" i="2"/>
  <c r="Y3" i="2"/>
  <c r="Z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<sst xmlns="http://schemas.openxmlformats.org/spreadsheetml/2006/main" count="3958" uniqueCount="84">
  <si>
    <t>Year</t>
  </si>
  <si>
    <t>Industry</t>
  </si>
  <si>
    <t>State</t>
  </si>
  <si>
    <t>Establishments</t>
  </si>
  <si>
    <t>Employees</t>
  </si>
  <si>
    <t>Avg Annual Wage</t>
  </si>
  <si>
    <t>Natural Resources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</si>
  <si>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</si>
  <si>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</si>
  <si>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</si>
  <si>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</si>
  <si>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</si>
  <si>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</si>
  <si>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</si>
  <si>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</si>
  <si>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</si>
  <si>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</si>
  <si>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</si>
  <si>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</si>
  <si>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</si>
  <si>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</si>
  <si>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</si>
  <si>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</si>
  <si>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</si>
  <si>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</si>
  <si>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</si>
  <si>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</si>
  <si>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</si>
  <si>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</si>
  <si>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</si>
  <si>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</si>
  <si>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</si>
  <si>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</si>
  <si>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</si>
  <si>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</si>
  <si>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</si>
  <si>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</si>
  <si>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</si>
  <si>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</si>
  <si>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</si>
  <si>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</si>
  <si>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</si>
  <si>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</si>
  <si>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</si>
  <si>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</si>
  <si>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</si>
  <si>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</si>
  <si>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</si>
  <si>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</si>
  <si>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</si>
  <si>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</si>
  <si>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</si>
  <si>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</si>
  <si>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</si>
  <si>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</si>
  <si>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Construction</t>
  </si>
  <si>
    <t>Manufacturing</t>
  </si>
  <si>
    <t>Trade &amp; Transportation</t>
  </si>
  <si>
    <t>Information</t>
  </si>
  <si>
    <t>Finance</t>
  </si>
  <si>
    <t>Business Services</t>
  </si>
  <si>
    <t>Education &amp; Health</t>
  </si>
  <si>
    <t>Leisure &amp; Hospitality</t>
  </si>
  <si>
    <t>Other Services</t>
  </si>
  <si>
    <t>Industry Filter</t>
  </si>
  <si>
    <t>Selection</t>
  </si>
  <si>
    <t>Date Filter</t>
  </si>
  <si>
    <t>Current Year</t>
  </si>
  <si>
    <t>Average Wage by Industry</t>
  </si>
  <si>
    <t>Employee by Industry</t>
  </si>
  <si>
    <t>Employee</t>
  </si>
  <si>
    <t>Others</t>
  </si>
  <si>
    <t>Avg Wage</t>
  </si>
  <si>
    <t>Wage &amp; Employee Trends</t>
  </si>
  <si>
    <t>Emplloyee</t>
  </si>
  <si>
    <t>Comparison by State</t>
  </si>
  <si>
    <t>Population</t>
  </si>
  <si>
    <t>Employee Per 1000 Capita</t>
  </si>
  <si>
    <t>Map Filter</t>
  </si>
  <si>
    <t>Metric</t>
  </si>
  <si>
    <t>Max</t>
  </si>
  <si>
    <t>Min</t>
  </si>
  <si>
    <t>Date &amp; Time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</si>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</sst>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&quot;$&quot;#,##0"/>
    <numFmt numFmtId="165" formatCode="[$$-409]#,##0"/>
    <numFmt numFmtId="166" formatCode="_ * #,##0_ ;_ * \-#,##0_ ;_ * &quot;-&quot;??_ ;_ @_ "/>
    <numFmt numFmtId="167" formatCode="#,##0;#,##0"/>
    <numFmt numFmtId="168" formatCode=";;;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"/>
      <color theme="0"/>
      <name val="Calibri"/>
      <family val="2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6" tint="0.39997558519241921"/>
        <bgColor theme="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Continuous" vertical="center"/>
    </xf>
    <xf numFmtId="0" fontId="0" fillId="2" borderId="5" xfId="0" applyFill="1" applyBorder="1" applyAlignment="1">
      <alignment horizontal="centerContinuous"/>
    </xf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4" xfId="0" applyBorder="1"/>
    <xf numFmtId="165" fontId="0" fillId="0" borderId="3" xfId="0" applyNumberFormat="1" applyBorder="1"/>
    <xf numFmtId="165" fontId="0" fillId="0" borderId="7" xfId="0" applyNumberFormat="1" applyBorder="1"/>
    <xf numFmtId="165" fontId="0" fillId="0" borderId="4" xfId="0" applyNumberFormat="1" applyBorder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66" fontId="0" fillId="0" borderId="8" xfId="1" applyNumberFormat="1" applyFont="1" applyBorder="1"/>
    <xf numFmtId="166" fontId="0" fillId="0" borderId="9" xfId="1" applyNumberFormat="1" applyFont="1" applyBorder="1"/>
    <xf numFmtId="166" fontId="0" fillId="0" borderId="10" xfId="1" applyNumberFormat="1" applyFont="1" applyBorder="1"/>
    <xf numFmtId="166" fontId="0" fillId="0" borderId="12" xfId="1" applyNumberFormat="1" applyFont="1" applyBorder="1"/>
    <xf numFmtId="166" fontId="0" fillId="0" borderId="14" xfId="1" applyNumberFormat="1" applyFont="1" applyBorder="1"/>
    <xf numFmtId="166" fontId="0" fillId="0" borderId="11" xfId="1" applyNumberFormat="1" applyFont="1" applyBorder="1"/>
    <xf numFmtId="3" fontId="0" fillId="0" borderId="13" xfId="0" applyNumberFormat="1" applyBorder="1" applyAlignment="1">
      <alignment horizontal="right" vertical="center" wrapText="1"/>
    </xf>
    <xf numFmtId="3" fontId="0" fillId="0" borderId="12" xfId="0" applyNumberFormat="1" applyBorder="1" applyAlignment="1">
      <alignment horizontal="right" vertical="center" wrapText="1"/>
    </xf>
    <xf numFmtId="166" fontId="0" fillId="0" borderId="12" xfId="0" applyNumberFormat="1" applyBorder="1"/>
    <xf numFmtId="166" fontId="0" fillId="0" borderId="13" xfId="0" applyNumberFormat="1" applyBorder="1"/>
    <xf numFmtId="0" fontId="0" fillId="2" borderId="0" xfId="0" applyFill="1" applyAlignment="1">
      <alignment horizontal="centerContinuous"/>
    </xf>
    <xf numFmtId="0" fontId="3" fillId="2" borderId="2" xfId="0" applyFont="1" applyFill="1" applyBorder="1" applyAlignment="1">
      <alignment horizontal="centerContinuous" vertical="center"/>
    </xf>
    <xf numFmtId="0" fontId="0" fillId="0" borderId="16" xfId="0" applyBorder="1"/>
    <xf numFmtId="165" fontId="0" fillId="0" borderId="17" xfId="0" applyNumberFormat="1" applyBorder="1"/>
    <xf numFmtId="165" fontId="0" fillId="0" borderId="18" xfId="0" applyNumberFormat="1" applyBorder="1"/>
    <xf numFmtId="0" fontId="0" fillId="0" borderId="19" xfId="0" applyBorder="1"/>
    <xf numFmtId="166" fontId="0" fillId="0" borderId="20" xfId="1" applyNumberFormat="1" applyFont="1" applyBorder="1"/>
    <xf numFmtId="3" fontId="0" fillId="0" borderId="20" xfId="0" applyNumberFormat="1" applyBorder="1" applyAlignment="1">
      <alignment horizontal="right" vertical="center" wrapText="1"/>
    </xf>
    <xf numFmtId="166" fontId="0" fillId="0" borderId="20" xfId="0" applyNumberFormat="1" applyBorder="1"/>
    <xf numFmtId="165" fontId="0" fillId="0" borderId="21" xfId="0" applyNumberFormat="1" applyBorder="1"/>
    <xf numFmtId="167" fontId="0" fillId="0" borderId="15" xfId="0" applyNumberFormat="1" applyBorder="1"/>
    <xf numFmtId="166" fontId="0" fillId="0" borderId="19" xfId="0" applyNumberFormat="1" applyBorder="1"/>
    <xf numFmtId="166" fontId="0" fillId="0" borderId="21" xfId="0" applyNumberFormat="1" applyBorder="1"/>
    <xf numFmtId="165" fontId="0" fillId="0" borderId="19" xfId="0" applyNumberFormat="1" applyBorder="1"/>
    <xf numFmtId="0" fontId="3" fillId="2" borderId="2" xfId="2" applyFont="1" applyFill="1" applyBorder="1" applyAlignment="1">
      <alignment horizontal="centerContinuous" vertical="center"/>
    </xf>
    <xf numFmtId="0" fontId="6" fillId="2" borderId="1" xfId="0" applyFont="1" applyFill="1" applyBorder="1" applyAlignment="1">
      <alignment horizontal="center" vertical="center"/>
    </xf>
    <xf numFmtId="0" fontId="0" fillId="4" borderId="0" xfId="0" applyFill="1"/>
    <xf numFmtId="0" fontId="3" fillId="2" borderId="1" xfId="0" applyFont="1" applyFill="1" applyBorder="1" applyAlignment="1">
      <alignment horizontal="center" vertical="center"/>
    </xf>
    <xf numFmtId="22" fontId="0" fillId="0" borderId="12" xfId="0" applyNumberFormat="1" applyBorder="1"/>
    <xf numFmtId="0" fontId="0" fillId="0" borderId="22" xfId="0" applyBorder="1"/>
    <xf numFmtId="166" fontId="0" fillId="0" borderId="23" xfId="1" applyNumberFormat="1" applyFont="1" applyBorder="1"/>
    <xf numFmtId="166" fontId="0" fillId="0" borderId="18" xfId="0" applyNumberFormat="1" applyBorder="1"/>
    <xf numFmtId="9" fontId="0" fillId="0" borderId="21" xfId="3" applyFont="1" applyBorder="1"/>
    <xf numFmtId="0" fontId="0" fillId="2" borderId="24" xfId="0" applyFill="1" applyBorder="1" applyAlignment="1">
      <alignment horizontal="centerContinuous"/>
    </xf>
    <xf numFmtId="0" fontId="4" fillId="3" borderId="25" xfId="0" applyFont="1" applyFill="1" applyBorder="1" applyAlignment="1">
      <alignment horizontal="center" vertical="center"/>
    </xf>
    <xf numFmtId="0" fontId="4" fillId="3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165" fontId="0" fillId="0" borderId="12" xfId="0" applyNumberFormat="1" applyBorder="1"/>
    <xf numFmtId="165" fontId="0" fillId="0" borderId="28" xfId="0" applyNumberFormat="1" applyBorder="1"/>
    <xf numFmtId="165" fontId="0" fillId="0" borderId="23" xfId="0" applyNumberFormat="1" applyBorder="1"/>
    <xf numFmtId="165" fontId="0" fillId="0" borderId="20" xfId="0" applyNumberFormat="1" applyBorder="1"/>
    <xf numFmtId="168" fontId="0" fillId="4" borderId="0" xfId="0" applyNumberFormat="1" applyFill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4">
    <dxf>
      <numFmt numFmtId="164" formatCode="&quot;$&quot;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chemeClr val="tx1"/>
                </a:solidFill>
              </a:rPr>
              <a:t>Employee by Industry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'Data Prep'!$I$2</c:f>
              <c:strCache>
                <c:ptCount val="1"/>
                <c:pt idx="0">
                  <c:v>Employee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2F-41FB-A89F-70C765BF8C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2F-41FB-A89F-70C765BF8C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2F-41FB-A89F-70C765BF8C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2F-41FB-A89F-70C765BF8CB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72F-41FB-A89F-70C765BF8CB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72F-41FB-A89F-70C765BF8CB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72F-41FB-A89F-70C765BF8CB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72F-41FB-A89F-70C765BF8CB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72F-41FB-A89F-70C765BF8CB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72F-41FB-A89F-70C765BF8CB5}"/>
              </c:ext>
            </c:extLst>
          </c:dPt>
          <c:dLbls>
            <c:delete val="1"/>
          </c:dLbls>
          <c:cat>
            <c:strRef>
              <c:f>'Data Prep'!$H$3:$H$12</c:f>
              <c:strCache>
                <c:ptCount val="10"/>
                <c:pt idx="0">
                  <c:v>Trade &amp; Transportation</c:v>
                </c:pt>
                <c:pt idx="1">
                  <c:v>Education &amp; Health</c:v>
                </c:pt>
                <c:pt idx="2">
                  <c:v>Business Services</c:v>
                </c:pt>
                <c:pt idx="3">
                  <c:v>Leisure &amp; Hospitality</c:v>
                </c:pt>
                <c:pt idx="4">
                  <c:v>Manufacturing</c:v>
                </c:pt>
                <c:pt idx="5">
                  <c:v>Finance</c:v>
                </c:pt>
                <c:pt idx="6">
                  <c:v>Construction</c:v>
                </c:pt>
                <c:pt idx="7">
                  <c:v>Other Services</c:v>
                </c:pt>
                <c:pt idx="8">
                  <c:v>Information</c:v>
                </c:pt>
                <c:pt idx="9">
                  <c:v>Natural Resources</c:v>
                </c:pt>
              </c:strCache>
            </c:strRef>
          </c:cat>
          <c:val>
            <c:numRef>
              <c:f>'Data Prep'!$I$3:$I$12</c:f>
              <c:numCache>
                <c:formatCode>_ * #,##0_ ;_ * \-#,##0_ ;_ * "-"??_ ;_ @_ </c:formatCode>
                <c:ptCount val="10"/>
                <c:pt idx="0">
                  <c:v>26277342</c:v>
                </c:pt>
                <c:pt idx="1">
                  <c:v>22035033</c:v>
                </c:pt>
                <c:pt idx="2">
                  <c:v>20065896</c:v>
                </c:pt>
                <c:pt idx="3">
                  <c:v>12649500</c:v>
                </c:pt>
                <c:pt idx="4">
                  <c:v>12058694</c:v>
                </c:pt>
                <c:pt idx="5">
                  <c:v>8142043</c:v>
                </c:pt>
                <c:pt idx="6">
                  <c:v>7136444</c:v>
                </c:pt>
                <c:pt idx="7">
                  <c:v>3843699</c:v>
                </c:pt>
                <c:pt idx="8">
                  <c:v>2677815</c:v>
                </c:pt>
                <c:pt idx="9">
                  <c:v>1762873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9-4528-BD06-0C830E8B9D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5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 b="1">
                <a:solidFill>
                  <a:schemeClr val="tx1"/>
                </a:solidFill>
              </a:rPr>
              <a:t>Avg Annual Wage by Industry</a:t>
            </a:r>
          </a:p>
        </c:rich>
      </c:tx>
      <c:layout>
        <c:manualLayout>
          <c:xMode val="edge"/>
          <c:yMode val="edge"/>
          <c:x val="0.12894886994960869"/>
          <c:y val="3.16698937223011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[$$-409]#,##0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D-465A-AA92-F24986B7C338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[$$-409]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[$$-409]#,##0</c:formatCode>
                <c:ptCount val="10"/>
                <c:pt idx="0">
                  <c:v>0</c:v>
                </c:pt>
                <c:pt idx="1">
                  <c:v>90040.666666666672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E-4478-84F6-DBD986AA8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4"/>
        <c:overlap val="100"/>
        <c:axId val="1477513376"/>
        <c:axId val="1477515776"/>
      </c:barChart>
      <c:catAx>
        <c:axId val="14775133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15776"/>
        <c:crosses val="autoZero"/>
        <c:auto val="1"/>
        <c:lblAlgn val="ctr"/>
        <c:lblOffset val="100"/>
        <c:noMultiLvlLbl val="0"/>
      </c:catAx>
      <c:valAx>
        <c:axId val="1477515776"/>
        <c:scaling>
          <c:orientation val="minMax"/>
        </c:scaling>
        <c:delete val="0"/>
        <c:axPos val="t"/>
        <c:numFmt formatCode="[$$-409]#,##0,&quot;K&quot;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513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50" b="1">
                <a:solidFill>
                  <a:schemeClr val="tx1"/>
                </a:solidFill>
              </a:rPr>
              <a:t>Total </a:t>
            </a:r>
            <a:r>
              <a:rPr lang="en-US" sz="1450" b="1">
                <a:ln w="3175">
                  <a:noFill/>
                </a:ln>
                <a:solidFill>
                  <a:schemeClr val="tx1"/>
                </a:solidFill>
              </a:rPr>
              <a:t>Employee </a:t>
            </a:r>
            <a:r>
              <a:rPr lang="en-US" sz="1450" b="1">
                <a:solidFill>
                  <a:schemeClr val="tx1"/>
                </a:solidFill>
              </a:rPr>
              <a:t>by Industry</a:t>
            </a:r>
          </a:p>
        </c:rich>
      </c:tx>
      <c:layout>
        <c:manualLayout>
          <c:xMode val="edge"/>
          <c:yMode val="edge"/>
          <c:x val="0.10932621436019127"/>
          <c:y val="8.37520938023450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30270017617659"/>
          <c:y val="0.26329877735132357"/>
          <c:w val="0.3186966526444468"/>
          <c:h val="0.58454411163428688"/>
        </c:manualLayout>
      </c:layout>
      <c:doughnutChart>
        <c:varyColors val="1"/>
        <c:ser>
          <c:idx val="0"/>
          <c:order val="0"/>
          <c:tx>
            <c:strRef>
              <c:f>'Data Prep'!$L$2</c:f>
              <c:strCache>
                <c:ptCount val="1"/>
                <c:pt idx="0">
                  <c:v>Employee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38-41C4-A61A-18C01A58249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38-41C4-A61A-18C01A58249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D38-41C4-A61A-18C01A582491}"/>
                </c:ext>
              </c:extLst>
            </c:dLbl>
            <c:dLbl>
              <c:idx val="1"/>
              <c:layout>
                <c:manualLayout>
                  <c:x val="6.0588933232660985E-2"/>
                  <c:y val="8.995964072330155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D38-41C4-A61A-18C01A5824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Prep'!$K$3:$K$4</c:f>
              <c:strCache>
                <c:ptCount val="2"/>
                <c:pt idx="0">
                  <c:v>Finance</c:v>
                </c:pt>
                <c:pt idx="1">
                  <c:v>Others</c:v>
                </c:pt>
              </c:strCache>
            </c:strRef>
          </c:cat>
          <c:val>
            <c:numRef>
              <c:f>'Data Prep'!$L$3:$L$4</c:f>
              <c:numCache>
                <c:formatCode>_ * #,##0_ ;_ * \-#,##0_ ;_ * "-"??_ ;_ @_ </c:formatCode>
                <c:ptCount val="2"/>
                <c:pt idx="0">
                  <c:v>8142043</c:v>
                </c:pt>
                <c:pt idx="1">
                  <c:v>108507296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38-41C4-A61A-18C01A5824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45"/>
        <c:holeSize val="34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000215726458854"/>
          <c:y val="0.51011092206439024"/>
          <c:w val="0.34548736202495239"/>
          <c:h val="0.40313575752779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50" b="1">
                <a:solidFill>
                  <a:schemeClr val="tx1"/>
                </a:solidFill>
              </a:rPr>
              <a:t>Wage &amp; Employee Trends</a:t>
            </a:r>
          </a:p>
        </c:rich>
      </c:tx>
      <c:layout>
        <c:manualLayout>
          <c:xMode val="edge"/>
          <c:yMode val="edge"/>
          <c:x val="0.18448753462603881"/>
          <c:y val="4.0257648953301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444756905386828"/>
          <c:y val="0.28086900129701686"/>
          <c:w val="0.80190163729533803"/>
          <c:h val="0.68022049286640729"/>
        </c:manualLayout>
      </c:layout>
      <c:lineChart>
        <c:grouping val="standard"/>
        <c:varyColors val="0"/>
        <c:ser>
          <c:idx val="1"/>
          <c:order val="0"/>
          <c:tx>
            <c:strRef>
              <c:f>'Data Prep'!$O$2</c:f>
              <c:strCache>
                <c:ptCount val="1"/>
                <c:pt idx="0">
                  <c:v>Avg Wage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15875">
                <a:solidFill>
                  <a:schemeClr val="accent2"/>
                </a:solidFill>
              </a:ln>
              <a:effectLst/>
            </c:spPr>
          </c:marker>
          <c:dLbls>
            <c:numFmt formatCode="\$\ 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Prep'!$N$3:$N$6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Prep'!$O$3:$O$6</c:f>
              <c:numCache>
                <c:formatCode>[$$-409]#,##0</c:formatCode>
                <c:ptCount val="4"/>
                <c:pt idx="0">
                  <c:v>77330.083333333328</c:v>
                </c:pt>
                <c:pt idx="1">
                  <c:v>80167.854166666672</c:v>
                </c:pt>
                <c:pt idx="2">
                  <c:v>82837.375</c:v>
                </c:pt>
                <c:pt idx="3">
                  <c:v>90040.666666666672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6-4AA1-A940-9D095CA9109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1857439"/>
        <c:axId val="491863199"/>
      </c:lineChart>
      <c:catAx>
        <c:axId val="4918574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91863199"/>
        <c:crosses val="autoZero"/>
        <c:auto val="1"/>
        <c:lblAlgn val="ctr"/>
        <c:lblOffset val="100"/>
        <c:noMultiLvlLbl val="0"/>
      </c:catAx>
      <c:valAx>
        <c:axId val="49186319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Avg Annual Wage</a:t>
                </a:r>
              </a:p>
            </c:rich>
          </c:tx>
          <c:layout>
            <c:manualLayout>
              <c:xMode val="edge"/>
              <c:yMode val="edge"/>
              <c:x val="3.9392981002028482E-2"/>
              <c:y val="0.240894797570593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 w="12700">
            <a:solidFill>
              <a:srgbClr val="C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5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44756905386828"/>
          <c:y val="3.7597148605451554E-2"/>
          <c:w val="0.80190163729533803"/>
          <c:h val="0.7787401574803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'Data Prep'!$P$2</c:f>
              <c:strCache>
                <c:ptCount val="1"/>
                <c:pt idx="0">
                  <c:v>Employee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\ 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Prep'!$N$3:$N$6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Prep'!$P$3:$P$6</c:f>
              <c:numCache>
                <c:formatCode>_ * #,##0_ ;_ * \-#,##0_ ;_ * "-"??_ ;_ @_ </c:formatCode>
                <c:ptCount val="4"/>
                <c:pt idx="0">
                  <c:v>8021586</c:v>
                </c:pt>
                <c:pt idx="1">
                  <c:v>8120224</c:v>
                </c:pt>
                <c:pt idx="2">
                  <c:v>8251469</c:v>
                </c:pt>
                <c:pt idx="3">
                  <c:v>8142043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6-4F7D-A072-E63EFB6FF6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1857439"/>
        <c:axId val="491863199"/>
      </c:barChart>
      <c:catAx>
        <c:axId val="4918574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63199"/>
        <c:crosses val="autoZero"/>
        <c:auto val="1"/>
        <c:lblAlgn val="ctr"/>
        <c:lblOffset val="100"/>
        <c:tickMarkSkip val="1"/>
        <c:noMultiLvlLbl val="0"/>
      </c:catAx>
      <c:valAx>
        <c:axId val="491863199"/>
        <c:scaling>
          <c:orientation val="minMax"/>
          <c:max val="300000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>
                    <a:solidFill>
                      <a:schemeClr val="tx1"/>
                    </a:solidFill>
                  </a:rPr>
                  <a:t>Total Employee</a:t>
                </a:r>
              </a:p>
            </c:rich>
          </c:tx>
          <c:layout>
            <c:manualLayout>
              <c:xMode val="edge"/>
              <c:yMode val="edge"/>
              <c:x val="4.4009786172850278E-2"/>
              <c:y val="0.15208358570563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;;;" sourceLinked="0"/>
        <c:majorTickMark val="none"/>
        <c:minorTickMark val="none"/>
        <c:tickLblPos val="nextTo"/>
        <c:spPr>
          <a:noFill/>
          <a:ln w="12700">
            <a:solidFill>
              <a:srgbClr val="C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57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Compariosn by State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500" b="1" i="0" u="none" strike="noStrike" baseline="0">
              <a:solidFill>
                <a:schemeClr val="tx1"/>
              </a:solidFill>
              <a:latin typeface="Aptos Narrow" panose="02110004020202020204"/>
            </a:rPr>
            <a:t>Compariosn by State</a:t>
          </a:r>
        </a:p>
      </cx:txPr>
    </cx:title>
    <cx:plotArea>
      <cx:plotAreaRegion>
        <cx:series layoutId="regionMap" uniqueId="{00000001-AEA2-49C2-ABB5-D6564AC1EDD9}">
          <cx:tx>
            <cx:txData>
              <cx:f>_xlchart.v5.2</cx:f>
              <cx:v>Avg Wage</cx:v>
            </cx:txData>
          </cx:tx>
          <cx:dataId val="0"/>
          <cx:layoutPr>
            <cx:geography viewedRegionType="dataOnly" cultureLanguage="en-US" cultureRegion="IN" attribution="Powered by Bing">
              <cx:geoCache provider="{E9337A44-BEBE-4D9F-B70C-5C5E7DAFC167}">
                <cx:binary>1H1pc9u4tu1fSeXzpRogBhKnTp+qJmXZjmMnsZN0J19Yiu3mTHCefv1btGTHYiu2T12/WyV1V1QW
CRHAwp7W3oD+fd3/6zq5XZdv+jTJqn9d97+/Deo6/9dvv1XXwW26rhZpeF3qSv9dL651+pv+++/w
+va3m3LdhZn/m0ko/+06WJf1bf/2P//Gt/m3+r2+Xtehzj41t+VweVs1SV09cW3vpTfrmzTMlmFV
l+F1TX9/e3HbvTm/7cNr/fbNbVaH9fB5yG9/f7tz39s3v82/7R9PfpOgc3Vzg7aML7hJmUW5JHcv
9vZNojN/e9mgRC4osZkiNr1/6sU6RcuX9eauL+ubm/K2qjCgu/fdtju9x6Xzt2+udZPV07z5mMLf
337Jwvr25s1Vva5vq7dvwkq7mxtcPQ3hy9XdmH/bnfn//Hv2AWZh9skjcOZT9tylf2BzfKtLP1zf
T9ErAGMuJLdNmyu6AQbT/xgYmy0458zixH4AbrMoNvC8oEP7sXloOAPm+I+DBMZdJ+HfusxeFRtr
YQoupaJqLzaUqoWklgmpourudb8uNti8rE/74XncdoaQe5gI/ZGsf6zT1xUdS0pumqY1kxm5sDlh
zCTmBha1i8sLerIflIeGM0T+eH+QMnOlmzp4465LnYTZawLDFoowBYOz1WkzY2OTha2g0CgE6O4l
d/F5eb/2wzRvP0Pryj1ItM6g9pvreLifq1ewPdZCmJZpS7GVE3smR2Jh2pZlMco2+k/cP3uj317S
o/0I/Ww5w+bs20Fi80cZjvpVRYgvTMVM06Z8IyIzFQfRWUD3CSXFxqGju9C8oEP7kXloOAPmj+8H
Cky8zqo13MlX9KRtpWzCqNggMxMaZS44U1QIsXXYZkLzR/l8j34FzX3LOTaXB4nN1xCu9Gs7bIKa
tmLS2ouNZS8koBOKbK/DMD12pl/So/3Y/Gw5w+brYTprGxO6XMe6fkXHgCMKZZJyYW3nf67VCFmY
jCAWknwXmZf2Zz86u61nCF0tD1J6lrfJuluXt/fz9ArugFoQYlvSZFvNBrf5cShqiQWXtuSMQgFO
r5lme0mP9uPzs+UMm+XRQWLz57oKwBnVOns9dLi14JQyYdm/kB2TLIQAl0D4xuueeQQv69N+fB63
nSH052Hqtwtd/v8JfcRCMMUswchGRmYazlILagtmS7nl4Wahz8v7tR+pefsZWheHGfqcr8shWWc3
rydNzF4oxD7QdDMdJxcWoXC91dbvnnkIL+nJfmR+tpxhcn6Y9ue9bsIqXL9q0EMWyobyknLLC8zA
URS8AbURFW2Fa+YkvKhL+9F51HQGz/vDVHCuTnS5vnnNFAJERtlCEG7uZ0MJdB+3bCZnMvOSruxH
5WfLGSjuh4P0C1ydZbfXdXjd1K+nyjhdCEtQwZjYi4tlLiyGDAM1Z/7aC3vzK2geDWWOzueDROcy
QJ7pzWn1upYG8EjTNpXYOs1qxhdYgI/aNpnInLvXTHpe2qv9MO22nuF0eXqQOJ2HVTX9n+fh60kR
g5SYiH7s+9hnZntspHqENKH8ttpv5ri9sFP7UdppPAPp/OogQVrB/IQ3r8gdmPZCKCHog28wBwi8
m20xbtpbsnomRy/o0H5wHhrOgFkdZtLn9GYdvKJXAEqH2eDTzPsU6Ey9UcohOIiIQLvdS+sme/Bs
R/bDsW02A+P0MJ3o8/A6CP31a9IEfGFb3FKWvfWhZ3jYAt4AUeAQ9ufeXtKj/cD8bDnD5vwwzcxp
gqyoDqv7Vfu/J9g4WVDICTzkbXA5V2EgB7gtmXgwQvfP3krMC3q0H5ufY5lhc3qgSiy7eeXQUy0m
geD2fdYG1uMx92lLpEIppAZFBXevuTJ7vkO/QOa+4RyYi4M0+6e6e0Wbz80FsbgUFuebWZ+hothi
inkkJdvrM6fsud78ApK7MczxOEwa4Oy1s582vCxumcqyNojQXTlRNtwBQpEe3frR4D8fZ9ie789+
TO7bzVA5uzpIKTlfh9nt/cS8gl0RC4YyNS4eTfpj5SXVwoTfzCFLmxBzxps92539mGybzSA5PzpQ
SKpqfR001W1dv6bJNxcoEGQWUVvKcuaOIfqXRKBWzZ4Jyvn6hf35FTY7zecYHaYy+3ibZdWQtOtX
LRqAV2YrFHluyzUImak0y1rYzLYnjbeRHkD4WKW9tFf7gdptPcPp42HidB6CG6xet3JAQsUpisqa
LUwzkBRfUIXIHyVTu+i8qC/7oXnUdIbL+WE6Zxe37fo1KRmmFgwZZ9idn5Lx2O5QKhH7I9tpgd+c
XgDtseQ835/9wNy3m6Fy8fUwLQ+4TN2U4f3c/O/9ASQ3UQGFSGZbCUAgE49xmUrUUNVpUXPLAcyC
mYmOfK5H+5H52XKGzflhJmy+3papzl4zWcMR0QgT/81CGWRppDSlktiDc/eaYfKCnuyH5KHhDJGv
h5mkOQccr5p0Rl0N3C9BFbbY3L1mwFAC5p+jrFCyudv8fFf2Q/Iwhhkk54cJyZ9hda2zKnxdFlNC
DgSTW8vyT6bMYsipgVh+AO2xZXlRl/aD86jpDJ4/D5PHvLj9Ua6reP169mXKOGPTE7OsbRHT3L6o
Bco4LBOFhBt0ZrTMS3q0H5yfLWfYXBxm1DltrjxZpznKBV+zkpOzhbQFMmX3AMx02pRzBngmgtIN
QDOn+cXd+hVKO6OaQ3VykG7aNCfvbsvqdnhFQUJCAFtuoee2G6VmgmQhd4aMNLYeb3wCNbNAL+vT
r0G6H88coXcHi9A3XcaviI+5QCWgyaethHevuRwJ1HYQAknbEmv/UHTdm+d69Gt0Ni3n2Hw7TGzu
6m1ffT8BaqK5ZNhJuHWaZ24CpAol69M+qnsBul8bm4Taplr2+V79AqOdMc1xWh4kTh+C8DWLAzD9
2AkF33o/QWCj6IagNoDxbTYB8vXYjXuuN/tx2bSa4fHhMK3OhzhBucar7ppGlabNIDZb32xOdyps
CsVBEITc79GBTO1g8oIe/QKXh5ZzbM4OU1bKW/9Vd3hg2zR2BqAAQG7N/S5tQ+92eMCzRpXtDJNn
e/ILRLbt5nhcHiQen5EewPEjt7f3k/MKTJrASQLYHE22BOacSUNZAOPMnA6B2DgIM4bzRV3aj82j
pjN4Ph8m+/z5tn/VfbgUpp3ZHKcIPEz9DskJchp+G9I2Pze3P9Zjz3bnV7DcjWIOyV8HKTFf6nXw
isKCGUeqE3Hl1rTMopm7PesWtm+YcuYnP9eP/VBsWs2Q+HKgHNqgcQiU/3pgoHQGRkSCg9nSmnMw
COy8oEjekK1vdv/sjWv85/Md2o/KQ8MZMH8eZuDy521Vv/m5u3ujQV7BsGAnOjexmRN7ze5esOiP
tReOSJEg2EAObLXbzDN+cbd+AdLuqOZQHUYi7frJ48MeI7Vz5397cpqCP4xttziDay8HoLBreirp
fNgxOONoZqea/bpb+5GaNd8Zyf/RkWm/Pk7t4cS55bpeH90dVffoRLWnr94NF0fozZpuY429EraZ
u9Ob39/ikACGBNnDEXjTl+xEKfcp4n80uV1X9e9vjaksnSAKmg68w/lenMAidRCK6ZJJ3r7Jptj+
97dTASJBphQ2DSkgalEEQ0iNTpeYwCUhkdiGh2ja2JjwcCrgR50MiAwexr/9+03WpB91mNXV72+p
CYHON/dNAxIoYsRJO9DXijGobUugQ/n1+hJGYbr9f4Ka921W5uzc8irr69BxcTowapSOGBOyHIK0
KJZ9rt+B9S2oo2nRHpHRr446aSfHjVkV74VHGvMvEYzxhbaSMjgr+pZx18yLXiybkg9fWcvbv+o4
LZe1P4xOkA9m76rWbn0nr6N62csga4+bbqCXDav0t6z12g9jqbzetY2sa5x4LK3RKbyyW4Upj0+s
MkrdpozbxrHyoT6WCl108iDqY9f3NY+WxsD6j3wYLLkKervzTxSnY7Ps44j8iJqkGpxkiOObwjKK
D6Ev2tTpurT/4Hm68p3C9zD2NE+H2In6MLZO9VDycTXSps+Pq8HEVVaJ3HzX2P7wsQhEMZz6Riai
ZZoOvfHORgf1GfdGI3V0kabsk2nn+pPikX85RnH7oUg6J4+spF52QWr7rlfp9jjqSuskVUlWuBHX
o38S9nX/sbSbOFsavOzr/JzF5pc6z2trzJedR3RdnHhUhM1x6pk+s45tkcX+yipDMpJlH6VlRtw4
s/sLZo1pRt16aI1TXlHdxE7uF4F0I2ztz7L4KLQTI+n/rPKEV+yyjbPYKXGmRu7YIvTa/iIuWq68
ozQJS+Xk2i/TVW7ntu80iFSk7wojiLwPHh2MVetpWnWuqGpmYjKb1qrfV8Rog6VfEGnpE1J11Dsz
yyDxlgWv2mnhWOPJ2EdiXBl91MVOnMouad/VddPk5IIOaVSz0imrqu3G1Ik7s6voX74XmOb4rQ+T
IStv6q6o09QR8Tgm3qfHhzruCM61zocy9IPtiZoPf/7ns07x/90pjz8/nA7k/PkX9iJsTvJ88i4c
gTg5O9X8pknhPXzXz/MkJyXzcLjkTG1tzv78hU578uKOwttR7/cO2Z3C4zArv1Z3MyvxSOtN7bY6
T8qFshhDOTXM1Y7OQ/iKTYhIB+HoHIETD237QQMiVcTAN8C+bXeQbtUfxW5gZoLaUxSpQIVDEP8b
9cd2td/0RKhdBZfHtMDXYrfqrvZLaFRmtIvFrU29ulFHZs5zI3FJ3objVyGaPF5zoxTVKiuGauDL
2uxF0LuG9sgPPyt5Zrja7GPrnQrE0CxjZWTFSafSpDpPRJobg6PjXuQ/RFxHvV4aUiYRc33L4vTW
6vXQXCZBbyVr2xa5d81SVsgLX4ZFzpyUhhW6wnNRph8CSuouW/qJKOPc0Z1I0/fUGgp02U9TOpyZ
Kcuiv42q1WjzCNI9NgIu4SMLAR6bIBWhUHA1VStiuoDsYwth0TRsAhnYt16ns6g4qVOe8JOEtxXU
1Vj5ddi5Y5jjnMyEeKHprZ5+PEXEsPv8qWaIIRuCEhWU3Kvp+iMLNUbMriSR4U1EYxaHbq2ZYIGj
lGkU0arsO7+sl2VQ+zxwDG6Mefax42yoTJfyUXbsXQ3zUsWO1gUr6QV2zBa49nQnJyv504qCRkbM
jy00OAEKKZlpWe72sQ9CwwxKZtxIo2yJufRHy7eKVWLzmhEnK2spv8eCePXp08+dYTM9lyvUxSP0
NVGHOH9u3gza0gazb/wBa046LcmT6q+Ae2bmO10UNuGHzMNxxLUTBBoBsvP04+GGzIZtgQjBObKK
CwTY1sx5gN0MDdIH7MawEqtgruiIFGsIklGf6jG0kovQoJrCbBVDcxVXhIyBg6R0gkn5b3uCaj8J
dhlnNExnQMKXerxIAivwkmgg5Q2XHURuNVA50nglyq6pOIybx+X3ssEUFE4l4RB912RoS3XUhprk
3TOowCXcnRZhwmriJLZp6y5KrmaroZYhiYY48649NWaiPNZFnnrDkeGllRqOB7vssUSeHj+daTJr
Ol0MlOAkqNgYic0QuxPgqzESKq+NH0j5W6lx0tfBJBBprwMceNx0ER+5G6ZwXnKnVybDRIiQBM1V
mstocDODltmVSgO4DMtC6NK8TNswq3483c1Jnz6WE5wkRLCpBk4tjg6AtMx0SdN5dkmKsf/Rl3WJ
RUCamAAf0ndMGE5fsta4ys24mISm7vT0FuZ+8ww+/5gsVIhifw8jqL7mjEO17U6WXZhVPVRS/8gS
YUCHR9BeY+e0A6kHccY8Ab1f+XAw12kkMmjUMk9LKk5sIzLa2CkCaNtJ8w8BWmXhmLRnvI9znT6j
ViY/fzZf06FyJrLxJhCWcmafetZlucpG9qPyTGmkR1ENB635WIx1mGduVwwFOmdYaYtreihSPSzt
eByMqy7PvdNKlUnku+k4kuEsDYqs9pxMEenVbiOIkVzKVPlj6ppM9VCJphENNHtHRgVX0I1DryuK
Z8SUgpjeGRA4a1S9K0lwpBT2587DDazMrGizNv9uCS0i4eYEdQiF43mNUqVLR8uAaveGjfZMGo5r
zZ06yaln41Lf1UwWq6Zjz8sQn2tx1NrBGRGKIkyaZHe2LOI+rlIv0Pn3vIQUFUesim1+btKADWes
agZMh/LaZPyaBj1CC6cJyq4IXCj8Tl76xegZJ2XKo/FraTSVvLBDOTkIPW/TRB3HjZjg0RVTWEJD
a4n2Mi+jePw6JjKGy0uSZDJaIWYfAOlMBfiQwVcdv9pp3wM7JqIBb9VI/Npe5qJi1UpazYRd3Psh
HIzi7vHK9o2hc2x950prOA/oeWhkk29Q5yKN130lsyJfqbak7RVneqzfl2XslU6SpKWZuobvpf2J
z2Fcv2V25vGvLWkpFpll+/Az2iLTcFGe1g1zrYnZt5D9A6nBLYnSlJkxYd6Q+VTlyfeRplXpO71J
rLxyOh3p5JQ1RQdF8fQT59rInDb4mfQuEoftnj+xKkkVdCnrvrGxmRZj1/BJ/ZmVFcN4y7YQ8rsX
sRGLsDObuvLPLSgWrNOnuzEdiLIjFAznSU+hN+pzicnhJe+qo5G1TWEomX5NeZbWzKl1I4xbXQQF
tFEQVxk9Kj1Lhx/byvahcfJAaP/It2uz1Q5O0kWk5NSmX5wlni2velYm9uAgxpLtZW0bJHQLMfb6
DIuIBE5EuBfmDvcknYQ9IFiHug3gXZx6UVxPkt+i9P7DdP51PjgsLlnfHj894rles7HxiEx8vHl3
bg94kN0Rx9ILsq6orC9tkxE4saIsTTix7TitWw4ni58EtOuxbPtYMbz59Z1na8h8ig5ZE3Wmd+X1
clrSZhGOaXkS5iabVGQxVoSuiqTNq/B4FEMMqfO6dPKp6WCnkE6LFhCjp4dkzjSbDQ/IhtmEVgOC
SA7NVHXBsnTUUWZ+seuAQbbq3J86UBusmUT3To6RzRvQNy/oJxGHrpxUSpkXMDRGQOHG015MH+ki
RmVloiKLn4RdMs1DMXRaXnhFj7vCgE1DHPxUVqvYsEqGWLxsWeUOsBcY7jNDm3mZGJqiOOECdfs4
TYHD39tFq+5jaiWNHr4wv500VV0WWFpjMob6uiZ2bGbOUOti/GqZ2WQfU0NTANLLNPGHozGVtPZX
ihlN9wVeaonp6KyIYfWxdoQ2yUJDYYnxLskn7dZAbZ6EZt5BrdXwSPDAsPYI/kKMRTEVqc8xFXVt
BUbtiqSJIBKBMiP8tZmfSRVOhakPge3HjY/ymCmbyagNdwHelWUKG2En+YerS7uRy0EWxuc2tTS0
w8a9NQO7b2MXkWXgZ8+phZk5mh7JUUlpEpglnNMzD7xIpOG15r31uWooVkg9YAtheAzbj/nhUc61
OPI6Q/eVIxM2YMKT1svgskDpYZa6sk/qj5asbC9aeTW3oQwgkO1liYQALEBqQPDrPoOh2sLmF12G
qewTO4OsQIomOPy4n4AwopDiTQ2Rai+JTjV6IuIYtimW9RSnPj3bXLFdnYjBT0YASgKUKc5rn0c2
cAcrwyf98DkIBpl4Tt3ELHe9jnjRhTRHXg5HRVDK3HYUyM0ocMqyCIt3JGlYL5wc3o5xVvqpwc+9
NLCYW3S6969JmJCTzmu4XMZWppMbHiVjeZlqmeL3WEaadB94S0k/Lu0oUyJ3C/iPVbPqOmG3F2UR
eL12ZEpS+p6RkqpllpWKulFfN6Xn6N4uxsgBmVny3vX7uIUwtGPZDYnTGyLi0UqZtOFXMqkH7ruk
p03XHOeqC6gH/83z69M6sOCZudaYdOOIsBZLMT/t48FrnKLKI7lqleWzpUiNfvzcSW2GXxue+N6S
8dqk7oD4VA+O9OtKLVVodiBEReKfYLNovSw06cYzT2WEHNOOBubKNyo7IEd5rFP+ZRCtHxtflCZ9
/xnUI6vPjarOjEtYDKu5EaWU5ZfRav0MXKvWNKg+qX5M4mMvBLuxGjW3U+2oWDMzcK1yrAr7B00j
O7sJzFy3/RJLZShuVVN3HWjJBBRedFJ7WSHsJeIAkchjLzVieaGoZcTxcStzs0qC28DOWI1Z7imz
S34+Mt1iSY+0rPLgE0r5a0mOsoznuXXaKC8MkveZ6OPCP4pav+7a953w/DBceTztGnHpZSYrTmXE
A99eYa1IBiq0HQnMelLZYacc3+CyqJeBV47RcNr5lRGEx12Ywtq4seo4FGybh434SxuNFNUpFkdn
eG7H4LbQiyaH16WcemB2Lz8kpmXhrd58aIRhgmuoTeN43KgrXvwYm0KZ7btIlrlvntDeMCzLHSIR
N9Zxn0U0TRzB28kuEmGEGI7PBIzKuvcG7GJwIxEo4X8YurzLrY+RZ0RdsrJiZpj5adwMym4/yIiJ
UDmFUhMnYZW1COKvlu95xnjGeVJhpoyhgMo+h9YGmX1mMK+0kvc0LEKafIyiLrK9oy6CIvCPdIii
yNKFypq6BDo5IeYR8YMhLJYkj6PSXmY1MUT2l+mbGZ6XRolSXxrfLgq3ROiNmTXtJoQFcakMpi9B
/+GyOEWhJp+eBxVG7+YBzZhcRUE3zRhL6hhvugpq4ypLrUnl87b2bctVXa2xAMYM/sZxrcoU9+Wb
oQa1GDF9RYQUiAVbUnl4WhJQBJkZDSd4aM4DU/xJk36a54yrCFyS0RgloDCy2A74bVEgoClWZRjC
03I7mw5W4YZ2IBoDCPKmaL7WUdaEGebLCEZ9HDQjp/25HVlTl0MgnY9XEisLT2C4VPzwjH5aYLI0
JuTFYOCzRKXT1LQtxa0wsXbRoQ8t9r9gjNvxlCVjxQ8QbgE+E0h5yKtYcE8xl3cKBJCTWwHFXGxX
jzdWCl9pRcY0OK8e7iajwaop3a2Pq8Qopr+QzYjPGQlL42o71cbm9vtJ3twHpsCMzy0zT9EBmhlB
+yMOZR6Wx2HGBgy6MEf8DJbjm8wPyRUCcF8rR2yA0mNbY6kh8m5K/zSjavCEQ+OgHeQHlTYas9Sa
aYJbzBwcW+mC5vBa5cRkmJxeP8XPSUBGLZ8UP9RmBnUOCYJe24wpMEPEaG6uM9nRk6Gxp+icbKDd
LA/pxQnmR/IQLY6ElUyD7+UQYJ36tJweE/BA4sNBF8QKvoxGyJv6HUbKpundLKSxGRr0EoOcvoWG
ZYV2SOUyrK6qDqaubybUGLsRf+iEaW4dGQTJmeh0RHoeWSSfgEQiR13YaMi0ivyJ+ag64Bu2lln8
oNLPsHwqAY8Vgy9bOLsfKnDZ0xea7fTGW9/GW5KRSRzSUUz9zxrpB92XJvETP1xlvo3vDQpGfXYS
V4NF6zO2WSthVKnaOt5OuYraEt3pQxbjS2ABNB4e5WEMO9/SYpTkCzy3yG6XeWHUWeiSyvfwcBEF
+HWkZZ3k4DYTEAagbABT0Jxa2p/EuYF9xWfx0MjIXsVwFvvhHVNV0uuTmmuSpm6ieJK2jlf5oA2p
og3uD+qiwhucRpFcpEWDf4e0A28nSEdBFRXg8pOLNq49kAJdGeHpNPB1+1VmXo8owBvGae13Cqo8
WvWsMKFhbGScGvsoSWFi06PeyDxVnQoFU9V/I7KPoG/8ROs4PtnSyVGdBGW0aoIE8e71wCuU7J/k
UYDpOGZ3MlNoO8GEVV4Xe+NXFti6q78UrAs6eVJvht4rv8IUsbwfY4wo9rtKHMmRUGi5uuTT9NE+
n1YN+KppiW/4U7uKO8wAbcxpvHUYmngrscBxfxGCfTScMBnBK+MHceJMOaAsBpmes5yWuEMOdIph
W9FUWFcbkmWkIim9VZMVpWee+l4x4jvGDfXmISwHa1gIHoOi9GiM0Be5zFhnbp2AmBBnaSwneap5
F4KE92O7hqpk0htg86oBmiZaIbKdJq8JkUBOj8zGjsHFR0nmozlOWsYov3VwzzzjXedVZRleKBZN
JKVuYO7Ordhjsv7EQWMN3lHvRcYQrGSXi6RagrrA2f2OBRJIfuc+owjJYQwVwB8NPmJUMksns5EK
b1pupVlSLL7NTEY18tIXLCQha991o0g961M8Np1xVcKZBqsw5oWS36Fvsb6MLh8xAxEn0xi8PDOg
/BFeTixVEsJfhWetUt3l36UagoL+4H0ikwspi3zwVtzUVW383YU06r0jWDSWCKdKwH8brp1Qq/wK
RrKL68/ELyIfeV8xsKC/7Cz4NsWNasO2ML9Vng1q4riMmzZVrmGOVfx15I3JtdPAOvQI9inV8Ckt
S6iGNljlaaRMt8WHhtU6VofMVL/cjmSDZZFHIIhd7JofpmHdqZskaSf9pwZ/0ibw/ifhDat0uiO7
Y++9yJw+E5QYuGPwh+lGj4GdSI8QuU+5jTDxcoiyD2/RuxjrgeZHEQR1kkqVTle2SxY+JTSRwv4w
XNpQ8JM6NXy37IeSWQ41S2J/bALL77TTkQyEPR9GT5mnXZFNUu4b40QHVsgT4Y3DLatPi5FgfXOC
/MMFeMup53GITOP37YNEqWDSCiwV42oTsWVhNFpI62d5wz/FG4UVb4jGAjXQWA1GUkwkZFXKkvNl
6qeF9pygkI1x1YQix5jrDlm89l1o+pMbF/Aez7DaZOpWcydwho5hRxxPNJOQ5+aUZlxmXT+tScsb
zTh0RFBlaXoURAmkcbWZEPDAk9KLUaqN70Wa3ojOApMllv0M8TUL6MHlQD9gBZtQbpL+g1YOauQQ
wFebV4HWEr22fL+HNHQaarZAqQE6kbQgXgKnDYup789Ed7ux3fR4HBuEnQCbgzXnPGvZ9NroKgtU
1UY1RuCA0QvEAZCkpx81I9AhTQT1U3gWKCv8K6ew/lHysLPjwvbgSt6vERL3WrtF7nH+AacZTqtb
yWACtQkjIKx5yQHZVjk+3ZddCgEFj1g/Ng5MtiXS4Vjn5m5fvJaZoG8j/wp7wqHGQkEnf7yqcLzo
0ajhOj83z/98IKr8QBxIW5kgF9WMV4yDktAkJd5l0WcwFH4Mi39qDTHU3Faynx4gnWi7n+mdaYTT
lhqBEx5sE4ejzYnMPom4n9WJvNxqjC4YJ9J+kGwQYtXzym5XUe6N5aemYwOqZZps0ueshGowqpHD
Hj3To92Vjh4hlJoOb2eWEig6nafFBkWMzhpYcZlshKqDXwcZ75vYg14P7TYEBAFvBkimYjAOcC2M
YOpIlLOiGd22QGS/EinTgjg9VMvgQtUXuB3y4dGLcGCIJ91uk8/KN2r26UHMYQRw+FlBgmO2QMlS
/FLK7rqB3S1qszfai6CKJ8003jlCeSWy5tNg2A3HYYsvp7oEEiA4eIBs90ZNvxix+zyrhzeCs/Cb
i63Z6/2giByioVk1SnBwsOh/9zxQ/tNJ1BAMbP/hd7/B81hGWeeBiW7D6GJjluAkT2hYcQK5yKpi
MhhPP3DK4zxaplgQSD9NR5GgHoWD0Zzxmd0w9mE5CtSRZUYZC9dKU4t9lyUE5jkR/OejAJ2NDB6q
9RBkzlUdyrLSofGlf7JxRVoBdgTryCxSvD09qm0pxqOBgSvEo+4Oi8Qvt9rY07OLHCHIy1hhUB2X
o0mC6sgU/VSN0OB46Ub/XY0ZcuguKtzArSon9UZEi04t/JqmZ7DWKMHxXR3nYH7emxzcA/mYegL1
dCcDfAOhLzzUwtF+cD0TKadvVVGkCIPKyORZgcKwZjRrl2giq3RplwJU23vWU83kR7XJ58USwQj7
4GUpLfrz2A9ahZKZppUhBScSoVTjBIGGFabLxIhyQLF1UCwDzQKUhHXTUoCHbsNYyDs1tgk14o5A
daOSzoTqRmg4uQFdaxpwaLVpI07IzAY3wMWSjXXBqmRy5oyNb5MjOQppJ7lNx9CJqzqlo5NVpcrC
pcytJGqce8qjgNkMnK0jc+dBIbPWYX7Hwp6MuFW0YJYQW8TSPMptjUemMaKK9h1BtiL03aRPcb74
Mfj8JEq+MLi9il3IoVY8P40kMSYyoGpL8KzDJg5T3VCxYhnETQraFQyMhSyDEwW1rT3XaLTfkdQp
cIqYMD+qQuVWd+QXEO7isxhUO+rPyDdMGS34gMSUF7qukET4HOZgm/0lipBQTrAKyoLSyE0pnM6/
B4Self1OyL4zv1PRD7V9AdrMyz9lSkWxeRRllUEQCeN0zL52UcyKXPpRpgdgu+x6cywHhxhgJloX
rhkVtjvwwevex6qqq9FBOroLEU0ru0ReNAxIdcxJUnc/JEnjIVh6HA535qRWlpZ/ZWBejMaxNym3
rS4qkA/35Xs7hd7+f+ydW3OkONelfxET4gyXA+TZZ5dddt0obFc1oAMIgYTEr5+V3f19b/f7TkzH
3E5MRF91Oe1MUkh7r/WsDdsPncgigyr69zoLwve1TvTDcj10/lga4vdqcMgFR8umSxAxqrKaZDLE
TtaOOd5GxHlUrTyw5Tds4mPxrIYyEHvZp21adW27Pqe+B9rp+5Ue+sTGx57E20lqZ49QMsanXGdR
7cq0u8v7RRBoxlZ/o1jUx6RNx7nC3dd9Mq3EW0v6sXFlSNGLing5oNmFpBQN6aVQ5MfIcTsOq8pu
srVXTZ50Hb5dEug9y12yY2Nv7jcmFrJDVb7sCk9igRWbya9OmecoTNRFJ0F7kXZedukMCRrsS3u0
oymbrlyLx1x1E3x91f/s54k2olNt5ZNhaFJaTudii+Te0wEu8KDSBL+68EOdsCHfr/iVpwL92Kd2
ozmAe6A/p5KLA3eh2CpfsnTfMTI+qwTafCUg0cxVEI/ty+q24kMAjUUrb+S3tYj6HYkWck5I2fXV
GATxTQKZbq+XGSk7ltNHiIc9eKUlLn+GsHrQz4QqfLIR6/q98kOwC2e5PM02geCAraCZvTPneNaA
dVO5FjXNS9oVb72NSn8CgWC+5ihh4W40akGb08vOVxbDkH8VS5rLJqCBPssSOEKThAt7BLzM0SfJ
8QKANZxqWnTjB2GzunEY5XOZs/C6Qml69VBbu54dytlbknN7gvodnHsed1FTYPf7Ga5rPFTbVoQd
2mYVvK9qWn9NQeDqqA+3j3lmYwSiQAEf3LYZK7cTSlQgprRp1LZyd85MO7UVCVV/50OQsx4tVW3X
WMRnPJFLqLN2k95HykSXVEhXQel9TVf/RQyld0mI28fOZmkgLZK+ap20eZP6Md4l+TLcqS7R7145
1GQE9nY7V4aDgeB1DiJaVYGJkw8402MVR2I4jBAKqojI5dGFA3+cO7/wmi9L+zJ1fnrTTsmompxx
NQ21YhXD+4PjWkBzw43nuq1OAGI/lNHciXrYLPtgUm0VTB75innYU6WUDR9LmAgnFekCeDeh56Qf
ko+5yNwNg95vYTskBn+ULhU1wYSO1LQ3WRGMfSVCXn7oAM1AU6A+Y1XK5ukhWzO+x0afZXXZb/lx
CcfuAZwO2I610y/ROKiDNS48MGWzDx3TlxV98ss2ya04TCrxFZtk+8vjghy6JTdmhzLQPy+6TGml
kwmOLW+XinTWnrKSq8OEOjSs2nwuX8phKT9jp+JvTNPx0252+2WwwBubj9FtArDgQHBSNJOblmfU
l0GVroO9CfTMf2xkHA6xCCnILMjJd50nCc4yhx2JsL6AHpTy7JjDmKnVPLADT41+AdsV4/3b6ByS
Id6zLJ7foctND+XQ6WPoRfkspd4u7cymncux5aINlv3dkJDlrE2yPgwz1d90USRfMbfYHKLJ27vE
S9w80LTuw3gxF6fz9dSvLh6h2xTDgWYyadAeg7CE7FGetkDTG0o7/bhFRfdSQDp5n7Zi+YYDvz3i
ZstvtzBYwDBl/V6UNL2Bwx3G9QLyvSk2P8RY73rYb20wPnBI8A+tG9VUgwwhe72y6V0tJmnRXG/b
jS4TcwGoxKEOyPFbG2+lxJ4t3S7OeXEM4fnVVm3JPbIGMZR5HfwMaAQG7canydaXtZcOtW6TG0ja
xQ1PY8DqO4JpH2KpRKnozRqo9gEqi7gLEj+8ikV/4DUthN4+fJ0lKhhmcnbnSgb8MlVhfy5HFf0w
ATVrLbqV3AL1MS99ZO106CKBZETZhTnCAaMu9iWRQ3mWXaEa+LjJVln43U1RbjKv2LaUtpIxHe7G
AH7/xQdTjmudkXXRN1NpYfSETofraUgmeR+7JHjMh7JXdeZ0N+66Uukn1vZW7mD5+u4iez72TaCH
FBAipWFwyO08b0++GLTpDtfSgzTl5PCIJ46rNq4tP3P05FrUYY7KpU6lofYWagmb69iE7bc130Zf
j0RkN8D1aNisIUrEy4JGfHlNe3R/GvuIVkuaoXBqB2BFR7tk+TmNHBnYty32NLKVdxMpzTnCZkdO
RQJH4DBdkf6ms3Nqnsug5QwETitKRAAC2gpeB0npnvsY1EwVdYl4HH0YbIcVjSarST5F5GYtmRvq
SEPHv80FttMGgNzWjFC2zixa+hrJGH5eAu9mdi98kJVbjMs/ECcb6DSSXyktFaXyflkSViyNz1gm
Igjs84j7oYC9WZvQR3KXhEZ0N7yDO1vJATJvvS1uGqpYehg/uWH8OPRJOu5aGIW3vIdM2iBW4o5x
i6n9DbI+XQ5JjOnwxFutYEeaNPdVtML9zpZouQvS0uW1ZDSZqzzhMaQ4aHavoQr0T1uiNIk1IjWH
caRhvGttF5moRgnXBWMNbx4o2lrlXfbkg2TMUZiZwveixk664AdGEvSu/8ImNBXZrlNCVWk7ha7c
cZmHebdTkRvT9DYMbGZeYOZKemRTkXy01v7Ytq59aTv1oy1Vyiq0CfJ5BduxowXVB4LDg2CTyDTs
r3y7CARn7nTcm73tdFmrSW2qyoFpqkrKVD7rQWSN1pmvTNEn2F/tIr+Wlm77fBSw8VpHb+EwFqQO
3bxOzYbDJnko5y5+zgEQ6aa30HqwHrBgKvBw689wVPxRTcNc7OY8b2/mcRifzTQv7c641tITVOM2
rwLpypMc2dREwyT2fKLp88BJuCuXbrxwmga3EXfJJVIwLcd2hnldoi1qoohiaLDJzWFzUSQqjGAU
siGlneadCrPxDvzgupyUXmlVzitx9cRbVifZbFVVhpKCIQUQaU5zhg+38xC5nzeK59tQ+N7TgcFf
azRuyrXaPNd3OOVx+PcZF03PUF/gLdAnnDr93uRlVptBda+sb8MfUN7cHtBOeRhJKfe5ytlDwIiu
rcy6NzLIF8FAgrVo3PZ5RNn7uEbLWKXxOL7HhOqziWLqKqodK+oe4uiZqggfuiVQuHtnazS78T1D
W3K2a9h/8S7Of3Dahm88jNcbC+e2SdU0nmJIxq8Q3yN+3dOcqmJGptuM0hh1KzbH6yJMvhJ+bYb9
IK+ntovmz9EWQb8TWQ8jFGLymJ2GdOjHetZIRMFr2kaIhfnKwjoW2EeqLOhZeivUHH12XbfwKhJ4
DxUTeVcg/iSnGvIX1kTnVXqSmYnyZukAcmrUWrw9SzUu3xW6tq7mKo7JDxy8q67KoFjtMVh41iyK
Bcd+SqOXKzewDzfLTdX7QN2nqWOfxhYKxwM6z/1oKGiokabxDaw7fVEeUEmlW5Q0N2426pNHi+vr
GTKjrXor3NeyeNwruCnRpxkFFfOnhWtlKzhydjcwG58hUrdApnqHSNgVG/2FeKGle5l3yyXx6N+q
AOXI0gg6BekumCSYX7LZ9HWZhXjPlXU1n+O5ESSYyJ1Z8/AZ7lpRggpCDVdly9qJw4qi6ozdb1h3
buo6hlKuROkJiiMY7+JuDYPa0CuJ5yVJ1U4ri4QBiBQsojrpZMcSbvetzWClSF4zjiJN765trK2p
n/oINXU80O1tmM3A76MxXOcGXQXl2NLKbNxUrUPTCn8ISMSG5D4zMS0qHk59/CGAjQZDbYPCMbqH
YcYdueXdmI1ljW7bJaoyWydnU+c4cFPfdPCvClEZ0NyJbwbrqeQXX9AoJvVs0ICpB2GhDsWVA+Zd
mr02aurf2pYnY9usuFVgoyCNEw+6sm4as2XfolYbTqYzgfxtnmZn010H/kkOO4T/Qv5MSQTv5aAA
Si1Do30SEPbAjOL4HpIAuJRhIJnhAVhg7vj4v2RQ5gTXcWaDb0rVufQthcvUPf8h1gbqajgsorxK
o1FInbog0H217sELXH0Q3Idb/rNNKHHZAVz1hvttCueyfzdq7YKuGgoIXQE6W8rWDEcEtuPl1XQQ
FIqbBQWluyOsJD6pTTubiR82uFv4tnDksZF9xoUZrGxSsRg/XGKDj7dV/QjKYq4BvcSSPsdLqvps
lwFU7eMzMWbyIzikfkGNg96hnfZKFQz7cbCMDQeFdBsB5kLprkrsmL7sUUQVyaFfcum9ggproaT2
NZAqI9Zk1w4u6cVOrSBuSmgHw1jcbCj9ih0NREbhgllaKlOFyVQmu9xvcXKA7ydfVWHESwC6Zqmi
EeGzKjG4d3agTeRPMnBUWaDfO813YzaXXWM1OBVXbdEE83HLjP+dsj+XfWsfIJbaI3Tg/mYkNK55
lJlbFnovdyqWgLVsCSNYBeKZlW7NTxNKuLyKB+WTyg0rHw56IaAYXaHWAeEcy3+qjVCOrTWRtMpw
jppmiTf/NPfB6lAgBGKHChQdImUqTQ86SxbZUFm4z2CjzqsqbNcpfCp4z9NmxUD0L42nLulqZhat
wbAFFt2IZmG3Qzmh56PpUm5/toG7Ki6oqKOh3njX7pHTsjTYSxMWgHOiqRxqSpJx3CWezMdwHvN3
YUUSznWOZOlYQ1DsU3SouZ/vZJER00QkNcsb0AdgE2BYQdnVYDomiwIpjMAVQdy6a9F5yyqZUIff
Ohhurlpjnu9ynolz0M4jUHaTIlwBtg5h26mOvJmbYkhLWFLB0h2QW8AXk7s2qGKwdcdJiYnVBoLZ
5wZgAWuDlo8mICM+56b2iKu6B48vu0FUtSh3DGzFrwDwEsRDptqbANvw/APN5do95kzqa9UVR/0R
FUx21kme9p/YImN/iG3CnsY1prfAJNufrQ5x5Yt1c8DVqIEysm29q1RP1pfCpeZh1aLDR0CMDe5w
LkfsprlEWIGn5VMI+TBvSjaupxCiRd+sYGO+r3GCHGHK5+Q4JIwBT9Tp80Tbcb9EA3nL9BxWZQ4O
sdNiA6E/b75C5MjfIVMZ9U1kZotQlxgAyJe9Le2pzTTotHnYgIO2dHV4u6W4ohHohms15D7awyGC
z0piBAub1sYWW2+AvENfLSoHXhi384SiYPDzbWyUuWmj0BYNSVuV7wFCqG+ryxdQx8uATwkaIP+R
6A4BYIkC/H4KrhXvjLk5Q4Wa2vdVxmkJHIVPfdfgQGcgryCXPGwSCkC1ZUplO24B2DUxkf1umxxe
06bA6YCNSNXYWP22zt2wi+js6nVJ/XuO3cJe3IK4eiMmWzzNqV4M/lyaTmgIeqhAMhpvY0GjS9EJ
ngMTol5WOqTlJQi66NOLnp9doOYHsHqsBgMWfSAVYwb4DHnp6z6dma7zNel9Y1bP5kroYqE70yEe
jf1Xx+LCwsin+yVb09eAdsrdQbniMcSAUSJUrmT43pcgHioJEONuBGFCdvmaejQFZYRUw0RJKncy
ZN03njq91jg3UdWhPm+6WE/F9bpl92u8QoaOo5HeFULGbxMoi7ayRrzHsxzf9DKOFR4FD+0RRCVA
qdZiyQv93gYraVFbuaAOUHncaoN4zwzd5cfQmuCkGW7qRvc8v1/MMp6XdELWQ+f8BrpAfgwoKV6h
GPc5lkGbfapoi3cuIfOT1T46cTx7IaqZLdZrtUYk0JkBEk8+z8Vxjrsha7YyQOEk+9IdhjSy4glp
2b7RELcajaWe1FOcmh3Kl/Ay+LEDG7iGbx317q2kS1ip2RBEJ1O+k4WgvwErJk2SJstLgXL/ECY0
/BxBoL8RvCStAocLB+T/DZmb4tbB5D8ou+CuK8wHAOXlQRniaVUsIwlxH2wPZRtwVDRhIg84D/SA
NmOOmyIHnIJX36xTpL8ziB1N4dCoTBipsFWuC8fXoBDJM+viRNYJVP2TUkMIKwykJY/jL2+g/usd
V9CD9CcOKC5tAw8cKaY3dLSjVE86mcckvV9YN2GXn/HUD7BJekL+GZCA80xO8BpgOI73GFlwzQiu
EbIaUROPxC3diZhOsu0EkNsvL7R3a/qVDsnIj2ws5JLUNNFkCZrCpsmqsXlx0CzwtMBHsDLsM9IA
vAs3lI0F8X2teaaJOxnvoGJWWeTSfZIMa/EjG4YFm8qkuHAC+1jakbRBnQdOAfMUsrYF0JKAsQKO
jDIeVJVHFho3DTD2JAUK2qnxF5kCn88NDE2AertZrZ53cCz7loMWUi29QuRYgxNskJa1G5kebVws
aGH62GVav47FSi1rYMQW6PsQGeodu2NsnM3YzJg5kYU7omIzT5+Gbzb0FX6L6n29jglKsmpTHXaG
I0VMkpUYHuGvnyTJWlKKQ9c6m0/fTdBuUVr1tOD4N7DweeYuwTKjYb4wP1OR1Y6URW73/2DP/T0g
AvMPAWo86Q01JlzpLP33tNFA0HMwp8ovwpAi+dP1jjKewn7SsWxBe66FHWRNZKKjvMq1QBCpEvBR
5nqJB5e/sN+Nrv/z+/q7u4y3hREzGeKqmAYM8xBe0d89wz71iCa1ff6Tj+qabZJ/gB+SlwILMRhh
l/2DUfl3T/76FxHjxtW4Zodh+V5HBfzV74VoWCwEeYlf8o+/aP+gauJ00LDm57xLDCA4S1yAyEfP
YFb+8VX8OTDmzzDHH2NQ/jpP4a/jFf5fnubwt7FKf53mEBKCmMV/owD/Mb3mf4qPz49/Df28DoD4
4yV/TnIo8JBPEDUhAliw7HEPg0T4c3pNgQe0AfvAwz2KCMIZ/Pz/HuXw+8SaPM3xCB0gOBmomn8N
syH/I0KwHxP3gRlg3FEZ/t9Mc/h3rx2/5cqfhAjRITDzHyuZhSpK5jgJjmUQJKzqmd+Opkzmb3+5
Jv+YBEqvCesiR6V0fWYGQer9326YLYTVBDE/OAJYCb8hOYESxpDiXq5I4f7DrXJFO/5i6F//FtKo
CPkjggt44Pr0jr/eKvguQOnamB59OJb3JNP2FjsLzJ+NuAeVyf6f0Ig4/Pt+cP14GP+VhSlBzguj
wK5zWv/6Jx2f0wmgIj32XlPI7NO43MCQaiH3Q2JPUWys5SumG8XRnhiUkWgRkbw/ZNCQhsOUtqZO
rU3WyrgBBzLr9bEcXdDDJNTkcwB4Ael6Lg+odcvDuun+IDMf1aB2hzOKHPkoOMKyItDLS7hkwxkR
VbVHcr6/o37p75IWgewmbofu4CeUIH07Iwi0zPIxAgf6Cwbv9trxRL/mqr0lxve7NRdDbWAeHLco
5rdJAlaj7lhsHqPZyN+2eBvvt3hlLxHpWTUQKvbp1A0oDqWtzTisRzJSJGu3KToUloCAQRRvF3ZQ
s8QSz5c8XMY7tDBAY1EOfBDRBkeRXeVJHazHyeMcrBJX0gzHUTR+zQVGd2SbdLC6ts5UZFpRQ+si
2ZM50u89D8qVN67T+YwmyK+ghd9LPNfFzzfdoNg+H3L0aivFOq9Jh+EFKOjl8Gl0rt4ZUhbfWcmj
pxInXlevZC5/sgKxoQp4cQ7bMvIjB/nQu722BSpFAF3dJ+9EkdZw2sQ9EZCyatAB402OaNLFQ7F4
LfyGUCjtNQTPq/HIMP+pSiC53QP0fepcT2rqmH/qQNHu5pDod0Tk7H50ZNkXNgvSyiFf9VNL2R26
ofvymqmmBaJ4acsCfny4pZ3czbg43UDF7STk9h2jDoLHGNH6G7IBh61mF3KotZYEDe8ZJVUwgvvM
+vREEZzDyTnMu9j3/Iaw1vxs52z55KFnYre1WzbsgqUvz7gEM1I92de0iHqFxHc3CAI5Jhc/SexW
VN7JhQaLqzhvX8oZ9eRElTgEqkAFA40YhfQ6AL5PSI2YUVblarmwQCdQkTDXqs5IwT5AoFH8cP4j
piZuIFF5OG3Z9ERXEd1k3fyQunUNqwIPU8bSxt3jUCdjPkYCtCK0v5zMg32qg+UWocrtc8GImBrf
bPqp4Mveo7EAdrYty9OECFANzuEJiHG/M+n2Fhgd30VbF+0iv813Qb5tu7XM1udhKE3dhqXde5k8
Dqv8nsd0jI49tGmbVAv8Av81ZD0gCGoNyqzMAFoRlS9UxKoNwkLDW8mBrEfG89qLKdtuilV4dxIl
wdyRuoNtQyoaoLB65fOKWAIAJzOvLS7EODXG25l9SxAeaBdRAYwu7Pot90u3K8M5b2FIQ4upAwq8
rEoxIKoqF0ykOqwWLNCbCxLEtMAsRlBui3UmTS8CX+xnNvdTglDIAmafr1uLkVXpNdCletveZRMM
rWoE+rI+tFB+i7hS2TR3l5IGFmYxcP30PVLwA8G1DTTodkhLltErAxSe7qF8pvnP3EH0BIaAxNGZ
ewyh0M9cgl1CI1LO/D1IFX8urewPmgzYhkeZp0dLFvGaUx9cKemI+mo1WXwGhDWSat0sJplhTFZ5
SJcYqm5Ep5vQufQYyYDkEAs8uk65leG3qBtbVs3T9X/nNKPP3pv1K4sGKKJDOKg9PKD4NAoQNJVJ
IB9yI5KTmslwRnNQ7hZptqGWE4XSBBF7vExJArcqt3m4D7N5bITuoVuqcqmHmRSuAtmBPpDS8gec
Q1lPSzA8bzOillU6BAbNuF3lo4sT9StBJXmDN9K3ew4gHfp2KbcGmRPR7TQiyie4/uW9SPvsQ0i0
/khuWQSe51w+BivPQQwgzzLUyHHj39Jgkb/BjRWvMcGkM8FZhuDlJsfnVnbgK66PCwuxefDM4L4V
ze/n+P+vAv9hiGEIAuEvFc9/VoHIEg/zx/y3yvH31/xXGfj7k6kwcgkPrs4iwJT/KgPxPETw5BgU
hag05t+k1yeH/DnTMM4w0BIBFhT+qM8w1hKFB76/32caxphlGeKnkehCmXgdw/VfI83+VsxjbOP/
rj4ror9XTQjf4z8As3mIpwD853gX5ICjREUmOaWiAEiSAp3Vw2IPG4L3Z9FO6REbE4bejOvqf4LQ
ym9SnsDsKMJwfRpHAxh8VsGHyAVsBlRMdxsCCN8yBnOtylSGOVxzkt91ws5Pntn+m5xToFDG9ifZ
ZuGPUVGEjFjOzqiVdxg0M31iB2RHFxS6R1m6Oui1Rm1fyEsGdU9b4GPU8egZbC0/Q1MZLjSPMV0x
niF7LsPtmEZ9XQqKNpzJ7hzaGZ5/LxGdkkEWN1HQ5mdkpMAOUeHuR4XJjEoU5Y2fW8vgsLro0QWm
BJ7GyW3oezAJiIHYyo7xtI/yUBzCMWrfwrIv78KAP4QOMjeNwm/QX8cmzCAODhPsLRQrKv4t9h66
ovQoaEI7RLWWegHiGSbY20HsYt4OJEgtMJQwFUT9BAQ17WONlO3Ua3EYzMhfpoRlGO0gEnZQ0rEj
6EBktZIV5mnuMaUwjMz3segpVKpufVzGfvsq/erf4AzEjy24tCN8fn2Xxcw9phkuDnI5/R62rbnA
DZk+ZWxcA4Mq3ysr7CEPOT5G61yV8EEgVLmCVOKJ+RmUcdXr1NdxqS4YmXVKEM3cGYTEkToch2ZO
6a3kSp6CIjhBUOSYYDiiOLF6OkyTTX9roetCe196MA/JekC0kp4iDFF6wCSbLdqXAePnDqJCsIs3
Zi4Aithr6/vyPZ8yjKpAdhLWKg5pZdfpW0mT/nYjGbnFOQefCCd6/x3J/fmGGSKekzFRB0hdUVmt
SHIfUydyVnERx4+bz/vbtsWISp/nsMpRsuRPmJwUQo1fpqLp59heoULyUGqslbFdMlqzLRFfBrD3
HcVYuiMouviSLSh4pMpgIhV5/zYhhXs3tCp9hCC3HV3nYRoFNr5Ea3pN9oztPTJ88ze2xWUNuFWc
ZGBOaqBXw3tIi7toUtH7UIbZ7dQm/IQ4sToyJmAKSBjA+zXp0nuh1kvUrQmW46SPAVkgt7aYIG6g
VgEN4eEuUjT/AID0K52cPLVeAYvxMj2NE032OaZQNj4fotc44V9+jVVbB20SvefF8G208fY6z8rD
ShjI49hl2QBNDwk0zBeABX4dpHXX2TAN6xVBrw/wT+whb/kE1QgDU7+gEnWHweJF7daLl6InsrZx
oHfEcnlhLb7ENY77U2aALhSIMT7n8bzAPEPbUi08/LaMw6mN1uw8QsEckHaoUdXIAbEpxh8xRkQ8
pVQcM78u54xuwwniIYQuhfGcBpvl+zKW/SlHYm0PK3Vq8hnVKR0ce8Jhn/zaYE3WMWddvXXXUaUq
5W/Aj91LPqjgUUVyrPGF5ojDdRycGeyRh0C7/Sqy6TKhAWB1We7ThckDnQEqQZYUAG8eLaX2LcC0
PwT24/CREWRHB4wGmWuxEns3EKu/4gXODErvBlRDfoCb63ZWhCbYYdZC8bZgNKECJLyJHjqiHxEn
8+39No/8ELgFnLX3aV5r67KrSIe8V4vxaGbYZjgDozFFU5b2pd08unjBS6j9ugWbEcy9qAA1kUur
JnXrB4r0bRi8sYjrompbiNW9KFFJZRMqdD1ktQj67yhzyUkQyPAjYVMVMT5+CkQZL3TsyscUZtZp
nlMnKwBny2O/BBxk9FCnsFY+MoC3B0bS4oEAs11qBVDhzhYjqQsqN1Ehg5rtgO6VryVOjbsNxO53
tHL9jdzsjxKDOo44EbcaRoK9m9ukx1Ja2c3MMqQqfVDeSJPoh4XR6ZaRdYKf0AswI1LtMEC13Ycl
zOgt6tQunaf4O19ldMwWfEpNixFjbVn0C2MGze2KwW8fSTxdDxfAgm8dhrS+YBiEFRXK+nIfs7I9
wCCH4enbtQ5C2j2EIeovcAZpZdvJPRODSz906dZ4v6jd7KLiUlxF1MaJsbuPc7ZioYUr6PokBapJ
zHbwbWwOA4iMEy839SIM6OhQsR1mVWwP3MbJTlnMI8RoGLLBtAuGBGSR22fTaO9C20bnMmz5D6ju
vFnRk1c2xHHb4xa/YNiZOkJjwqwNPunynWdZ38hhJW+CQpjAztSd6BI1PsrSh82w4EshzXJWGHa0
B88z34f9IE5pEiAWipzgo/Br8dKuBd2HZCLPne1hCtsc+I0H97WPu1zfaT99DnDZvshmsP0bvWxw
f1zSHjCELWw2hFeq/8XeeWzXjaTZ+lV69Ry54M2gJwCOpzeHpCZYlJSEDfiAe/r7gZl5S6Kypc4a
16DSqJLEOUAg4jd7f7/eKSerVHV6rCVSFNx+1QiIw9dKibxW5Kl6S8mo5ezPsvhBWgQifiaRsgWl
4fW3TdwU+yrhlfan2slzkquWtrATuc0bkID8MBSJTq1gVC5SZGXI8sTNMJT5vrfkC9oA6gjV2qJz
ycw/5739gsLuVY3km1MsL8C+7kqNbg+m85rrNeLQ0vXbQEV50Ju4PtaJ4zwMda6f82wsv1ADmp7a
iB8cSlthqadz3+bHOuZbyGPddM3Q7wp7QqZ5SahFO4gOOZCOTapXvUnTP00uJqzs9Mkm6d40fTPb
z50dvUkcUS4ompEHR16hU72hWhZElbrDN18vO0Gf4DKtG6V6qdlAib28AQd0lG+bHKTR0VXyllp/
piPDM/KTFs/lkTnGzos1W80n1Yni7CaakuLkJJbWPtD5TaJdseQFeQW6MPr+0KKs7KubTJ3yaDXR
ZFGuAY1DAQsF5KFxUiMsFXVGllyV28HunkhDR7+d4iKEz0Q/NDafKD6PezutYXGIXl7xX05bDydm
gNbvmLbmhfR0CjeqUll+ju70jPpD2ROLPJZLUmwS0FdHThDM90oaIx0vtCAutflqIFu+anmax6Wn
ZJSk4+tquT62nq34nanInVZOM030NdwCPSbBYxjtKU0PebTFuQd7pIr6PfYBM8DbmO46CqvBHJm3
Ykm6MGuU+LCYgGRQgEfHVujpsVcRSWsFWFuU9BcUQNAy4jz8JA27COhfz7u0GVJ6vJ23QY4dbdq0
qDZjZNaTXyU5B1lUI/7kMe+lWuvUuXSxA2aqvpmSllRQ5zUSQp+Wl/bVdkvbfepUWTrdF2k6TW49
Rg2qmj5ImyIFovCfJO4daP+LJA51hfnTWv4l9oHXL4nsfocK9W0q9+dP/gVn9n5jnVLPJ12jeK+u
CdufJX3HWBM2wMw6Mz3p4Blkjf/i01OhwlnJj6kYzdYa+J+5HENaaSKhRPoX7fmf5HLfZ3L8as1B
v8KcZIuL/cD+9YzZVvJaqfduWrxRFfF2CtYnP3XRRH6T4/5d1vg3VwK/ZhoqilMdIPT3Ze+iNEtz
mTSupEM5ECoQyLJCrxIlMvjnV+IaHp0vRzcRbXx/pbhXMMDyzuz7Mce7JNXrbhAZYqDl/I8vhNOa
cqS1imi51vcXGthzvKpd6v3c5W95kb9FSvqW8fd/5zIWvQhw3SjQPtw56Mp4V6DRoO2n9uTB+QHx
y86ST+m/cetYqzRRcVE4ZONru+QbN3dc0xqtUPrsh0igp4Qe61PKdC9aKHI//1Lrb/q28cLCc9ep
CPRd4EKa7od75wzCVXpvrPfJiLkAUdjdHE9nTZnPBDVu+POLrR2jHy5GE3bFvFJU+QhFVRAT8G5W
9d5DlkmQL9p95jbwxJT0VXVjEaRY8n1thhn48wt/7PW8f0vTsGguwcOlOPP9/UQyJPWCtsIe9SPC
6LYxfMtT8rOS8U8/v9R6w374jpajI27Hg8Nb/f2liNJoxqCF2CuSLE/IGpmdrkb3P7/K336hb67y
oXlFBmMOiiTJhChonfR2Og9iLI9l++/dum+u9OHWjblIqqHkSiBl5hB4zOuysij/D6+X+uOXoumK
m9fzHFguQEi+v3VVJIAAVbXY14NehbU6KKszgYLpYop54zEGIqS9A/IS3MJexaEXZoXhbYzGLI8r
w9RGHeFMG3eiN9fS0PriJKkInCwyDkhQNdTj+dsMKPkQL9pwWTsd0vt6wc6iewitq3pFTSaR2Kj5
qAcUtK29MzXidm49/Sl39OpgRVn0aRDDHDJDw9pHzgJtfS7p72Ws5xwAWhx0M8pZPy8nNxyoBRz6
Hm2XzIty0+tOed8rmXlUvWX88t4YfG/9DTbtwJlRGKfR7YYsSByseJvZLBjhkSdUzjo+jwKb/FWA
5Qvzoa+3lRfX17G+VGG/VgZJ1iOq2Bg0vAmjbO/t7Ih+YqNGE6BQEk3MKUoAIkGAqWTjEpnTB3jj
KMg5bC5JTJ3ctjkCUIhq257ItQ8GYJlHEzr2LmuX6gSZvwpdat071xNKQM1Qf8LabJ2mWMs+xW5V
nO0xp5fUGfULVR+dkg6/CEqLVr/UwiSTQsyKIzRx1oK8YUBDIYU1aZlC4ijO3UijzFXocCpK2n+K
uDWnJGtqFNLZm6rxTGVm60/CTd+IfqP73l6qAzoRPj3189Nc6FW+bQsV6ZPlIQm8oeo03eE/MQ/s
6CAz1x7GECPkIgwgKSx0SRshXvMdU8bpVWzU3nUGjerNVjztSqsybqIs6MLqyui6JOws+4Ls9oiy
1b1IbG4ZOQRfUyZZQEo804mo4wfspXylmBokmTHdNgGRMYysJMPuDdx1CaqltQtAYrpaX2pyqL3Q
RqSPPKxWGMxA0dMNShgEi2+rZXuB5295cjGWPkxlThfBSaoj33HeUPCKfFVFLYrp0ztXyBUejLJi
/VitaiF/Mi2cPV6SDNVWTsK7wLlorNMEeAQ9ZVi6lXpNtxvTER3WzPbOXdPy2pnqogQ0tr0N0mV3
1xv1QDunGDFdwEiMmV/jltmrN+rK1it5j2ynQrKXekOx64B33ZEPDc9Lu+Q7q5Y9tS+lpWaJ6Mta
NksGp2Q1JNMhsql4fV68uvuqL7xbJLGzFhaj1T0iDK5f4sy0Ts5csIfSGLEgQinG0VZXxSJkJiXA
0GAerYTMuoG/d5yiuNy0E6qrvM3otSTeRaTRk+KD0AuK0S4o1KfHMMEZchXnHtVPbFZYT3hC0uDo
kwaPN3HB+gEajO5R3co8RPaY/I4T29qXuY1/y07oCWKDeq67edgZgs6b74HE2yyjWx6RU751Eblw
o/To7yk3U4X8vadlHSbddF82+r6vhs8ShiAOBLzzkproiaPQuU0kL6VW8rEgmQyXA8bLTZzznpvI
Mn2dLPrJ1erlpHrTVixOEcS4TPpAjPBzfRrFqW/0BYuaXXG6wV2LGQBd8rVBULltUBVs6JyRUQ01
hN4ug1XbsruJkV6Btp67tcn31kX2mnaKe+2OmfVaTJ17awy9doX7XnvIsJwfJ8mKytlQP8GfJM0q
qJoP5dpi6+Cf+MJtvOu+pIXXKS2mk5jmAtSg3L3VbMwbSOVeLYuNsm3ZP0AiOreoizGxtC3gYgf4
kW8Z0r2Nqry90EbJTvYeaUmPKnShChyIc8YmBuIhtEcu3VYVNOTOhTBMQ+NLYpWUZAtKmGhRWcHw
Gknwro26p4g0Gi4PQdTX3Uo5Siu9OhW4jdnJm0RS09DIMh3uToqYN8Q6o23ed90xSV/63NV+V0d2
KyqiRWCpi3aVR2g0MmuKt8OMh8QZiSR8Remtqyy2th3SgWBgtgBekIUdsa9Qvi529UgtxbtenKgM
J9WBfKQwPkjyhCn/qW27p1xdUrqIo8BFo3iMFiluO8neo8TsHuDsNmU+UDcdqMJR7aJAFcMTuTIi
Xf0MTq4/DVDkgryS1y5V5z3TRBi2RB1mB/5euezb9NoADfasZFl3PU9Jfxlly1OqGuOTm89u6M5V
ujMX+P8LJuJNmeC2xHoX0bCkjt+KMDWStyqO4sDs00fe53M7qPFedyvKoTHuo141apSdHRYxKnA7
NvfPilVJX3c49LCSmQcFaum5Kdl5KVsirxGu9pBi+64oF49oz983Wdvs6i0GBY2atzH6uY0pkHMb
YwwyR7kXumW2uzLxfIj1NbWFzssAMxcFm1lGktewRDJPBBpWlgP0bdXz3dpJkWjTwQnnoVnAv9dG
KlCCNz3Ur2hshI+r+7ETusCFZIhj5fRqHVSubI5G0clQagJTXwh2uXLs04xsVSwcPsWqUxLOCHlI
H9MxVKlRKzsTK2pyHIFeDJOvi2hwj+aAwsaPbIl0Hi2v10rKTOg03ro5S1zfpcr+e23Zsa+lsXOY
XKemUI+SCLFHY6mb1YeTcQ8ceuew9Pr+prSR27SZiaknAJaebfo6aU3Kd1IbUEJr3Sc3V3Pw+lNx
P2YGClCMejTbCa7NFH7mPBxLSvMhjIzPpiuB/WUZ7XEDFwOtewSpvF9sHMOtZWXKpcYYiCxE608L
3dTnHe+pbvhVxngxWbj9Xm9kj50qes2xYSAD1/ONrlZuCEBaexZAfa6ou1a0uGOct6WpgxT1CmO5
4nWNv8SFozH6TOsUv3AmSK+FohzSyVLRQ8SC/c202b7NmOiEbAnF1YgEHMEuX3ify5HuoDtbvyS3
r3Htd3G8x9npEsJTdtIN2MzfB6PdssSm7NRi33CAhrY+Dpd9LBEqYPVllyO0vJoNBc2vvhBX5F5b
nXjhrVOPwjVFhvSrRO17MSlVgfXzUCHQHCoUJLsfE7VYj3kH+Dyt0M4Ivk9tzp46OulrWcg7MJDa
9ucpxg+ZIfAgldTQNKFSryOaP9wAc7BEPNa0ERuCsDKSEQcUx3FZ4hXFI179aljJD+H/ekGH5jij
bQyDhtT3FyxbAhwT0ycbSjOCp6KDSkOPGRph1opXPLxYdbuEeNACr/B+7IzVotmYzUdtm2iFEkA9
tV6rpRl2ExKmXyR2xt99Pgvpp2U7DuMEPybl9ZRWCj6mfJ8IYR7l0Ik3+sq8U2NPH1P4WNSmDQxJ
XqQk0/qrAVr5yn2tr2uNQDvlSxDKlDTL6VTOoE38juEmYEFnaZ1MPfUuyjZrL3LMWpt+aNCF9DKy
9nHErmxMJK7QLFY3GjqwVybOLFgn+cvOVTTndl65lswTmYqzmqbZp/dTsSzRdwfjkuu/Uk9qHwBo
62rULCJKVUXPyiSpD4sjZsBNxulFyd7OiLcVLE79hB0Tu89zkzrKXiFs9N0M9DZoQjhzbX/8+fL8
Ic/2qNy7OtOAeCQs0w+foJ9BXtSplu498u2dpcRodMzxV9vADxULrkKhAv29s3KtPj5zmcohsqF2
7G2T4NmO2bjK2u6DRodvipCuMvwZ9MBVQm3/+edfUP/xHhOigNN1oeOsGK8P6TBmS/rvxZjsTSRm
EYPIKu/iXbtEN806dbRk5msPy/y5NOczpfXmTamtER3GYMUMDysxPLHfthgdgMHil+9rwkkzb/fE
395FxoDNr03EOLiDEnUkru+f/j+io1/UqynasW/8RHrOGJuqfP22UP3Hj/xZp6b2+5tKJRMwOnv9
Wo3+/3VqjZmqDCGz/+AOokbiyPpLc+QwLJWfcuH/rTqldfLKX5ojjanh65bqGDAZIQT+E8kRhcHv
j0U2DIvPtWqX0B4x3/XDohQNLqgpt0cg4DV8Lxv7XS+IucmpK/VU1YPLVJ2scfpF7nIo10J9glKF
myUva9E96MLsCb9Wu4S+Kdju6jFDr8eMHvc+tWlF827JrEw1GdTjhG3fZDKUwCrrzftMGUcF8yUM
TTEc8M6KbqCPjqutry/LYs5KEpwUDa3n1iXTWrPpiJJ7UA8UAubL2Yyih8xoarBc9jMb1rAbq8FZ
hxMwQMDK6otMYNYR2YQUz7Jy/YEMn05bmqCV9D0yLXRT7eChg2jII4t2Idy0aRzeLVifX+kXIUJk
Nu1wybQxLOF60pPktoMkkfeMWEURNJEiT7zSpJhehZZCxI1z5Xk9oV1HO24HMQm7m70OeqVFSdat
rPOpknUQbB0xEjZ7nw6LQ5xfjJmSqbFiHSCrW1H50o8MlR3f58tW66hZaiLIU2NwGch512G0tNvb
kJRheO5b9otoIZANkBvU02GqgKRi1bX4otispf7MjLmGcQJksJ1ut4A/8mFjI0bQ/E5rL0ZmIqzY
Lihs9FUo8aT5aB3sda6ul83Thd6PXrdLM7Ppt0nXglEbWOqhYkCfvG1sYkN0l2JHxhoFdmVN0GCy
3oHIm5HeWdTXCLJsk1qEykaHoHUQe5K2JIRkId2tPo7jZuyzKsBKNMTbWe9VbnRc11agdcX45kSp
+roAHd3mFm/jdlV0b+Dszq+CcZuIlVph7WQ11fdayRTf3O6LZyQTth+pA53/Wol72rpJrIZ661wD
h25DqSd0CxPCWXj9hcai0SZt2MRx0WznIZ5Qg7Te9WQ1gJGilkoV/rEjZYTJ8StD5MzBMABNWYlE
gZ0p1YGMTz/0AioX00SjT7wNMJ+YgeB9jsSgIRvp+iHfxX2jP0QIzA5jK5wtsAcHJU8Zdff4Q7+o
o6WEw+wuIbPmcH/yBqSHysGvDS5qGrwgtl3tQtgFqVdiuS+rk2E30LEgze4WTQutgam1HaJcI+yi
5gESWnvVuOryuehFFEJ+n88ypRobLaiBA0VRvcyvFWQZQ62QP1ZTedVYDE3w+wrFoK8PaRRYkEBC
LYmqR5vcyh8VrzyA6omfetTueHX7qLjL0SwG3QJECu7Jrq/QCrVOZFJkMnP11koaGcygGb1tRaYw
srNwSJ3eHfbS6uvrVkQeHGG1+L3U8vmAyaIKphXcOUyz55dR/yVTUzMEUs9oXvgq+3UuAwAO/XUa
5yfI4FbA7GBvCr1Bd9o8xKrJc2TYVJPU0r4ZO8A7XBYwuJzbP2LI/5yKvzgV8fnpHGT/+7F483tZ
dnMBRSb97mz88wf/PBwdVLd0cTVnNSZxBLkkZX/5slQm7BInrQBgm5RN+9fhyJBx/midJE4eR2Zh
cab9dTh6vzlrHIvGhmke7+2vf9DE1d+Jsd8ljQxaA3kMNgl7FojyD0kaDuZuEbU67y2nzLFWr554
fEMjjgUq9zQN9QwCmBDkAtuxtxtKGF3bHky30tTt0kD9ChLoJV7QdD0pLhNPVrFEHsuw9b5g+o2u
R9tmxOGsYRhO5aTByHXhsAml6/BVMLh3Ad0EisqAqb1xFronYCkijUoYMP8ds9mrc9vN7XHOmuRK
I5/cOMqyPEa6YqS+CUdm03oq2qYEdNw9Xtap3KuNR76iUbB6ZUQtiq4ctlzmV7YBbkmtvRy68cR+
kZT71FnS35kNH38ZGShxibXXeQbDl8nQUzzzAr3W2qNwUE34eLPwW0or1jcwsq0bRvkVp8Hwsuu0
ojA18BruNMpT0BoiEI1VP9DYGdHOZE6cDes+EwfTxEGotDb6JSGoFoIxU/2hsIxHt+U2awpoXZ+t
Wz2WRO4bDLDmXkcjtNFhiGLsMbXjCEfthikzNkb3Rdwi5KuAmbjtdRK5pg7JIi+PNMfqIHOXKMjH
hG3Y01WIoK64LB1KTJvZsUemMuU14q/SUp+YQ99fyMp87gDO3mtdV7o7t42AvjF3MgYBxbiA3Srw
PU9Frm8zabgoUeNsLRFG0SV25zScDTUPBAivS8tCfO3YlZvRn4mso4HxHcM4Vh9TaHfOcLPOUUdF
ZDY7M1ZvTClXflClGwicO/kCzyF+bIUxXaPMhhkr7A2TkJgmJnIFVhb7L37b4ugxL+HCq7Py1lJ7
8xKXzlM6rrOjKjWHBybnbQma555EtdngcxL7EX2oWml9kOdZdhfJRr2WSueE0WSOIBqqXc40440w
2YMTSd+OcEOgnEHSs89A4W2lLfI3bxy/gCxQthVAU3z+faHdscg5lKapOXBGoVUsPGODon4Mc6aW
hXZp3VasNjht3glSCXNf3cYOlaR7pgqDLXrCVpSQt/oWE/D2cBVIPSVQIU0CrONQV57BJceHukia
O6uoEVealnd03K4JoVChItOgPhXwHq6MoWHdsGxHmlRAx2pag74kqQrXwYJ5ALbG2hBxT3doWld1
YYr4Z2fTqYy1Rxd9errtPG00OPa1xcTYkY1JnLjEaFNh1wGqSFfe63pujfcWp5mFaLDJE+0M3ZRq
nmpl6Qn7unPbu0mUPE3mInqmItDw3JYe/XIfatTM9Sn/eu6sP3lGjfemyIBHBi102DVoqxTrefKY
l30YK9SVeMAXTuspUxcTYEultMP9kKbmeI8vXRKfxLGSGVe5oQ7ZC1yjdilDAFCls/iJtbJ6azSe
4dAx2CRkmcXxC6O7Y1rBiUbpM1cqwfIcq5npKlSj4oRa5sTXh86D+anIStfdQIPu83gPbdd8WS2H
/Rcn97QchZ+2eHLwixXWAFfIsCZO8rw3+BtczUOmVpZS+onKiMGHMpfAydXG0O1A71s94sXSps1/
8tf/k96KXIxT9X8/qa8qYMf/Fby2VZF+n8dShll/9K+z2vrNXE9W0yWEZSSVRab411ltkpIiNkEe
sdqoTIOqy1+JLOYZxBp4IjFRM3nT5qf+OquN3/hPwfRQHrdUzD3GP8lknR/UBp6G2RhBCKEJiivD
IT75VmPj5PT2IQ9gV+EVw5zp5YkTMuad5E5nYvZEDa7GBesyHsk+RPpM96LUSwpq9gLaK9BHm1lw
BmOgkBszprTZK0W14tQASQgGPidG95Utyb2YowTPWrU20izca70pNd2f9ax5KWrbOAzpSkkeKXqD
2ynWfvHiuRceIfQLOD865/hC282ADbD2R9TpF4yzM1/LdtCuBH14fJpIVm0Uurpb73RO8HYDPX/9
ESOiNJ5n6XwD8ck7S1T48J9rOIi0TNzpLp6oHYlUm+5AmzMUNRegmox6clqEBWVeHSsLSvTR9pzu
a+eq2kNRCpJgLWHWr1bGRUrbcIZDVEwGrNq1I+jXntkip9Djdq9qhvYABd96dWB83FTMkNsbQ2I8
0iqdbkqD1l1nqGhYbdFpV7HOgGfaEnF0Bj7Jr26of67EtKzrdrW3dF8zBpPVpL2V/pB2Rf1iRI2K
p9Vo+c9M8OsnPNvW6xyvdVMZ8wEsbU3Zx4KrqUasP2RMPBbwupBx+bY38a3NnGu6jFt8ARPId6er
QFFVjqpxxeQscSqZtn5l5Ep24Q4RHO0xnS6zKB0OCOHpLKVUY8E3rffTZooPgCAgSnbIuuZP/nig
hUoMFcY0Fc+6XJ/wMEv87OrSdc90WMiVx3pte2OKosGndkWe3ipIWWv6Zxm/pebESn0XvN0SMACU
+zJmCp8xmRRGRY7A14D6K0689hgFBK8atY76RERkGlvcxUrlD+PylkSSO6EOpXeei/EOwbe1ncvE
NoMiSqPzonfZrTOYnokOnPk9tSb0h5IT+WV1hrJqqYls8wkN7JZogt+0RDp/ZRI9nw2cm3em70fX
2R75d6cfWA162/FkPaPHJ+XNlnFAVCfNy4LQiAw67lh8CoKsMBrWc8kZ6/4rdrox3qh9rV0l41ph
cZiSN6DKcVXdB/yDTAe2VTkfS4zfKWBKJjhvBpaozUSd0ruoauL7/bvYRwENbAQ4ZPjc6bIWYESO
MMEAzMpc8FGwYiJNdl8ngpUYywZhGWEj62T2pvoF8fZ04xq9cRCWrF9cSC5Ae+FK76gTexvHxO4/
DxSCahNhCwTo6Py+hFPF4f7CDjpV68uerYs0sgcEEYbkloB1nW8mvFk3ArnDyUyyMqfNZnpnZnVz
43oGTRsBdjYWjHRU2tPI1ddOHa8EQq90twrXIUHTrd5hHjbwGKXNy+LQNm4sxoBiZ0YAYo5VhKoN
6ZQPcC+hIdrQ3i/Ir/FIVDOaDh0pdZFY4wBoUfB1yJUPKSU9iE1QhHgfVJUFpqxz37t84P6AcNMe
BkCyu5nON7p9XTUOqFA86kCFd7E0jJXx+3TmN1S1lkFFx/6HfNyBV3qTNUPsID6CXb7p48ULYXk7
exuFylYtMu/CaiYlBFGttKv9le9rTG08bhdUVNimeSkQP7SYTHx8CdMd1KsxuZu7qb6MM+ltUoCL
O2PmXX5vLrslUAGQU7hh1p6hechzJIxMxdKZDxDhUUKQwh0U5nRXs9ApWSR585KrUbPHoR3voj7R
HxxcEFd0ocZo6yYIn+47+gPmfqLheTAIRy8wqLOimGjIgyqIPB4idVnqI4x9CxpzKZDNiyhDNKXS
+mewe44UYOQpFWkE4hseXbsBd82aIsNggc/2wmNtmdXwqkIyS4Op1LSHRs5oLiy8gCFda+jqApte
vtW63tug0Ge+mDfwRgi7YTJLhZVaCI3PA2k8jjYDEnveRA0YMhCDll+vx1H3NYaKvEsTi9VNIv1A
C8k7t6mlZSezlu1eomVkiuW65pmXwA+pPd850Jt1/UtQN1cSANvZsjQ0drB/uMQwak1/i/Qun7Yq
0hEAoJAO4e0b63r0ZpRMdeN6Z8VYeJB/bGlZB3AirFGF6XTe3VYeADc0tPuQHAG60xTtxrR5uwoM
UbhpRm6vUUxU2fgzMbjmeSz7iRmpjdUm2/edtWLwu70bE7c5a6lRlucxjuf8yQLBlxLLr7uUNowo
G5LeevUKhE14VcStlkAPZsr71zKBitvW0A19t6Hb5DOflh3YK9B5wGdiIyuIH2TgVm5NCztJSi25
ZjTAvGf7McSI41ISQvgx0F2NgubinUTJfERkDxEAbcyuXnHLPIPfqUutxoqiV+IzRymt1N4SPKJ1
rqGfk81fVbyT0KDZYtBljQAqA9xO9teqFOcq1tojFUWJInx2x4k4xGgfdCjylbceRAy6Lx7SOa5P
nDHujVY6GByidjC2qF1Tn9kX/RVkmurUMTIxGNw4eUydxoJ/UEafmLuzAdrRXDB4EU5h7wSqk/EO
+FJoAroH7NZDl8j65GRUT6MbNTErPHX9U9nIbV13zVaxHe+mBueaCecu0pm788Q4Y2qpvlMJOzpo
WiXYVVehEgJddAqUmZF41iKkoEOZHccfvh8bwyxzLXWx17SGDCI1axfiXW5s81JnRKZDOVeV03hk
HCP8fsUZ58HX4QHP29mGQLL3WJbMPugkCQRSOY92vLlcu1PvHLvM45hDgbNPIeP1vhi1R1MbqktF
tcvrdMndI4xgVq8GfdpmwOEmdrMaSVU96X6WO/LEIAz10qGWT+dWsaZXOnLZ4+yIRzNzmuIC2Jd5
Sw63UjgQMwbm0npbdzAGRB6t9zlxoUJ0o6f7gK70TWM5KeNj5nY7K5m3V4dmCOepB5nnIjoLTDNb
NWlddum2STZjTZL21wxgxHah98o5nqqbOB0fmVZSb/PUaXdONH5CfxdYaeZ8xusGp8SaGblYNPoW
GCV80t5qbztG2BL+lPYGK+D0JZP6g5I5JMhj1126kMyx18xWUDlSbJmyZ+4ib3Auai+FU9p0D40n
lcxvbSKjTcfAuMt+idiickF8MmLgi4kbjlK02pHClrKnz9HhmmNyU2UsasBNKzdD3lj3jBiu/BXF
vVE8RLTZagpiheQ3ZpOFDlGnsuTaNYcADiFzKLexq9iHojXm27gyAqM0yj02yXbnrieEgVGW5oAn
91bOA+sAFjNbcCKlr1vvknGAtzIVDEmkH36HOtC9YKZg/6hPunLBnIkC4RZ6G1yCxK6f+6EAlRrp
+nJkZjhs6rSvnjPCd8I7iRaW9a3nDzrOxL0zGsqVauPB5OR1why0jXSseZtVuUAb5DivSi6eJ6Wh
CsVceQy1bdttmeDHfMPZGWEL0rvaQUlNqFPngP+LFBsk+NhdFCf9YSitr3USm3RL6EpotYqHCWfV
AUO48Rq1at2EUdVNz0TEG6JrytpOqpbhjOxn0zem/bDOiL9i52/FJq1oKiip7uzVbjJwpiEG7PR5
5qGBgL4A9utAJTSQDEo2EhdMILJi9W4Y80LbxNTMZ2LxZsGPm0baBIo2E2axdxZ6TF/Z/GOGouiA
gJAohoBHyjqIE7wffhUb0Q7fhMLG1Kb23kWuc1byTnc59iLdxsapJWFb92QgSbNx0Olfph3vRWr0
47m23eKwMLTW95h5sl2WfsExvZqZMyfd2nqhPo7x5LLEEWKaTCSx1sCPjRQu4xeGR8UXcSMwPffd
EzASeRKte2nnJUh/ooF7IXX12Rs7u/UluUt/zJtmTp86G5riAeqn1x8VYIK63LNr4S1lrEszUmNV
iJxiErfoOsI3QTQ7VKQhVlq5L1FTsKlHtETqme17xiRP8addjJ0D2W+xAr2AlowsUlHHmHHlqjRe
3ERw6uoyWzEDEPPjLWoyS5wateXPqb8tWghIs3dZPUz62ViSGDTB5xwTyXYEIvZgcjalEGPno6ot
lKOQwzwQixbIkUfCck8hPvsm47/5o6D9X6UUN6Af++5//vujKoLUGaEVIiT4Yw5p9Pr/f2NPkTBK
0rpPs31UUTkMRVUZ09NiLrJ7ZpTl0mxN4RGNVKXFOCJ/zDl8f/4B1mr+d+osPgEuO5O/IQHkU3wo
tI+JrVWM4Yr31kTlGKt4F6ehZOCQvtY9k5hgM6p3qZEm8alnEF+5qe0uumJon/bgqlK7osxKVPnz
T/U3twUfvWGphO02dcT1Q39zW0pDYrVmMuC+VFbV58Tpz6Dhiph0WOWyfaoT+UixEBwpQ1y//Pzq
71qUb5sP3Awub6//IwTXzI/6qdnJQVnDTrfmglQo05oZUkbXuCLjgSQz+EX4X67xkOMIPmhr+A0K
y8xOgwm94JqJf0O++IgG42Tfrxl03cT4jbqIGudYAsL+xe36m4fIFFQNPQEVcyyZH+/X4MWpYihu
sS/R5iOkhszQBYmdM5ClRXQEzb4GO25PXfNKD3y+a3pqFU1CLp9WU3snyuYP0Qo8xL8nqmhrzef7
W7jS+UwDkicqB47h75+gYjXKIokb9m2GCcG3Fdr7PSWpc0eJp/NdtPKUFHS9+4qlwDi8W6TKsQL3
obUcyQEEhjUH487+/Nkaf/fBbErRjDBlsPkPTE0Hfzni1SbZ13ZMhBpX5F44ZsexheiNz7cr72lM
u+ZhrghbQ4bWdPlxMPXhTpqD1/nJsMLs1Jls2XyPizVmW++UlCQKmgbhO3w5Yu4IjwOMNmo9pYe4
NVyxyYSmTjvJy5nC4Nc/ktJUjNOdxCbNJsRcpbsETBL912yZbtY47jUtc9bW0rl4vy2nJgP6+e3Q
P4ohAWk4AHZsOlSUEPHJff+cEk1pUsbNKDsjsdgD9Wopk6OLl501M/Hp2fihwuguTPlSXyieTCLh
Y81gA+4nz+ZuxYZGdmItCCzAdPCP3Cz+in95jjfv5SFDr9eH3a6KBozocbqvYipgQerUA0PRh//H
3nktx41k6/pV9gtgAkDC3gIozyoakZS5QVCUCO89nv58KLX2IYvaYvT9zEVPR0skqoBE5lr/+g3q
rhkL4dnR1QTwxkiw/2JYLbIf5y/735nxBzNjHZXOq2Xxzr7JfUqjFzIQ3g6Mf/3UbzIVjCmwZJoN
CIJnm6b/xaAVVfsPhCn4i5rMnnnm9/5/0a+sEBBpyTBfbfVs8fkbg1b/o8NM5dCBG7xQrf6Vj6cC
Ov56u1kCSBWA8CUnl12HpujtMsbigsCnrhtP+YCOrUeDC/An4sU9zBz6WyZt0z4ecUZYyWzLmKRo
/UOiNRgyNHZefX519/5wqCsXL9XyaTRUrdjWwiC1GJK9/TT4q5WJHXY9ZjY5iGyCGZTTmQVpIWPf
FjbdvtZ9NSF/RE6dWbxqJCbzhvhzY2ou1OX8h9228jW/I8Q1P02Vh1mXLGUzGbr/U5mY0az//onP
p/yr7fr8iQ3IALYK8RuL0osTT4vMkGc7tScxwuFAnDinD+CYlli3mLEwlJtGJfYijCcw1zfwXac4
pvrF5Fshb6Zof+Cc0ChuBG/SI+eKQq4FPyWIr9YTXvEiDm/AtfcZ6QmNt1DFH5uwOtAXg/QAdxjH
qA777IPa5v1jMBdxNg/CYG28K23MSQrI4kqbU94CGxeBxX6vQeHFZyYHmcRUy/5U+kr65e83c1lr
r+8l5y8siOUsZi3yj+VjvSpedHkMtLIJ8lNugXtAW+5OpIO6EaECj3+/0kWZtJz0JtZoOCMvGmfo
rW+vVMLEguoQFieyILUn1HEcn37LENOhe1vJVcd+LeTJKlxS/obso0VzQavl8iwUVVe1BWhgd7i4
vGkuRWGOz+ri2fCUxZ3+lKTLZ9DnrFnRgtCdyTz6zZBWZ/+swvxJPEmzQ3+jXY2gLrKLjSrRYbFJ
whADCBUDTGuafpYSXHVZmjPTpfHVGEEIY+4+qprePygLsA3lPlQYikxtYWi+elAyc+dc131EGZ2f
PUV12zCTkZIW2xkcy/Jgj2Yp+R5YNkGOcxWuDRzDIxRSvfnSYpZZACEHpgt00f+MamH+6HUcUz4i
Z+vvHjJVFIsILe9SllLjvf2URo2FVB224ggLsPRty2ttCCjjmdfVYr/p0mPKt3026Z1DlhEmSUoO
2bAuN+lCD0vSKrsrUx3OmJkOwechzoodrLjWKSHZPRDCZyHGyX2MaxfuWdQKJtt+3OSnYSGnUcZB
eMYMFE3Lmb2m9mG2JawtvVPj4AanFSbLaWdWpxbmW3vmwBkLHU6JJpW9AbEqlfBgxVdA5TR2EBH3
4UKnm8/MugH8K3N5uyIM0xbu3bDQ8JSFkDfH4zN4WPupkyVzsY9rTVwhqw7HNVW9r0KGUhvflGjH
8Snyv2OeAPMvyivpW7fQAcHSyB8grXGnVHb6I+pLg/d+oRBGZzZhvxAL64ViiEdMuaE3s68rxMgr
wNNqrZxZiakOLwXMOUAJxXzFX2WNYKaAaoWJDaxGoLh2y1GjDi7IIwze1ky/jJkcoiO3y086cTeb
zo4ldd0Y2fxkGQUjRXmM53WfWMFagtbzRG7X8EK+MpxL2jD4PPmZizkutEyxEDSnM1ezXmibuAdn
25y/SgL9wuqEzwnDMz6zPQGtsP48c0C1hQ4qzszQGo4o6hvYogN9DiKQhUMan/mkAANwS0dhjlcG
6SSpf9sNzL4yh6i3Ka9/QJYAu/naDNJokkxi12zlxbM6ZXEr6PTbrivlU5u0BBaTfFPNG7KZW5+Q
22W6GKtp8Uk2JbGLJ0FX3fEMfNLeUF3yuAhO9HLf5zzEAHmACJMMgezWaav41yEjGWJLE3CdEBgv
tdsro2kFK2rw8bhC5cdZuDakMPavcYwS8O0r/NxYcCJpsnWeRrXt4OhPnstqJPoMk1KbEThQNMRV
t2iWUS4YBkOJAbdGTIR9qoI1bkUAbxaY0ezmKkZ/bhbWy5SxmYLmpomkLFsVQWS9SF0POOTJhdqS
7Gt11kmH5ejvc2G2JihzTo81T9uGuVJNEl4QmtnKb3o6eSRoebSmocwmsCMElK6uLp2OOdJlbuqo
QorLY1U/S2VG40HWVLLUwpksXTNUlYhaBXb7HMPPynaittt0lYStcTd3WMOuocKqyiEcwgbPZjOE
Mr0BsS7zTxzGYk9sgpqsu5JPsCraNJihu4wzRmrxVA7HzIKQs5J4VWpin5VuX+PwknqBL2DLmcgi
oSWbsMScHNba/BPLahvnOj5A5okpC6udwuRrSx5AAoskSSrhRUXke3PnIzYm3aO0b2J/iDVXRBXw
fEbgvXTANFtbK6VPPCngslmulClEhR5GCoOyxNZCaKT8PcgEWBizfAJRuSNq5Rl1TCR9qwkDmSQn
4j0Cp5hxfWa422uSuGcuq3Yno7SR3eWEZhz1LudICghG4AdsErrE2o9CJf9KzBq9TjVlDEWaQZ+j
g9IG7b1G1sKTPvp06ZbC4l135CiIVWPMdCikH9GhpKJKGhcS3eo8OkyHZQQTw6b71OjG8L2sQ7Ht
TaQmKysB4yBXy+f36GnBGPXMN0ByLLRbGjzlXmmJL3MGDLUst1UmJkI98uFoW4+qimenGTTq9Xkg
msvVsjjjuGo2ZtpgDD1OGmiWXC3T+XDI+WAFga7KgROMWSi2uktqzAB8hC5mhCrd2L56E6PGTu5U
K7e13ajFQ3dsR5hEjo9T442e0KevCmzjhl1RzOA6o5q180ZOmBc4WQ1VYmB/4nORWnPS9Jxv0VWY
DTphAgzk2knPq1OmWILd5rXJK193VAUBf8aeqrZ5eF0p2kSQiihDmceNiXJ3zMDVGgcTsYoMQtmU
xQppqbpsGrxMLt+IDYQEtqVObpnf+NBa9hZ8K9SeiCRZF1NgPP3CVUaazDvRjnJzCChzY3QUeRJ/
sjgtNk0uK6fKDqqvGrhT5YRaGKn7wgLuPsBoIBBnqs2K5ERzEptS5bYyu6mmZ3xw9BsAFTKjGOz2
yecBvUGzJYsxe5lme9lDMKoKGb8gxsDsbAqbNUb79mcJk4h1NpRB5SC2rFZTzcw1IlL9QOBdrHu6
WqsB256umQ4RnMwQY9CsVarmvCaz5At7pzEIq35mbMjTHjYv78aw7NirWCe9bU2eW7/ikBmqg1J3
kLjgRrY9J63oZUrvKv6Gg4B9L02U6fvZbmvlB5nZINAZ7k49kbwqv2rMlCVpeQgM2Hw8Fuz+SINZ
z0Xft8dxMkkq65vKscxmq2UkpmznweDhJGSMzJjGJkVxzI1Ru0KprxEhW+VZfwgmTA5cS2+yEIQf
YwLZxlsUA72o6Z0kbAYoDUNvVZwCU/UJf10l+gIMKSzG01Rg00PZEtTKL8NdE0UAITx7yS+H70gJ
JFiFZmPgDIqe7XaEYz5v6q5qotUvgkKktrG4GfF200+ZUS4poGUvG0dNCYk3n6humhXzFZ4aRgO4
85JilC3EkCZdKSMzc69P8ZfezFbF6k+0kaH75E9y4+JoZlSfkYoxTg4Z3fE6RPYjaz1rbnL8G9hg
1dKO11YGf8MZu68qrnuWgjV8bz7oxIQO3gCPVSPHObX6u8pvAKGngBW9KiPB06RxACCJ4PVhpV+X
zPyJvE1hTMF3JkhvHKXgmNRSiaq+ITsQqDbr2mOKyS9tJCK6dRNaSegNoyzvpgp5GnxTA7W25ofm
8dx4/BdJ+QBJoZM0AMj/b07fXVj8+Pk/uyZ9ygGnfp55gksoyj8/+JvRp/xHoXOiJ4VN/9YO21QI
TNFAD+Ddws2nZXmFpWC+QKcHbqm9EaZhoKaAzCxEPkXV/w2Xj/kM3cSr5hXTIOAYPM34DMjfxCWS
XNVBV2e2XWwlsyEPdQqLT6RDtBEjXJvpl6p/GbK+P6ZSyQCvK7+kgS7t5ME8qUVHyDKOgolXNlp2
i9F9fpN28qPuy8i4GQ7GsJMHi7qAqrBmjOdqk0RO3ARTz2rMU5liiaGOyk08DvWTLbKjMaRHWNq0
tKXvtQDZkBgy3UnRLjl9Hb10chedMu6jW5kl2Vw53kOyZBHBpSM7ieT5QJbjjaE0mLXUw1MxknGn
J7x0Gta3dYvFyKLbzwQWMAxKT6YYNwOYJLSq/MVO8uOg9HdYQYYQ3Ls19JNjN803Wjwd5IC/xWYN
hSF6QhlQeEU1P+ttAjFaeUYO9qWamnWRMqqos1B89ittG9UWAxwZbJgadHZyyToprfiS9OmTyWhq
LQfDnVwnx+UO4MZveVqSvkDTgjwUtPFaLA4hUCQYZQd0Q/3QE10+3Fn5yLRLZeuuU/sZVr+9YZ/b
Qts4JB1eMPPCAJQG9m9Zll1Nj/bqQtYYk/HeCKe7ocT7VST7YEyfOC5QfOsnMxRg2zhHrDS+0OLE
UrTTjZbyrCbRriu7ZMyrJfsZGhsxFiF6KRXMWi24UWpY+8Sso5RlUBGusJJFhEh+ApMjONaBtNzL
MHvqlAnBw8S4uoXl7C7XKrGjWUnVjGpIvmnVYYNJ5+HsqCL18qE0C5x0kvBFpPw1XYmOSTIeUILo
W6sg0DuO+IYFYrzZx+QlbQ3yjm1B8EfDhVAyxghANLLf9XhfTJhtaBj+QN+5z4grG6ec9i0kbAx5
+BN2u6D36vhsFfOBPjaClF1Hp6Qyv0Sj/N2qxLVNaL1roJRHL7eddQg/1djfz3jE0/kQNlyLbUDS
riPJFhYiLdavXTcf4IyRGTHwPG2BGxRUUHs1zkt4mpqRNdHIj3mgPNtigE8xUiC1QbrnkL4nl+Je
G9OXTMY3UzaKlrnXeC98hYTKCFsbzJrgotEPuRj04vm+3HclN1BDal+KKo/xs9VPJSXGul1+ju8J
09BkKQrjC2SHaQvjEhKWMp5KVSq/xT6aGTMOJ4/Y9P5WLO4V6YiPCieK7k5ILLfVYnlRFXq/azLD
2o29JF0n4ZSuqrnMrnOpnNYyTvdk1FeNq0qpeG4x0Zj62rhSLEZSrJoiqjSvXvLPPTujYTCTeXjy
zaKWmAirqbGhQ80fk9x/zEYJxv+skVJLFg2crtA/aXnyDQJDj19guhpDKOyziLyynepVpRG/59UY
55HmBAFub6HhdAzgiVQKb/KCCmWQtEdis/EX63R91VOejvlUP+c5xql4c4QrvK6pdiYkejN1UBZh
l0MIjn+jtHqLTQzLf47V5wL3PUaCWclESHYxzFfWwsSZhE8B2DuzDJGEy94Ir+hakwn8HlUW3ZSY
X0zJOHWUlzu/r1/ojw5YNXyAGsHtvtjFAT1tpJ28+uRoXYrto9ggTHVIiq22OL8xb8e0yxpPWCUf
Z8ycPgDSLnA0zgxgYw40oQN3Y4J4AR4j7OhyAz/1bcCr7lEJ7Qn9gRtDrOAHV7rAwpYroTqzlsAu
WcVp7uJKg2mOIvbLYqu2yZPtsxsu23GsDPjxk/hT7Pg3+QOYc0EB356IXNPiAAfgtJf/589foYSB
yO3QavwcrYUervSmvy9GXmxJaFuiX1J3+b6wig91w+72qna4+XWR1+yAd8PK8/cl+Q+KC4bywLxv
r83YbCDv1Mq3GDwKLy4y62YCNlm2iwORy8kWPOV5wNJmnQx9v6dQ5721c7JFSehZ9KlBPh+I3OLU
xaXKXtzm4g5FtTUcBoPtm/l36SYaa7WIqeJrSIv93ZgFjzL5SkwBtFNnpZI7Fjgf6XqBl5iOQ55m
sT38/Zv+YQkJDbEf81hFRnZ+8WDVNLKzgnD5bag2a62QbzD2g96LL8sH17kc/y53VAPxpbRCA4FC
4u0dtQc8wvlD1qqNhAB51M2kwMiiVxYIZOzYY9SKPQ02gmk/3eBdlN2GC0Ffm4OXqmdfXkqVOKGA
UNTxEEg4H9pDdy/ZxknU/Sa02O7JuM7cIAgNmAvq+CUA59mgsC6hMEzRoZPr5o488sex5tjv1Ejb
t5FFO2K0kJnz6MWPdMPJSWlw6tEqNqMUv/jF/GgF3XpuUQ+BHWzhIGyhT0YusNVZanBITAawajff
YKSP77jK77YtgBI9mVxT+dDD5Q87DJN9ZlGKTAYkGpO393E2yWkCbsnpBqGQUk6M7Gx6qRogPmL7
94dGhf3uDWTwqPG0mHcwb3h7rVqdIqheUw4prb/TGizfio82zPObdPGWL7MADXMQBd3hpd40Cquk
TWU53xZ2X66baFRdzZ+fl50+msl3bmt/n6gaQYHqiQjpcGXmBFKP/mfA1++W0ecOVgq1Y6Ux0E/M
IR4SyuaUU3ZExPmCJZdYoaZPtimDDLy1MOPq0C5cpaShk5/2YCGadAzsp3baRDZpCl/ZwcoEexS7
KtfgBMQi2cTJdXjVObIaveg5S7CKkmM/JntyrCaMzmIKVIXWU1ewc0df5/Zye0f+erjSxHz44Jn8
4Y3lWUAYwA+DQE5dfftQchU70WLK8q2S0igwFIjcqMVCUoWqd1RC7gAxKbGXTtYp05Hp+UDPNPfZ
dRuzlv0EbqeRd+vBn5G9w0FC9ip/GTA39NAJwZTojZMPV9rFuOcUwl/39JqdqISu4Znx9Cirw/Pc
yCCT0Sc4GlRVRMq7tTRuklB+nCjEnBJkfiPSYWOXw12ACN2Ja9YnFO2F49sPDskEsZf5mBeqOLAR
E9H/apP/TxbMH14Szozlf2ii6fcu7tEQVGbaDn2+BWoghY32wxz4OBoov18GHzwR5XIIvpyODOTA
vHX0R4vu6+0jqTQxMQTt8m2tAvQqS2wXAcB7gv9g5fN85oIlOTNgcfolkCCOqQCDFCYfBWBX+IZT
5HbpEmJYrWw0vCSONMQWTNb3JlGupN66Tu0MWpFNtT/mhfBE2TyTMnw3pgipzeUwZpkFInnyh6VK
xWo1nuVj1eVePBZMoqJ21bextW55pOf2ctZGwGKdv2gTJGBIS1Z0OfTr0u9IKp/JMR7RkpybICJM
Cm8AGtnjingftTSSFmpud8YuztHn4b5uA3igmo1Wpr9XE+UGWcJeCKo1xew8eDSTt/yLlPFf/H5Z
kGXXrxUNY7jlNWpG/VSYw70RLA0EOCjvE56LaUW1RKoZYdHMycySv12jBa1inVeMideVrY/PuMh5
A1xJ+C/RMRLIROyRUhxG2Jc47FGtaIYrCrLe8mwv9fH+7Btbw6x32jbd0xRvMp+TJQp6FiZvhzEA
6yj6N3CyfJ8o+qlvek+o9eQujdG4JGAOGIweoGuc0lb7ota4L/799Tb+8HpT68ABkXUoXKSWvl1L
KUBZBc0i2zYmWX9Nf9fInHsLEOjjY+ct9de51S5aG5dbm0rv/M7nYbuehmZwqpgfQ6TqAUbHKzux
PatnRsoIK0BEAfy8ssdu2qaLV10fJRkGjFq0qhYXO/Rr9hG+cejNAediO+NAmrOXu7OJ+l9ij4nb
6bEXlFtyLcielHENH4OW4GOLyjqgMSzHQygKHkhAmW3G3X3L+M6pVeixDC5cu0uPTE7vNB0JUIHz
zCqqE+FVw3zIwgF9W2Z5mcKsQS+mZ6OZy3UNs9akO9gmkXHqOURoMrt7YUDToppvzd/n638Rto8Q
NsF58mqtviMrnX4O/7N9QlkWRvXPNxDbr5/8DbHJxMrhRfEbKvudUADtaBHR/mYdLUF0vwE2/T9C
JsUWz2xGodhFQWf4h6yE7wVOGFQ7iyOFvuyx/wZke1fOUMQwvcOge/FFlI2LV0tjxBJUljlvk1wP
XTFTpgPgPL66KX9oHd69v8tF6AAx8IZdBcHh7fuLO65U2rZFnHGikptmNrMXkuZI8obWrv5+qXcN
EpdCfUpFTR8r65c5CAVW2lVMnsmWcSunfholB1UVCCEwIHfSIGq3mVJL7Fso81HYFx9c/t3thLaz
mDpiE6Lw0BZ19Ov+TE1nTA0MtdrG+XCvZuZnK2o+2g35FW+LQy6hLy21zHP7ZVbyqgWsa2nqkL1V
ixL2ftTFI34EhdupiunIc8Uq/V/A+A9Pjgz195dD+mfpC/WZyCT5gleDl6pmjHbDvGUQ1T5IMuq5
wpYy6jw/A2LUHrSz0aqGMRCmq6KIM5zpbGQCSKFQPTWFj2hNhbSBfaKV7LrBxMQVdr3NrOxs7tqc
jV7VSilRSWP/Wse2ulPjTHxX42ET9E37kmvWQk9rZfVxaigLpMnuMrwJcnEKq872RMiO2cnT+DjF
fn0VGQHprZDc69DTKju7N5BffI4ms2DmWotbPyj0a73NkzsDcYHTa3UGktkGp67PFUJZbd9bPGId
XdardQ9pZAdD4tgxEFuLLHvRzPSuiLRnY7Zu2xr18aBZ2b6Ux28BajcuEWPHofM7MxHPHg4i1QZx
DAVhjmtMEw8/69CuOAnC63IyJMBBmBiamnWroRiM0ziKhJwqw9+rgXiEU+Lv4zCi+G5MZt99/1Ng
ZI5reIOfiBLHp9mugvvW0FIXBxJXtvsApc2Caw1+vyX1zV/F8hge80Z3YfhTP1jTcNADGTLGQFLv
5AbDFNi71oo7+MKFad9XJj16iAGNi6oUlZAcx/IhLxVfWedjXRsPWm5Kn8Okr6+ZCPJ7rHFU7wvc
xA4ks3ZbsBkmqHXdZo5a6eHBz6r6WKSELzF4ShhC2iyRrIpvqgLAlTQnZYW4TV33BBc+wuDHRrOv
RldiItp97SK5Wpy5Jqo+4sLuaY7wMEb5gu1upnlhBWkIzati72Y8ja98P6xvyzmvb7K6ufLtSXyt
ZotBeieSbSWFypHBmrHNctYC2VDRGiLDuMkz8TVMan0CxuwCzGjEiD1jZN/KmOtuML2sj8SrFTeL
27badNMxGKF4ujax3GvcfaqvhQFT0SEPEeoHqpFNbWvdIVowIX8OjRsoC2vfF0Xm+K2pOCSHfYu7
JNzxY5/HPthrmV95YzncllPyECNadSjNcBzO8v7QMl90ohAWct8Fwy3BdspGFZG8VWRcXEl3IicU
atJhwjgldeRAL66hX1kqK1ollgxCiHyLqn56aiSC31Jemqs+iKVDGxjqRoxUNkYqYYcfZ1BPEr8y
vUquuFqQCDhzZNELMqNHf+0jx9uTAep/tSijgPBIswl8fziMeAy7ZtENroEoZdP0REhnCbliRLuQ
+eV3GNoRkuUQ1zTsZzVUrkbEDmt/8aYviiJ2SR7LPcMMn4QvPtvKDDgP4/QuGid5q/biG2nuV+gJ
gk/oZkjpNLnTIkLIpRWd2/sEPM2aBGA+9Lh+WUroGnN8lJqqvI0rUnfzav4RBVZj4TOSTI7lB/0O
wlS3UiT5dpy6Na1jgAthh/kRzdlmxmjbDXyjeqixGsqcBtKRV1LiAo8U4qnpU9IhwtJYNeOaYABx
r+ulvQBvNZ5oZt/cdFIpnti3rR2EerGRlTCFakuyNQRanpCulfPJT5NWdYRfTg+FYqVXbEjzThlt
iCaq/rUumEmrICYOoW+Fm5a+6hH3eBVY+SbkAHCwP6RnCgIGv2mm5Kcms3Zprz4sPgGO6iu5G1j1
Hvd3mGvM7j0/kaxj4Cc//RH17Vw1K7PDbqKTtfJ73In+utSazCYOgHePLcG4jqZ4vILmnGJnqNZb
YUWJVwzz8IW5lXCohrgyxnFIzVKDF8iRCHV8gVyWflZw5r4nQkO7JTLU8ERqK66SZnHj4JOBZCoN
2xVB6A3viTH+wIYPvJ5Km9uMBVVtxo86hu/byY6K1K3qtHMVbdTcGNL3KrUqUmVnU7tKRTRU0Dbm
/jprLGlLuiNzt8p8NhURtM6iy/GIU413VmyZ92kzKptcj7JVrWoAUP0UbaFVqXSldrjFWQlt/9jp
W73V9WsjUrACloLgm6Wv8HyeNikpcF7Th+ODws7lqTCR19yk9F5YgYJvvIIcR2oT9ZNWGSsD4+rP
7ZRo38aeSAKjNubPTS487J8GhpRlXZ86pWzXCQzVdTuZ8ZbRGsblBouMw/MlR0bn+FWdrA3E3TvM
z4ddHwv2jF8e5e0vx3J1cS8/H/X/LfI/KPLxlrMAZv+3KnpX5F8VXdQwbHt6XeD/81P/FPiWhYWr
oTLGWlQEmOJQ4f5T5BMpLVM54e4KLVrgScMf/XbFITdapYBntk6cHmMLaq9/inyVX/gLzlJVHMLF
v1MkiIuylGIUHQJQs27qSOvegZbINIcOz7p6p+e+iXdCLCl3MgfpEeYSoTNVbC1AsSl/byTTv4cD
V+9A0/y9VEf+vqnVnlwYU7kqkFRvEtypXZW0y8yxrES6tzCA9cyw1CMSSlvbVcJ4vFbIXf8JwsVe
D2L9qKlVuyrJeEFBmvlHtvFw9HLV7D1U7PVi6V8PmzaT5m1RZcanDkb86dUj+0Mhe4F+cQc0zQAj
4DbYpiouC3PmFigD+rLcjbUy3mBqyuE1dTZOU+3yvfjcf7/eRctzvh4sXwF7AgQfXPqiEZAUmPdJ
Uu7ISSEPJ0i/B/PQk5bNPfj7lS4K9OVKJr5LEO4tfIDVS+veGZUyAWZGuhv8qvHUOJ6Q3OnSxhJ+
9KlHm7ohysK/+/tF//D1oKiTrmSwmGgdlz9/1YTEstoMuCGku47JfeJIXR07jQyG43WjXk/Ov7+a
rqGoYaCnGeblnCSwrSHKsziF3DnoyTHHOmQ9GrUyXBOMdP/3a116oC/3E/coLmLSw6NDu3hyWKak
YZbI0a4KxxRReug3HCYV+RzYD+KZNoXjdVd3ytWAkcp2Tkm1QTViNP/6O+t05Itox1zSzS4nfWBR
5pR1It5VHae6NzZT43Ek+Pe2sVjC/f1Lv19DHFM4Zi5AraXR7719nDWEaNHWRrwrlXm+Lay68VqJ
N7gMS6rUqYlA2czcTqwPrvt+GTFNBBpB+IffFDE/b6+bBPEQBUYZL3kePZQ8nuYgumFw8ohy7O/f
8eJaqBX4/YDfMpiOrjAleHstLZKg0IR2hMNOFXgYKZiMROR6WviB4uHv17rYb8/XIlOAW0nUhKZf
jrzjrDWkWmINzRMjKa/wTVrlSPSK9/frXKIdy3fSQQFsBKTLclXffqfOSJvaKMZo58t6T9jxgMjM
YThFCQEk+SmMIuwFx5oEemdeLI1WchaEH8wVLtbO8l0ZRbPRLeJNAwHQ28/QY2gfVXrLZ+ibwCsV
2LKkjUMP9CFkk9VuIcIyxPTBfv5eFs0hyxZkMAlnIC5fzsj6wCB0yzejXQif+XMdG9ke7Hg64XYZ
bkBi88YhW2LMEXFAm3T9oZv63WDk4w/FSKv6uextMAw/97fQOLM9jln8Y46l278/oT99Tp0Hs4Tf
2cAnl3yERBf+wIBSois2je/T1Gm12wOQ8Igo+gxE5XFpkjYgmSa09yE5yj1MfEcgSdh1SaEd7Nb2
dyMeAidAgcZcG31YxB7h3+ZHqQjvV60lczdl7C2pSIzLjwotti0QgES7zJYnxIoB/uFu3jQfYXTv
30Q0mDwypPRAnyj83q6YSFK5KaSh75ifzbdkEoHtYEynH9JG0z99cP+X5fcaLiPFAsKChd4T0IyZ
1MXynKxGb7QxZjsvcIUOLL9fzKo6N+VVWRPUHbglBtIHpRvNr1KWE29U6O3mow9xnkBefAyB/G+J
neFBnxNnXx+YaV1KKm+GvzW7oZ52ZqqymbY2Tpq7gFTpW7xq5e86ims3ijBaISAxJHcjihKi4Q2Y
YYeGgcze7rrppu1t2EFNRTPhViD/qMAwajmmYePvw6hS7+ZU+C/92KWP1pTOxzmtmQjYOA59MisG
tCrewoe+ltlwG+Zid3qXGJ9w+5K3aOKVqxAhX+fJZSRhNzHMtxPai85BnUCvVcvtUwoB+fuMhPzY
wK7CBX/M/RfiRnUs+LMqg01IHNl2bvDbAUgJO4bFMLuoEYpEkx3S0rQnLNSVZ4wqxMNwHoqNGAVA
LRx97SXtWw1OMYIynGgIGjkGgjdb09lalLqPSFlj8y6aQH8JiG1R3TyjbHRzX7ZIKYlsaAlyaGib
QZMphkg9bH5YtLqrnOyCr1Y11NZdocSsN97+ALiDjp84+LKWbi0VUYYjN535ddZ8mHh4jx3N5Wcb
veBjTDqJ8FW0jJPMKJXu7UJMR84Zcq+qabg+316fYRkYVyjflqIKk31BpBtR70pAYp0qZ+ERg3Jg
vmoO43Jlnncr2IcHstrZoVDBSN9ICGRFFvKoANWkCoh5BCTkgOdEjVvLcgj9LtI+dyinJOy/5PxG
JORPerHG70EhGB6Ntgy8hpDw77VsE8/u1zWZXTbSgNlhzqB/Ah3HSTnHd8SRVO5tJtToO8Rxda3U
hfZElgBSI14aulI/yuZb4gPG1m0xjb7BzWgEGtD60DM1JfpG78/WhHTlUZlkLV2JZR1meNUh2o/x
QpkwR4q8eVQoYJSsmNd5n7KWTFQcR1BHFBk+rdfktGiSbjNdghU6Z9Q5XdiUAIN8AdQB8YBFMwCH
tJKJCXoKUWdtIT2xenUY8Te1H47FtgvpGAy9kGCSLnwYOdAA6aQ03idWurJnKfHGWhuvMUKo1m1s
KlvITMUKSj88QqmobwOizHeyVeeHIRg05s5pRDpUIy8ZWfMeI2RjK0zdvw9ac1WQFvRUGXlyJDkw
cX1fJ09gNjcYyJUu6sVxI0cxHjAWr12pZRu5mFpHSjrhydI4uyojIVcx8nqNECZztTqHq8xdVR/t
qL+OAtQVRAasw7AS66EjF5IBDsQ+qSudBOwU6JSvBVJTu5hlpWClLVFsDbypVte+1mYjjkEWXdf4
nzp9L0aPMAEsIdEGr/UqejCATVdTU6qHFL6Y3CW6W7b5QNRVJrvJDJMznGXDs0sNmr8d3jXh9N0u
1acSI+hVLDFEnQwNgsncqztIpV/AX4mm70WZutMI6uh3pfotE8RpQmFjtk+IjrH4CGvGfd/7hwIR
0Ze2VOdVqE3jPkwzNmBtqZEydToZkRB4TzXVrcK8n/m0ngBgGVcJ0herdDTyTRubPI5KDZqflUwI
9USgJ1RJEkgrZwpEvFegVYINS4F51ekpH6hImSijGVfnB33GQHMcUr/DBVbFRQw7MnR7uoZQwWC/
SEw5fajLKXjARWj4hNac+qFoFkFf2c/TMTHRn/qZYa61pLV+xBi+77B9HnchQwYuShV9rAP5jhnQ
cGcO07QSc9etlvOHWE5SVEI3KqvspkGxC69Vr9KdJmmUAmpS+G49UYskFt7ISW40TJLNiK0oH5YE
Kk4EM7BN8txofTrWn5dR5q3tWdY23dBrMMBLNbtu5P/H3pktt41kXfeJUJGYE7cEZ5GSqMGSfYOQ
ZAvznJjy6b9FVbn/7orov6Pv+6YiXLYoEkQm8pyz99rqm1/oFtNqOt46dL6zMC6gjK+VlzvZ1s2s
8sZo+nxbZfiIYK71W88f4heVxdONPcxrRdP6iBFLQJiXU/AD2CaqMreyehQ87JPEPnTJ0W45t6+s
SfZ7PRKGvMo4O1AiFMalWDp/Q7jGa1VLdytKNX4fnEp+Kmem++pVpsVczPVfZhjteLlcjIbLgBgl
qgfOYxUct0br4Ba+lneB44uWsq4Z+KjW31NBB/tgxrpF6t3Q/WoIyNmQNLMcW2Wf/dIR54BAFbT8
gXmCukJDMa783eAXwaWIWrDiER1miv8scWhTdPCUUoPuAzbwI19q8Di7gyYnNCpQmhij8zFr0V98
ZdA1aKt+LevWWpO3sYm8rGquPEF3N6F023pSjTh4Uuc5X/r6PlaI/MvIzA5R1lpnrmCKWn4MW3Cz
u9F1ubGD6gzxR4RRGVj3cVvQfGx9+xTEcb/qGu0+Rm5rrks51URkMvIvdC/fBsVHYqPB/9tPqR1K
VXfpKo9cuUvGinTGajLp2/cRHEIx27eDkPUdnGGO/YFdewg1jazaLCC9nVWakVpTQAH/7uYeTZy6
jW9mw5Uw3QHzH+CYL78U5fhJ2dNwUY4xS/qtwdhjyKp4poN17cizHd1bKvZml5e+TwFg1sfCXBSr
i+wezN3FfeO56k4ibdzbbZ8EYRrIfYlq5IAKCbGFGcmbGqTSORvg6TvxWL7nVet7m7wJ2hcnZv6G
ehqmvFsSQ9L4TX0wCAbaNFnRffP75kfJS2+6tmb8FbjaKkL8DOObaDATsgn0xiFuBs6yoKKZoCWV
uybDc7iB1JkCus82fOPpJi+tDyJNmnU6NKT9uIHdbypcC2c/GOp336zGI4w0Yy0DnoFtYuvd4i7R
2mEOcm+KsX8HmMGe3RY8NdgEoGeQsuxcOQTPeKgrv//ASSudlXCqOflMjIVITWDHoCUdVVEmKeMT
2mp1npEs3qaTOzwbcTS+O10qv8fEpFYrgpKMgnBRpss89jCJ+gBrKvRuhucsR8vKgnhTeuPLosz0
ViBgWRtyLEwwsVm9SqfcDDlFxbeLtfhrVbR0NdB/H9waxjPvSjHsqjJxJoC3WOOB5plRQ5EDMDsM
pG+zOSVXNlw7703EVEezK5thrRyrZjtbdPwISc1aQnwuw8ENcJyHJt0h7suCWUPcazBxRSC2QV7z
vfFQ2NmiUcdGp8NHQ21EhZEwpTFKrgJ4gR+Rdb2V6SiJc+I3Fg5iq5v3nrDBI7qW/WZYjfFpecN0
YpIZP7kYgUOz5mVnZw6ezSoFHTm43Y8IFwfHSXFN3UifORhHGxV5AnNo++DZ3+JYky6q2V6jIuKm
KpEZVwC+pUH8ArlJUCA0lku5dbThrbqKQSk5NiVeuis0xCchkpghsqOosVc4T+Fmzul7XlhJBb8S
Zd+Q4MRZvHhvzVjuB2/6BReG6Gnavsw1rGCbg+0I89IDqVgScZSO5H24w5axWhwyvjPWfsTtLLLZ
vFnckrmH+aavktakHuTOWtp8xfCk2JHZOj+2npWgt2VInVUjeXGgLFtdVlDkRuuY0tjd9HSzjik0
K1iatAeseVxYz92waxIl3nPFeJ4an6cOB6GjQ87FBpMD3NhJ9SdBBuApN1EzejGneQ5chJjO3lpN
893kCRPz6uztXThWoShHSWnSrMmmw4HDUfB+NlFGqgKepVT9L9UZ9aYxar0zPWioZRv86Baj3HbE
EGDMoXegY6K9pv4y2MZb6jlbWAN4TYbgtir7Y2m036dS3w15dFS199x00Zktl4ZRkSqSFfQnZORv
yCAffKvaNZymMSkXb4FIr4M9mpS+Ct5NFwelxlxGfonpPkPEJ0iqtt6x9XKwMmI2+cQ6FB4uHBws
RHk0N3PiI5KNvY9yDBrUtXS1iUekIiDyenjRtv5Ab3Lw4G5ukVmmE+aUJX4RkFf0qutkziyuAQq8
LGQUp/bO1BuSIF/nce73g0rgJT8LOQ5PrWwxmvbpIzjSBBJlkIddOw6vhtXJzTyNitTOqTsNAxDO
bs6uy3wRR9dO/Vfg4NUuLVtPrvtk6g5p69EeRcNKOeEHybyrJ7JjBNoyB+UreddqdI1um5TzA7z/
4KfwQNQcIdTQ0FnlAWT4nTVak32jZNn32Yq81Pm+wD/L61ltnr0tNJ1h1mbXqMG4VNzRqC6bDm+X
dDJ0wVlBQncfA6vOOQ/tfXvwjVs1KDiQTKIzfFsQu5AZT5SceYA6YrAYLcd5BJrOYwHyWxkxwBKm
ELEkhdSaRGLKopjbfmCeFhX0ma4zjaUeou8DKNFNhGdrW9XEtWapnm9bnnHfZBstZwOzWWgRYLlR
S+uJ28xw03GjgoWyY/DZlqY+s5nhXqsT4i3GX5m2JlLjER0IM9ckjSMJTfIp+h6XBk3umJygB7N3
GWW6kA3od43ivUa94Z5VMl5L3kAhbUgYzL+0DDvXGBc8sWtMuztwtuel0RuTrlxToK/dJdZb6DrU
V5OnfngFUNO04/iHPa25dzsd5ubIbJkAkVDzyD9Yec+DtLejI5w0mgI9Rb4cfHoE10nN1+8bG8fY
LLXXHSLPZmaTF+MOck/5+vVPAllaDwhAvMca8u8O5aXeW3bevPWlogabO4sugbSnu0lz7DEoNpn1
6MrDfcnFhI7kEoSg2u1Xo5i8QMYoM7HAQ07fuCjTBiV0mgQ7I+AtomFETatVtfNKt3+pU8UHSDNe
kX1EX3oaL/duWpAnPAi+9SoXvGdoSIfOreb7nEDmrTYSsdf5oM9zsywqnAWfC8lE9NS4lH3tmBA0
7ZJ9tOOoRm0/DIWPdTq/yi9STVeE5iWbwTWgIRJdsIa35baHPBJlyf0vtHEK6rghBslIgQtkdBSl
vgExwiTWBPlBS6aFIQ4LRddblU8T82e0Trfor9ybOtNMyLRL8yrS+fHrvjPSCqhKxjdga1V8K7pC
XxJkHJRJ85U/OCRN9GlU13Q+gzLrQjwK16QYmLKZ/JHvakb+O3LZaFKGDgHxZ6uCo1NfW3GEVOiz
v0TTnS7QHdc17GTEP/qsnCu7OxivL1hk3mMMf34TJEh5mqKmn+83cj2Dj34txTU9r3K6AzwN/rZW
XC3TQ0Afmra/nEdeaLNAOXYRoRriNTFdpOm5yoMdFFfzITE4Xps+fdb1V+PJNKzoU2MKvhkz7iZb
86LZbNRvtBKZfPM4H5/JijZP5OZEx5EIjLcoEXhdooSlgySHL9MemE1OKjpGjVm/5X6vDgy8DWJY
0VuIcdUVkflAccAnrCBLI1mP0aeEMpqqHW5+60Td0r0o1Co480SRH4mh0eeRxKSHKcd097VgrT5P
fsLpbN5aCYKHR3k/Hgu1RAdFyxUJmDT6N73AcBV05FTLzwXdVUDYyfcBr1VIIg6lh2o+KiGDMGCY
h9oFL4ZQfDtKRSz2mRUYDUtAx6IKMGqMCuAYOZU2LfBzQ7Dj925yITFrT5s3RWyZd5WN1AtpBO9c
Ufm464rtcIeGiuYHY1FSJa93wdTQmnMbl5aC6zi4DaWiJpyCgbvE1+I9FlnzxijSqENmsazpunNR
sVGdbnEmR9/xxVU7qArGk6YgIEwR6MAqUNd7sIMjEfpuEx3T2ELXIe1F47jG9etLn7JPesn4C1eJ
TcLeZM6vfZ3OqBskUygkaXVHK7WJNwnHCp6MTdaezH6sSHtAk5wCW/rZjE70CdozOI4uhOJVPPFk
chBwbBfXX2KiD7kDkANG3zPPdatV39ldhIaNBveahIR62Xx1Y/8ndPgPQgdMg0zF/73OAbJV3b39
rP9Z5vDnz/ylcsASh5bBliQjkAl01TL8Q+XwlW/reo6HvgADJuPTf6gcAAJAXOV2ZUwEvdazGAf8
pXKwvT8YyCFkwhfqomYWwX8lZf5bq59RAkNb/C201+nZIJ/417kCDdZGRAY8H/IoW+DOHAPlMrx2
Y+BU3ZEsGD9tOdpIAiB27DBe6p5siCnTBsUnZGQkEPVCTNcRWpPM7XNlwNTzQD4rSB8ZiVeIG/vd
kGdqjna5TN00PbnxNLbJSvN/o2EftZrf9cwsbmo1Ma1DOczJyRxL92ovn6RvrBJpwDQZPYn9woYY
CLvEnvCRr9ooGsV3q+oiFdaeogv1mLUaYcdGOvHkX2RC5RHcpfhWJhWA7ViVFAllCFGIHIli6LSx
rDjCkWGGBBAK1Z/j0/+tmv+waq7KCsau/37ZnOtK/U0c9NfP/GPZIAFCl8G6wCT8lXD1WxxEmCQr
6irwoUzi/GUxwP3tACAwmlG1EIg0XdTXV9HDX8vGIWgLAyLWAEtgcfWc/wpXStjWv47IMNVgNbiu
aCyo9CH+PkptdJ1bUbQkd37ToNYrKMWz1ZRYbugS67vs/Tq3qy1hQ8mVyWeT0mIxfQBrn/zsI6lr
WpMl1l2JoohWqG4pPOve9z40Ze6mrFJaH07ZLKe6zbviJdVOe6p7LX5mdjwHK3PIQc8L1/SXdWnQ
sd6lhlc/+0r51qFvA6zEs51207lriEdMVE5PdrF4juSLl58bYrhDkIks3sU4iWEBBdLRsA3NrNLW
ul26H+Ng4TK2Epqt4yyWcMmk+Qub8wCHzY4dnKnA5TacJDBAOF6SnosR0d0AR3BvdJxLxrpk9Xdp
NV/G1thZFHn0R4KXqYK5nxjE6hJZfJ00L4vOXma3b0KigZr1AEAnCcy022fa7EjmpQ8T4UWrCzqC
JGV2OPhNcBXQKoqOgpSlq01Usg5XWejBvAcs7pL0ovv7ni6ndzOZvvvBFQGngWQ+6p601+iD6pze
cG78Lp7zTdYB/Hcmb252nQQdvbFmazrXmVOkDmT/YjFNUW0RrpNHjGw9AeW4z9I5oQdHLlAzDv6N
HuaqC3Ro9hj7ZvBE+ZAl4yqIO842B7PMzQCd9xQQv422AAklon6KL99v1mhXne8jYqWHvgfgVbSB
Mf8MKr+5akPN/hPsHRXlrYUWvTQfiTcxt55KfRDcjR/5r81UDA7jjWA8TWinjlgyGy5Ul0dJuBRD
dkgd7OSbrsgvwA6p2UlVoYrIp7t+KcaVSFOCpos5p++CWT00LNM8yiwn8SMWVBEMU3e0su6IOAf/
7Q1OSqpBQa1FR7vCXKcANABNdEIHDihtr0xGe1EhtN0U9uIeyll0W3rW/VttNcWHpVrTpqnVe+6q
Y6K3UpJSdQUeBb1XhSfj2AM1xIUIOoNBQWbSYxt+wJEfFd5Hx703uIIunJAm/hF3jriJMwdA14xy
a7Sdau3z686FZ0OD1OZ8qQif2lFKyezOMSOfxomchlVuCY6nZgwobLLw5cncqw7jJNzb9JpFDRGl
cE6ezPSxijSO10yQ6jEkb7xH2FCixPJdxLde0jNQGBzvxCS9f03mPPqR4FHY1kQ07ZqMNkfekpg6
mH7znPX61q1893K9s+8imjtrIGnw3FuTTA5/QRzcqFDajbuVaWN1XIFGfNYMCO9q8LuvcZOCJ2id
6VSPebHvSc0E8ujFuywjGztKmTZELZAua8qJiPO64DF2DBd+g7ROMveJNRMcmbOWgLSIwZAe3VOT
tsY+y/rpxW1JkiLVZZ5Oc2pb33nwzvMKUk4NsbEQ9gMSQYTfVW9/Gj4ZDYw1h2Sb60wdBlV8IEAL
QiSPPSroYSFMNh8957GxJ5JbECvWH85Xx5EsALGqsQu8q5LspQp3DK/RGIdCFlbIsI7Yo2FEkAch
5ZjPbQnbMMs20XhNFqxiuZ9dbFZTQ/W1Grw525KRQ+PeH1R6Y4JqflJJl4cF1+cJKPSF27p+kNZy
CqaEIPU8CjidJw3AObv1j7IzUnymTiF/zl6V3AeFTPdjVFc/QUMG60IsFjqnEmI2/QAHV6ow6Qlk
D5QP8rDY47zOubsfTeNqkDKnxdoHgx2Fk9LPUmQm1Es3huXpt+ltVuAsrwdh/6iL+OrVGQwkRybF
IRW5+91lXrS2qVYfOOvjOPW76QW8WrVy7aw+W0WTY2Hw5w9jrsYNUW7qM84nI8xdDB016gUauJb9
alW6vNNmGtyNs9T3S+XWW7OI1b3Vdc1NRE7uo0/4Rh72iKRpQaAF2PR1K95kM3RrZx7qByrvWhEU
l9hhkg3GygGl+DnTV9xXIwMP21IaXTy31kaz5YSJWkZwqXEyrSt6OAeJLWbly9E7W5zi6Gsb9taJ
Tes5Bjd0Iyc3OdZB19y3ZjKuVStGrmyQLL9Q2apHd4zbLETokaDYXwihScy+DDGlkWdnMjLVHRKg
ED3sL+KiycAFp7ayXas+z1mTwfFou5Ou6ulS0KticBGc29FyMVAtaRIdcP7k50SYzPcseHpFP5J/
2BfN2W/k8iiY/qDE95LgwQlmWoVSzYd6jlJnVUfOFI5JKu7oVuUvZVC3L5gJuvtqKKJvTR5Bgpjb
GXCj1M9m5yyUc3W2W7px2UTk060Q/vZ4qfi0pLIrS6hDVWhK6NgfnpHACvqaTl+tjdStQs8FbNOK
RNxjWYpBDeBhOFaQbhROD6Q2braUDLw70pJk7dhcRzW9OrPvrtwRTMUyl8xJsW7oo5ma3geYBGGE
dVSlDNYAAnqZCF4W7fZ74Wge9LISA4KFuCc8Js29k582DQaEkeY8Jiy8MzGaW2dNttZpQAO07Rtc
6X9qcP93OP4Ph2PwbBwm//3ZeP2reJve/tUa++fP/HbGutfzLwN4ZPPoBwOPo/Zvd6z7B/0Fz8Uv
+rts/K2bD/6QNnUkplLKMjJRODX/rijlHwgRaeB7CJOJkPnvzLHEyP/r0ZijOepGRMeCNBAQdH+X
xOXZmGRkGLd7csiSV5Wpqll7PBCG1axLloLflWrbtMt9UVt6CotkDAWC3qsgqdlmY1plhLNo8zVC
1EUHsYJKCypy+jUjEMWEnmS0sGy84uxvlTQMCKXFD8fo5NpG+LOtYqDICwGXm454C7xLjp/uo9JF
xKOm6jTPSt8WmcsxQwLw2PvIWZwwysru6JkkfINRYD+gc77igdLSk/a6m7llCOKVNhO22c12E28O
H1LnNQdC3qMDgVPqoQpi50i+3Q/yz4zXtCiNp7itgFW0c7UbAisGJdyACZN9c6dnHpbl3F9GSWaU
kfMhIz4pabYXxyLeKSB/d412ygBJW6kdwamfTYd7ZyXokK8rodUGQo3eYhBotq3mtyejdfHs+UrT
UGdVw48ZLOuSmvIpGoczweIERs/VIxU25oKpyVZMsRn5SQKcLFkSAlaeHNm8RowkQm2q+Zgv8Y+A
rDqvJQmgsO0LAqEfLXpZCNX1I4Nd/T0vKrFu7CQh7qsZ6JjREUvTKuQWfJptAvd8gNp5RPjWiC2U
kTaQiJbTv699cUeUrLFVY14/xn1QfKuReH4zZ7rudlWgB0I+t/UA/awqxUaaiPITD/+98By9j4i3
Us7SvtWO2T018Mw4PUXkMqKmQU9gNfdkEuwpsXjWu6q9W8ake3Vy+eT1ab0jLCfdmTChT2Rp+xvt
B+Y+YP7DAVk+F5xHWs5e0zPqkavBkIoshN9bXqwgGj4M0Xak87XCvij4WLdlCsN8PVkJY/766rAs
kurRNsjftrsKFy3Ot4e+UMG2l1EFDjoB78rKgXU3puukgIM6lnMb7LBzNJQDjYmNNl3IKcWqzcl4
9Opbi4SxG7LIFZwVsBXPUGjTG6f0xA+HD77uFxrtnJOtdO1yLXnoS4DoKxsT4M20IDA+1JngEeFm
aqF5TsTLTgL1jz6XwJ/ODKaAfBFTl28KcnM6GvfoisrM/FNO+r+N/j9s9Hgirs7wf7/To9V9++fG
4V8/8Nc2H4g/8B4xvQBzdcWI/vZGeX+gfPBMlNwkRlhfYeK/2x/2H2zijMCv/UbQcVe5/u/2h6D9
Ae5H0s7+0231X3UN7b+J6NG+0C3keWKz21s+yO1/bRvioFUcC1N5FG053xhZ31CpW/nDbLv5Txy4
GmeNclg9xdXjmy9RfmvbZfc9y7y+WUV+b9ybsY/VNWmW8d6xVfQt11bk3LRgcj8SAtXiA9tYG4VR
xVA7bDmKbgc2sk00Fz6iBjVdhq6BGUfmQIGGN5PFz3Fc3NPYDvIb8sYMi2vRyZKVZFoLp9SZysWe
DnAk08PojsUmS+x2QF0VcFbEzOz9xK5W/KqEf4jBwd1mwTy+KDiHD3lkoHEakOh+KuJb76DknfNi
SOheVGn2XUd2+8aGMb6AhShDiyHvp0FFQ5ceLU676mYfSQ/iWUiVdn+fufF81j5OHCYlzvLpl4Zx
qauMvdgfEZyMjIYOntOAKIl7STrCVNvOyUqyPEPZoBEdzCgc0TXE1b7AlLVxxyj5Dug8nkNbloxX
fPrGOOq94nExk+RucNGY1AOG3XQiUZHoYXnEocRws4ZEttYl7rEyiclpIzqqQFePd3Ne1SYsMoQf
lRmviRoPfi64s5oQT5gvQuiQw40XdCq0orw9AorPNlnPhJy+TO3RF5iDm07DlOHcyghPBI28dZY6
SLfR6A8Po1+2+xg07T43RP+eGJGE6YISqAbT5jWPbXGVzPiSIyxKkAvJeqjLjKYq7kx6HoK6Q2d3
KWRLTMeuP75CqUUmNzhK3phJDbkz0dcaNor94Eg7mgZSXE7ZBs4V7vtkIMplTlu0HB7BkQ6Fak0f
pFdHBT8B6mEyx/dSNZ89r4IxX+k2RTOAz5QGS0GyyMQQkaO7Vh9VR3Wxj+hhfMOxnR1Gu2o3Olgy
8tAqb3yj0Sbvvakb11DM3W1g2B1pDzYaVbMO7Hg1A8u/AwkXZ98QZkbzeNGGxMS7MbWh1M43x/Rh
WvzkvrSCxSx+8u1aCG0TwNVc29mpEgOlCeVRjYLJozd0G9PqgnxTM4V1UBFOgDUOcrnWYZLfEfUE
gRb60emJ44O3broQ65mT76PKbLZGHYGCZYWGiOX946KcfNtjSmd54zck8wyubo6Sm9ETUjbqlV40
ZdiS+bDNEBBzaiI6N53JzexiG8Z+bt5YKjBxLoLZmGvngVPtvqDRctKNA4+UWMfNLKorwLTlug/z
TDU9OqjEKtlxBzpVK24N5gveuu8HHvBdFGzTTCvU+Ncgz2zxD3jxp9Ng63Q9tWW+a90B8BQtmPbG
I2nkSN+xfFjMCvFtCjdghwZRPRhBf9EJCzOvs08t7WfTYBsgbfwnD0dnnXnwGes065+MwSpui2n2
w75iYJHOrvnYIWhCwVTivg56YFXCy+YwIpNohXib6DTLwUo95Pe0o74FTleEVwsjOn5ahip+8Og2
bErU9CGJLVWYpWJE5NoXct9prwTD512vdj09CY4LazEuwcGvHb2BqDruoOFbD14zoBcodA4EuXMP
IF1K9BRArBjX9sPZDXKxaWeM6Evp6he7cJxXv8SJBqmhWM1NkhxpmfhPvu8ON83kFTObVM+e4tfs
HauUMJ0PoZHdsvJjfSfojRHJEmf3emRvzONG7mvtOPuBTtwJcUwwb+I+njGF6CFUlYDr0bsMg9O8
vS2HMd1x2Jc3eWcxZw0W1EDpuCWZATATyQ6ksYwCuikX5TIVSb6JNMc/5FQFV9uyAV2G0giCj5Qs
Z665PTKKSmc1h4S3VKfUTfq7rJfTz1G4xoYQEL3j/Co2QjZXcb8/bLtelq9tLeV9omLU8TFf/2uG
xNZyB+OWtNbqzhwHmCBFLJ6AChaf/eKo72TGOFfbR3VpiVjcLGYrtgUV8HnUSh4y4UDPKHIj3zAa
KNh0k3R4TB27Psqkt98IIFz2NmrfE8DY6izNpt+jEjXv+t7NaQQQE42FZHkEUQlqoiT/5hZ3ijoR
kTqeereggZqQQzJmPfgAR7JlFvGdGfTZPiW/+x5NvC9psiGEi9nz13amLDQaKtFHPDrJlmCC8ja1
iug5qTSNvbJx+x8LbXHIccaYnqwx7/e9he8VSdP8Xqohh77b6CebJnTYRJmPsx5hWLyiNHpu48k6
6SSaTnqqxxjPvci439rkARyf+WjFo0XQQNasF6JnAEEvKnlpaEXeQ0UicBWQDUnW192eJ/r8howQ
AkDi+GSheJyTJ/IXQ2E5mvyoQR3dTl3UsPTZXdzZplKvovVglxOQO5m5eCUNrADvSP2YvjiuFVU4
LGpv4EmUC1q8uqYKQlY4lJvB9Nr1tU8HmV/M+qdU9JuifKnCrkvZghPbMdFHdBN81WQZdpMon6Z5
bncpOTYbbtLowFdZrIeqKi52s6g13dvjEBvNuvW6v8zI/zsf/4fzsQ/g+P93PA7rqvr1odKPQf3z
KfnPH/vdCzFpeABYwkaJGuRPUsDvXoj9B1xTpodYx5wrjJ8z7O+DMjN5iFMWfGWbN/HlLPt/B2Wa
FnRQiMiBUiz/O4iA8+WQ/WcPGxZTIuS4hwn3wJz8d6enay0kCNTpuK+hg6+tJC02ia6C0OX2Zhb3
LgU1dVNT0uPfD8Kc8/FqnpecsBB0mELJJzkihWRilp9xp51G6dD1BllntcxMCmGg9c3QulBAz3Q0
EFE5dinW7bXZkKCM3DaBAVTcw7YPTeHSMDBfiwT3SYYUe2O2Pg8Ok99JGtYYZiZ51UK0Yp3l/evV
WTyQ5rxqiaGnQ5m9e6hkEavxz3MToEE9+h3Br92rKZMm1O5orzLNVlxG/jd6zg8gON5HWu38LDkD
NRz6WOHrr/009D3rYiYSYkvF5/GaWW1E1756ZhasVEcE0hcCoIqvtNySPsNo+IeO5jv9EEUcE5cG
XgnIG6C/Gqm7lRvzyvO4lF/yOtHyosXIJXDy+JmPwGUALVOmfb8mVQl6FT4RrBmozZLIYjNKrHqf
ITcF+R8Xa6/1+NvcuUxyQOfIT2YOuYlpgL9aWzwR44VL0GD/3rjK1OSwF5eAaRoHTH4l6UzujevQ
gyHK0toMLQI/u/HytdDxM0NIzqVXnVBQV59L1RJJY3dW6EZLTgW1MNkMIChGhWFyHYInZt1q89UT
6SFKcfIjeoxjLg0HLK8kGAT9UwSL9dTSrAkbo9DbRtPVmiQ3hw0EicQS/yBN4+nrJuHQCyfKwbXT
+NwH1AwXtMfISAUecmmCqEA1GeKcvIwpbyrOcudgGx2qkIxTRx2X89EPOOSNzfUuUvxbfOO3aW8C
Eap7a+Nfm3OYpYgII5hmNRRkZNF5u+V+/pyD/Eo15q0jcXsHTcx3r/lTFnF2GU2jAg4qe0AzOFeI
yJpXvYn4zvIR8mFLZMTUd69f33dJEx7XO7eVmvi8DNg5vQR06Gqe1jxXZEH4d/zJIueuRjOC3Jy7
U/rcKjDYoGnwoHoGV2CvGPK92+b1YTQH+L6aPL0duFy+4z8tmm9+alknPiHkx0li0kt8VkfAsM+H
ex+CpLdZcNxMktX4dTEq2DrhZPBPm7x8L+uJCbnw22Nh9e7Gibhpixxl5VIF5kPZZ01oMaJeYW0d
Q1s1zVaXlrXpADatS46Za6YkvIc46W9kDxY3JiPzREWccuTW1ib3WZS48E/plGF2GJAr4n+Grz/h
saMNJta2YCOgX0rO2BIXG8E6EcWYXsbEvf1aXpDW9F6Y2DVnRmG0Pmm41QPuB1HydTtJQK4EErXd
LOx8M5rXZZgTRfn13RpQ/+FkVSdvpGEam9wCgPWD0CaaJ/y6yzWZANu66YJdH9NiokwPtp6NbWEy
aPF93QDXO5wlfqGYovO3sI0FI+vbYWK8//qa1QA5SeGd4GhsAZ9FOP3WEG6//3L9onFFqj6YlGCB
ze7lpu8pT/2Q0wJjMt4fbiH2FYPVXNrQShCEojvshop5h5hv3dndySl7N+i6UbzQHOYcf+2FsSIG
LYx97LJOSdQwT9RgSLU9bjIaBdXJQOcf6orty8/KtwpBx4oIM86mzi5ICiSIjOtOkQm7xOltLwRC
bq+7DsBba/W4eDzav18y0jktxV7Urr0xwCzSajTZ3Ca+OsNHzhgN1iUBEbnTZrXsGsVm0jjjiMCE
jx2NvIVpYATKEqn3FIb8xwc5/rU3WcEMqem6aAnQG0MDCSOvndwD2BPrznUu1pItOy8y5Molz5bH
DgjfpZ0BZ3sp3x/gOShxgna558y3g4+ZyHG5NAsr4OtaewEuw7zkJQfkvlungmjnzArhs3TZAh23
XWFsi+4tU4Ohr2FQyaj9bH3+dznQK4jw5MQp+4ljFCkm2u5DCsPdVNdYh7r1v5XXoIecxAdjGm79
awSEPcn4uKQz7GKj6Atz7RGKuLHyCUll9WfGRKF/5G5Rjpw4MVhtAmnCptW6y4Ai1vPabLLADVNh
PbkU8msqhyY7L3E/HNMJwt/KFuQA0jQwGXdnos1wjaTqPokd73qIpTnqU1DMYxYuuaJyXcgD3Gjk
5mSJtK1xhHn8Zqi6/tkH44eTinpYxfacf5I4YmhmpYbWfcj2P+1VBRiNBLEZW0Rn4CxqsO2uy4ys
h3XMo2iNMT86Bxj9jW1hV1N/S30pfWyEEMf2atHKeF1iBK0JyQDFKUoCW3GaLUx4Xsv/sXcm23Ej
V7T9lzeHF/pm8CbZZ7JJMtmKEyxKJNH3CACBr3876LKfSMniKo89cC3bJSUy0QRunHvuPhlNZ2dw
TYBwZhlqpxLC4SH23NufSrHfsIGUL/BTXWO7Fi0l10NSDD4zQ3Mw6rNdtWLnJVJu2zl+SzJeLlbp
34q2sriteOrshDv9z8f9xCSCDQJsmRk6ZfHSwXd8QhOQO2uSYVKLHb5otdjxDFpJ9kKrFEGkzt7+
fLTP1IX3o3lKbLWNQP8FhDCPkWYncyl2ueQGUZUAbn6NHBwcHO9H+t8m4ItNAG98VZj/Z5H88vV7
+9xlH4Tyv/7Sv4RyuL+QqmzsqwrtYv/UDwVZQ6XPHsClng/eZfR/bQHgiOmWaWGjhRXkv+Nm/r0F
+DvaODCyj48GbVkYpwYJXLRZ6dt/huYwD6Ppyqd/bhVzMMQXzFCZJj11y4apDUjSS2xZF/sE2fYV
O4iPEMW+89bxW3ffkTtzkxe+Cpji61+0RuoezbZzzycIrzYzYRplQ0fPFIGk1TYlE4GPrArFZet7
TbpiQltssKgnl+bkW/hEWtB+zGHz6jDijoEPx7rsI2bnkFGbjT74xVWWQUTox1GcgtI1Sd2RUXbf
ynFkbW59mratW7ITH8N7oceauWgIbDrlsV+cWrO/d/1s3iNTT6iVXnTlNs580o28PU2RFW6sgK9P
pNO0JlSiPzCgOvPMsukf1PbfflcCkIryW6HkAU8JBcm7ZoAMzNioEhJcz40f0PYEA21KaLCU5BDE
Hl64dxlictP1oNtoE5peTuetEix8lAtgBGgY2PHQM2wlbehK5CiV3KGje2TT1LJ0KDGERMLkvKHt
zCSNEkuYREE3abiGd7kSU+iSxhsMzfOhLWw6v7GSXXIlwKRl9l7BIsuYSqDhLX4cszTdeOnEEL6S
cTpioXc6kFqgbqU45wXHcP+78tMrEQifiNjwIsiWDJubR79luE0q2Yg243iOPUTu6EpYz6mSl9LA
6G/AG6M5FUp+YngAZnobm2xtlDw1K6GqMTyNVMa8vCbP0brplaDFDjV/k5AZbk0ld7lK+Co6R7tk
CG4TOXr/yLlCH0PyCjCgIJpZKMx0ExHSSiWpUVPOqCTs7ZCwp5dm7Lqj0dfVearkOIovlLn0XaUL
lGBnvWt3TWtQkBM/jaY3KXnPVkIfKHo0P1fJf1IJgYVeDRsfrX3BlOfzYA7+WamEQ0IS6ku7pR4Q
SlbkdSOWsZIap3fVcVACZK2kyFyJkrqSJ1MlVOo1ze5EiZeZk9ZM2StJ039XN8N3pbN5Vz19JYCW
iUupr0RRmDHwg4owXcHjdB4To9AfGBYkWVkJqrGSVgmWY6cCwna4brVo/tbkWDepRUDVw/GLbgM7
c45+Yy8wkUbbYfDKq0Tv+hN521TrjtUjfw5zhmHMKD1s841qr/STsyIdGYoKUQEabQWfpruVpuHe
DJjwYECryxd+w4jTAj8Unl+3DYt7lpEal1c+78qo0deDKJx1wt78wiMWl+S1oa7pUyd0tWPZHIuo
iI5tbJtqY2s95UwWA7zS2umhI1iSLoQv5I3rZhbd3zLX1nNqxDvcdsVBzENZIlGyBVoOGu3/TVnj
SUxDyzCW8G+z4lLL/Oiece+mXnhuFdZLu2lCVpKknuksVS85bDHl2CumC2v2CjxPmQMXNZWDdg+m
mgw12t1BiIE6mlZWYhCaPaewKjbIcSRY1H49XZu5bjy0IDNo99RmWzeb3K0cfbqgUe5PCRcuYmjA
3ODTYipBsZldP6K1IDr9JiRQV7p3kVfU/am3YoESA0c5KQ8MBnfavIThXEz1yh4oJW/adIr8HzYD
lbhbYy8HnXdXkAbTeGu/xqmx0egvpC8S07eRbRGP2pYXFy+3/9UBX9QBeKhVDfmf64ANgzbJy4cy
4K+/81cZ4Ov/4CN48+rIemqaxvh3z9z3/oE4SBuEwRkGZn6uAywmbZgvsMns0y3Vyrb/3TM37X84
qIrog/TOXJMtzd+pCz4XzIGrOua2wdAO/5Xpno8d82hUJIK6EjvTBJuOEhCQY26bRGOA2WZszXPa
8jxzBVjn9wHEn87Vb8r1T4WsowRI1FHODwubS/308ehNQ9d3mKd+OwpzWENJdNcGTYKV9JJi918c
KvAROz1QflReHw+FS3owjAIeGP6cZJub9LktIERrKAbNF5uB3/0qTmWAtYHUOvwIHw9F/yKrpW33
23yaku1kAXFp+5536eSJ/Z9/1SfDw/sJtPhNNkOETEp9xmlOAIOy3OEEMsEYLCDjEI8t3LdpcFdR
GSqWN3Yt5pGyZU2K8j+tkv8xhoh78OfN1l8HRxJRdzHDMJ9+Z09mYmjVdIShkOCJTad4XRpMhPz5
J/56Nh2T+5KBMKivhBp8OkoX+VY3NKHYtoHtttybJelBzgTZfp3WRVl88aM+MRD5UQ77WDZyeBG5
TT6XyQ4mXSs2egFTlqEI+pOvnmW++RHAdzi5ZxBn/hrH+hunEVonbTykf8M2fjEmMvWQjvTxxRZT
FHOZoIe4WMFXcRbqNP20M37/XaYNvNCHXKfoYB9vSkJVjRLrv9haieJFaNo528UjPXikbJ302z9f
tN+dxZ+P9umikZ4SNZGTi60/jNCUgFZGA/zKOs1q5M4AXSDLvv/5kCYL6S+/kLlB12H3FHBDflrK
ZJy5/jjy2Bmxax9tODL3EfOye7ea/R0+E1yUDUAQ6YPas7sXt9f9Q+1YOxG11XYQwbDmbT0u2tGr
f5DcoO2lSyfdDPvmBi/DIvdiRpGyZv5iYTJ+fYwACdqeAvD6OKc+33F+h4Ra9TxGyShsVQKNGcaE
yRnWAPvxTnZGs6z9aqSnmtX03Cf7SZ9BDAgK4UsPFAnlRxQcCYmPvngWnN9+NdZn9YQ7/Ef9+5/Z
wEHuZrOT91vyeNcY4R1oBiBDGt9ler2JujtGM7D/jG6Qr6p8Lg9TmbbnXVjA7y8mPJCDXhJ2rpgT
EiILEwUA7EsfacyMoLUKs7003Vnbz+hlqwaRdTUyvYyS3Ab3Yky0+37wQwr5pFm2NkHBFoA7AGUQ
NEQ1HQDZdXRkAMuT/IX/KHfOYju7E6gvl5ktmTi35mzT4r9F3O2PTCHPuyYhBE7aKJITsJhzPZb6
g9Y2w5ZNk4YRUr5l0jr1PjuYwIuyXe/G/ZFPLjd/vlt/fUAYBaQw4KmHfAo+8+OZncAeCqbkuehd
TLUq4O/4+h5gxa2Yw3otBBCy/+KIDos1MoCn1puPRwR4NPjBnPXbFhyp0dnr3Ih+BKV93lqlvcwC
9/HPx/t13fbx1PrYARnOpfT5JIl1UTCUXJt+m8qcafLBHvcQ8JmBNduvUsV+vU2BHcMKwKxBkg5j
dR9/WiRwAI9DxVvQH+A4aI2Bx1F4X5zA3x6F6U3KFJyFnMOPRykYSC56EARbzW31dtF4gbYTTeRf
/fm8Gb+uYwrdjFWdatGgV/zpOFmiAXWpsYtPE/GFldGRtTwVERuysiKDo/MoKbjxkSGjQ+s/tGa0
rews+WpZUl7Jjy8MIOSMkjowZNk42Z+uXwOIa04Gr9uSEu3RdAryTTim/cYeiRWlUTLbe6OcgnWr
V695NXon4Axk/Dj6cFHMs3VwAOF9cQXM334nz8NH6sPRZ2D24yVgfEzTwtjqtmUkyr3eOutAF+Ni
LvvmMuxAwcaeqL+9x+zljSaPgnjwpYu2vgr8koDHMn/NjWm4BM0HjHB8IgfIXDbEXd/IUhAm3yfQ
25geOpQyv9R0xkH/fG1//wMCRr0tSnqef3Xtf1pQQ6MNCumPnFRS0qPWqzditKO7mFVsWTdeugo7
uDiF5/a8sdriIOP52U+82651gz1Is3A5Qb9XIz3BNUjS6ta359fZCcuD5dMLGutI0q8FcIb/Jt+0
SVN/8QsMddl/uS1++gWf7s6xz/nClWSYQUsjMMtBeeidCWeTpkMcbFnkBeMNxAztrYoOIiM6xRd3
wbuL99ev4IOq52E0vM+Puy9ZS6Qjum2qxX1NP9d3vlNWXXkIUwv4ZC8V2JUHzzTiH1277MUQLdPK
ZCDAwhs7RN3G1ImwbF3bU2lDYwGWTNTLmANuJ4d2tp1GxqssDYOl0oPfhKNKT6sVWU0PtZ+2O2Nw
9HOsU/lurqpnWtY3ruRAkW2IZT0GpDP9+a75tXQj+1pHS6ZCYLj8c1OD6RgvC+mpb5s0fyjDrTek
+UqbdfyAM026Px/sN8s25G9Ea+p6Pvgz0bnL8da1LDpbjLxvQeKTAmzQTbanOfjiSGrH9ekyciRG
6QPyHDz9c2HfhJFgVtjhTmqj24y0lwdMoAqGINlNODLLiUByNf8QusZXAdi/eftCkCfD3LJ4MVF4
f3wM+wi2cpjqICA8+S3s/avJa/CBhm9EAHxny+uu/nxS32vPX36rAx7DMNlwM9D08YDBoHVEd3LL
sg0vT8Ki7pEh/FVQzEtrmF/1sLitknxaRbKmuMFfBxgyalcqsvbPX+W3NxN4D94sQCl+cf4kAlhY
PPD8jkTYr3Tl57ZjeJpaUgGri9O3Px/uNy9NkARYoAKDvTeb/I8/nOTrTKlgXGTZYhYgeWw5w5P7
Yo/42/NroGRwJ3F6mTH4eBhM3lFl2HW3ZY+MPXOY4tVQpgGuD1/bjx1G4WiwSWmVDdM4IUmqqAH5
ehq0M5i0X62Rv27KyYdhV8imnLgY5/PzOkrhzHHHzLM10JGNIy/adO18IQfFIyL/c1lDFNrG+JIZ
PRb6F4+V8bsnmGqIk03dTtfn073WQxc3rVJvt9Kw4++1x4QObo6oP3aJ4RSL0a0gQVaCD1gQvger
aHChlq7gomBqLBoPDvKoyfFiiC0az2bfC6KRIqd7+fOd8ZuvidnFdVljPOqcd9r+T6/CGEu5dEq3
2bpT2G4EUTRrG5s4ZEfiZ/72oTDj2cQsAqbx/c/aDxP7HalfHlCxOSTzz5LeNTMFEAcguf0XP4sa
lMhKAEeEM39e1WrcNn3t283WMZP2OqDDt6mkF56lbf/851/1m0WMIyGLUCISK/J532jOYZRWgiMl
jBWuQuYZb4qoMde83eaFPhWgOqr4b+a3ICPga2R/bdN9hgMWfHqewS+UfRA7zVaaypOlIFZJCuWu
1c2vYlNAEfHUflo1qTR0FbjgMZ76ueL2M2LhItpHW9du6Qu6EOMYkojtEbRvESpPdtvRPqAmJ2DM
GkZtw85RTOt58qziGjY+D1dioTHu0dvze7MeQA+2dMcEILXchdIVNvFzNTraRWb5TodrK8fI0ZVG
wvAjP8nCEYhPexUMzmhsRku3mHnW4OExIO4x6m63MUCyLDZuXWHOxiq3J8fcpEYxuWsrqGPzMRiN
pHh1U8QSyNPsYGIAlK0VrqCRtfFdl4NT2Ocl6to2pr1jrzW9Ng7FPE3aFpTD0F06BV6JCxsHcnjt
dkZebvjf2gjPs+0y3Gx2kNEOywY7uvC90vFWQiV3bgRI6hvaURDJ2lKrdkablSFc7RaOQxAn90VH
xgbcNLtK9x4Zm3jRRFVlG5nRMFvDeCnb8xT0LX4JN2C2fkt4XgB6fYDDsKoG+B9nhdaFOrpDUZur
unBUcZXgan32uhC9xKO/upx93Bg3NKI0b1v1XSqvRua5b8rEbmm0aU3gnfSqoC1CpEck9hSxJPH5
MAfw7kTgJEBqzPMSaGWwLbFsVus8VPKfrpk0i5rO8e/SuFF9vKKylp0dD8wx1rWD8Uhco/NuxODU
D2Ft5o+55uunvnSBxBbptNNkCuS+CYgdkpuy6TZgQctT6CGi2pjrs7lMtqadQTsPsmITieFgDXLE
Gtc9p5lrLxxhhiuRTtamsKwX29JGrP4SJ43delu3G/U1A13u1g5g6lAxz4uUUdyzzq6n717fjCtb
SFxb3vA8Ny4J3tZEePokF+AT7xXfwdXc5soh4XQN5CW5Aiw1L4WeGGd+kccX1sj1YLeQLLokvJ9m
y9k6mgFdImZAQk7hPqTrt5zSTFBUMCya85ZgWMVTQMJp3/QMgySzdPhHdsxQl6bRbqFbTOZq1rNm
PfV0HdM4BE3nMWczMvPBbKh/Ffr2qdDiaW2MfrzBwTQD3O/FKjSluZ0pXU9hlNdPGND08zImnIw2
sgtQom/fXK0BptsP9cpHsAZpVzn7lmhZxnbCaW/pCXwg6dEZnIYD06WbxKmNTeZICIeieSwTwjYc
+yYR8tGZwnI9kofAgHX4WLha1PIEEpoI8Kbc0A4MV5h9b2GDAXMMLdrKUeXjMrQ1rkNDcEIaEFnM
vuGUtNpw1UTkSHRi4r1odecABL1FPs3JQmrla9eM9c63+oTuf1HsysIf3uwORL9MRqbIVhm5xLNc
iqopZ4utuam3UbiukqC/zSqf1rHJzfNQMNk+rTyY4BkvUxaJNBLjNwals8tm5C5LJXZOPzP2uogk
uTF9xYzxDEsb09Z64oFYh47pyO6csNdo7L7JmGAACPmMJY508zuz/aaBr9HTCLa9ZvKdt55mVj8m
bwaqb8ExFtDHWw9mbcXw2rmmufjWMs+HqpDLwdEOyLN6h0jbJLu25Uwt+qzMVwosdBuj6l+ZeWre
hmSKJntoOu3aASd8aYymv8FBPs6LqUGMi5NO/+7qIfUk+i6ZGLOen9W8ZH/0nR+5mPSiioBYJ7EY
du/cGxuo51uAuC+WVAEFm2/lAZ+lP93F+D/e2hqDx0IWnfFUMluxYovmHAO8Bd+SoBwB43Zy21Ox
3PrSTr8NHZ8jtXxaV73ZHGbCIZimK+29aVvdAyqcmlqnm89wt+BOwL/YPMaR3/xoasbJMhD1j15j
JrsUZlvO+FafbRKpdw/0wyX7w2ocV27oFCCf5o6HIzc1Z5npuGEj13WWKQXXXjR4Dz0k5DW70qDd
ZOybil0BVTFf9Ek0MOc2RvPad5h/Z7pJ+cQIz8ObWtAaZDCP/ATuQW08REEa30DAyxeV10Ih7jid
2j0uO36iV2dBfBaZM1/VzYb7wZzESBxoGB0Tv8EWCu7yosKJfY6LhU+1aiwLeuLeDL3pzAsqkebg
4iw4gmWun5DuzDXCmcNkC4/qumREbTOLKduM1UTahed50THPa5XvTZbnkYeo4aHi6iLCN4cM1t4R
fHb9vR2i9tqewfB3Cec7STO5nSX2UOjLCegtW55p3JrXtdPW36HUlwDn3bkeVlmTJhg+nWTnTAUf
q4GQNVq7OdRY7s/noau/97JuH4eY8zqDrvlRGREAhFnEnNamLMJDhBqxFUHfvQQMeR3tucGwMFRB
dJzg+tXUu1CGX2bQR/iIa3O0bDrzI9j4c4PXMgPCAek8GkMJDUPncVqyQokQTyzzgbe1IZ1j4lTh
Xe3G0JUcUT25Ef71XsRwokxtDgnG8CkiHYEPNur95iBbPVxFmhjO2oIfT0LddOeTDPVURmGye7fc
17oWHQUD/lgtfIcKHAgpHQuLEAkIWXA7+wARZ4X9ihHioucP4Kv1CYkd836VzjUezpnnHBmr7B4k
BPs33xu6Fy+ycVCFknC9Fsz/IoZOK+i5mM5NUsQDecy98JZjxZfMHT07+X1bP1tp7N5owdzki7oc
46N0C4KzIVC3j3kzT1e+24l7vZ6yU6Iut9mG/rmD4fnU2HCRjEyTG0LvdEacNIBcdsdZI+tHXumR
Jt/0GaiSNtmgQBHtw5OJm3QPTwZ/tjXyidWcnSjZp7uA6bUXRhKhKMygGeO1VsTMINfIfDBY4cwu
0Fu6dlG62giWRquYxQCnRl4QhLnwZMdsuRbMIDZyXwyktfLbuZNmrWlZeplaHlasWfER41RlLAtj
rq40K0XEHUiuQUrt/HjYu1bll8uAjPIKfodD76IA/1OMzRuMa+PejupxNYwdwLkhFcQVm1NzzWox
v1VmWrdL1yxJJ2hTR7yavpgdrhmID62uOS0ub/Juq0ONa/EYGcYt8QbaKeh1VjPPHV6n2m+u+7BE
+G/MmsE7WX+b0rC5Nno/OhJgnGz7ANc3xlVrzzoWtGuSYKx9qUX9QwPeQsf843es8VVWOPtKVpw8
3/Iu2BOHm1qEJJjjJfDQTXu42E1o+U/EUPSXYaFMQXk+7GwiuPcNr81zC5e/WDhelFy5dldvamZh
7tp6CBfKT9tHFf9XV9f1Khxq67vDNPnGrvN5WTNKvTKtCdbGYLlbg/O1oKNpwxtueQ57q5AnoyB3
gSIEyrudhvdmHpFno1U3YDAvBk9ZZ3UdllvftqtRBOllg/6ji3iAu1a3HDZzj/pYGJexV7BuMGDL
FECiXUyMAB1L6YQ3bmhWe/j9ImLRxcdllDQbGygzeyfpD4ME0p3wbF7oEfD1MvJKZglKuaDUpwQM
aP8hoT4HTgxU2iunU1YN1suQ24cm0Q2WNJ9/WF2zLl0D839vn01Taj9Qbysa11R9D0bVZ6r6TYyy
vG/CyqNbRqDqbkgr+UCKUHTSy3jceFO9c6u8WQWjRvxKwsCNP87P6H/FNwI4ZjBdFSfJ1OyIhZ4d
ztKT0oallGXdnul0azGEmn7MChtvvBA0vgxREw80jlcMUOlbvFrdjWiIO7DGIDqJjoMIJ/SuBNFw
C4RpuWBTaj8HSeDe4/TKd0ni3U+AVbFpRTF1IKXcolDcjyoZ44vER7hh9n4fQpn5HuvhuBl8Td/2
OOlXfkIe0jio3K867hdjhlQYSemeUVzYD6ntkNg8VQTIpCzAFdS5ReQCGAnyIHgbMmE+TLVtXAZF
MONaKOzbOp7S5UQNq0JunLOC1M57xaS4lgNXyRm6qdl41IWLtm+jdcSA9utMq4kx0ahPQMVzGyQl
kwtwcUoCnetaEnJCbPVywtG+pIGwCGawL8JzKejtKH1O5cRMyVjuekyf6cKxNdgz6XQ96+ZDnxBp
wKO4SQjBplBzHAoyT1wWtqOMmBVlhj1sMpZABubIyDr5ejszg2D5Z52EOxPq8TomjXuRQYk8MvZa
Vct4DAyaFvm8l7IaLlyHMBdqNC3jgXPLQx1N6TFPLQAATToTrdW2WAgXuZbyGNFDG8jG6dPHwrTd
rWMgwCOtVbyx5hpJQyTadBXAfjgH98YwD28GZmwJdc0OwZjoJ8cDCJR60y6EXjj4XXYBsrY668rR
Y9WvcpqjI5k5Y9dDuyWA1sVAakxa8EgiEhAa7bmtMLwVsTMvG/ARjMiWsUqn6o3HidnvfWV6343Z
fQ3bqnmiYs1hmxUVi1an3YHd0DbWIKJ174niWrpULIQMGTS9g35eRlPICEmhT7vBLIbkoFnVaK8G
T++8nZfhmWXRcKujBvAgWpTSq47IN8xZmH4aVbQBmD/nHnXSp6JIy2uz8YtrN0FHxjvMApqCsX7J
O1P/XnZp/NKEhPEsTfikxwYXAFO+aXWDjd8fH1sqHq5bwianII2Xt4TmWvu89nmjBFP9jbcl2tmc
g6JA9OdfVWFi3lIfszMl4NU+RBlhdQUhKS+d6BAROimKt8wuURWUk/pJ71Ljexar5PWK6KyrrpnC
JzNr2YTbYaIFy3oOuxdi+LRCpXMFEIEyp7yBX8HC0MXTWG28qB+qjR0woL6CTMztERMaghG0zKub
2CULjBqzCp8cw+HvBPWUtysCAjJSc0qd26i0ZJ+tBkAK1ToF3+KvSlxa5BRAtigwzdpld5bMTs++
US8HI16ONTlRG4pXPnnW/Kna2yPy4yq2A6ltNalKgJ4OacjYWhGcpzEROSu3LSha89DlKmkzrzqY
niJ8GtqB0JVIJGrqMHKKN1MIjioaS0IuwsL+9M+T6QxaJGDqWQZzTR2M/6VnQAEAtOFWWytgot9q
3C5bogVx6nHjlzcO/rFym5NKcK+cBQkbzGzKdrWBCnQ0G2cyNr3DJKQkSfXGGXFUcAnpty6JXOb3
ZZ6DHtLWZAecdbgYhi3BLF58wQDY8Da4aKMLYTo12XyaEd9mcjC3JePYDwVQnOvMg3y+rGtfv2Xc
rJO7CRk+PNqCH70zB1y3SO023zoh5IxdnpxKjf5fRXgb14RnF+0/lit0Gc7ioPX8+Zm0rpeE3Uuy
4MsG5zD0u1cgEGm+DUTb0MAIAC0RdZCY0zLXeX4WI5cTBy7632FMOk2HJ9FT0TmxTTgvcQuIKC29
FebpmoTRdp4pNty8hHl/LQluIDWpZGAXYMw8zfkxHoi2alQJmXslaV053sA7g9DodZNX+oGedLsb
CTe+ZjBuYuYnS+7nOR7vRpNBoHe9838e1K88qCb+vp+k4V9S7bevVRslqMevZZ/0cv/yf/+P8c+/
8/89qIp7F2AyMt/BTfS7/hpH951/uPjBeLTx+Ci/Iv/qX2w+FPu/Zk8sOE28GPCaYlHCEWD+Lcsp
LPgPui5bHsbe+TAdCRn12lWtgZ+k/8CsSkCSfr6z/OjbmMXTou9Yh2gSPpaae9MO2g4SZPPoF8Yj
JQ1oW09umHE79Eojoqo399ZYyH2nFKTSGJ094Qn5tpV6vfKU0gS5ogVRjAuyUjpUpRQpMA31Ey1l
/aS961VKubJydLXaT6BZaOUEYsE7Qfrzr0bILRmxDGflSAAQmoHaMjbNutNME6YEahmi1rIZiqPs
cNvXSlFLkdZapbE5JFGuKm/0loYcxa2ZMEYRKVWOTE8UTYS6USl2XR89uHaRLEyl5nlK1+uVwpcq
rU9Xqp/hdogtSgmklF/bSIMCiVAorVAq1bBAPqyEwdw42veqVdpiolTGTOmNllIe67yhRFBqZKt0
yVEplKONSgI776VX6qWtdExYm7Ya/342qSCVTMdMB6onJLmR7SYa1dyX0ZqrCkoclbRALu2RTVFZ
jqHSUYVGoFhtoclNXmWcAqW39kp5xZezKYLxGnhfccpwvZwnud+KRUpHm7RNkUMCt6JxbfoDq0zZ
ZI+CHeM1jXomvDutX1pWSRlcR0N701haeMNAnHNmZ5J3mlY47S7q3YZVp04u2yofH8OA5RKjanA/
FVYG4bYSCDcVqlcM6GrdjUyON/gFrr2RQJkytygkcnNwdr3l19+8JOUNlXpEDZHbyLR8jtKvm7lx
aZfvb3wjRyAnUaQ9RywibiWxDE4eEb7kZgn0g86sS2iLYchAfqWXh0abqVIbv/QgxJDGpi2MqoCJ
hLJ3Jml4bMzRS588k/piNYVRuaZnFN6nJq9w3wqL9VQk1Y2RVcalRabLma3eAJS76VNdw1xZBIbH
KysBNb4pUm1a9wiNV9IZmBfviUsEa2NP6y7puH5j0e6sfqS7TlqSXLWNbz83upXfS2Su763wrD1s
MKFC3nrOalvxZ+JhuuIEakuE6YRwYCwKt2hFmPx6PhLPhMoWLiN5ZUbcmo6AFbBzuoEf38hInhhT
4DsWlc4uyhVUmJXjZktLch1qP+cDATrGzZokBoIMh0Kupr6ov8U8f9vEpbGGBZIdbzglnbvwYsJ3
agLhLiUMhZeEcIatIaz61ZnYT4aiqo/v3yzFnetvBmHw8blpetfRDGeZ15zjLgk786/tSUljWl+8
5apQK51S3HYpRF2CXeiKJuqHv29U6eH2d95U8Adz8Nt7Z2ARWWHTlWuibLELjnb69H6npQSmz0Sd
BQOBU5L9SjKNAUkPQXUc64A6h+IMjROB5Z5yzXxgoIZXcF/Y3nXrRPae+KvpZFDTMYvNrsSMhGfv
mI1j1SNt88DcPlfNZP56k49F/9J7cXJZ6pV7ZAJLnjWhYZ5CPfVPY6MV65g7EqJO4IRPgYlONjpF
jLwUTnzQ4HNET5bZJo9i7aaacT3OLlVvAw15W4GEhAHF1SrGorpJItn5cOQVzsbAhbmsUs6c9Gzn
3GhUQi1AA5jJpMglCzHS2PbyibuecEWGhfxvPpLf0myqZNml82VXxpdDI6/Inb0dGmr1wameCBNY
RIUrl4F/YfaCfX10FashrLyPd0XavjljcEbYJeopFXFpeqeps9g9xNvene8jhg9Xjj755y4CP+Kx
s84YqzZrWS19s6xOPe8xwnSVr1qxh09UP3edkRqX7sAaTmJftHK92loaHu7HpJCXIMJW45SuOhDH
VumFV0avTUdjMsGrVxHdmpH0nK1bZaAViGZaA6ZHVKGvvBsGyAG9nzXxSmuNlxLi3dCYr6R3VWcN
DPUzciqJoTQLY4/N9kdr9LvSd655TebLbBAWdWkUfiOs7rHT/B9SYDUnrKvY5AN8uUKC2CarV67Y
OLONNFtiiWrXrW4EWViQoNP5pRgcyjX6b8p3sKn76aZMRX0IvAwhoI+XhIJxgRPX2EyNCEGCyYyZ
DuPOlRTtFK37bJIFkcmmtRtZhFe6L+r1VGYhiDzBdpTUUq2qvjU6TP+prPRzmenegdAD1b1w9RWo
v2+6UTRL8AsLYcg3S9anOvG918REA7PHRn/yEO1WRpbd9hgan6XUrDXPekcIReMvidakAYHQfSCw
xW4WwzyzHlhDvovS2aJ49XUb1P4K4OlNU3QvsexJQi19eUkzdWSII6IVs1QzgXJRzq1YE2lcnleG
e5mz5l9zWxEx4IYG/Cdpr0dTlBW1rpbusjJjyKrTBrgeZv3aOZAW4F3sZVExGVvXzwIa8Krxu2CV
GsOjTiIp85687QP2EhhBxQ9GM74RJLrVZRPejUaNt97KBkDpaDZkA2gXre3chbifly6PITurMnr0
U97DZWeteuwK5+BcojVFgv9ie85w8thj3WVgUqkhwCbTUXTlgTytEUXSDP0JJ0t6B5iKTXNnF68d
QNtX9LL8ELSFR7JZR1bUoCFJuPa4yTr+blRYhIARc+aFaXVt2bSjorihsrKUM6Ru/ct6qMenEsj5
02ga1qXbMyviUGEtWjeZVzlPESt5n6Aek7vaAJYr/GDhTml0PtAqIR/BDA2Q490MAChgdNSPGrJD
0S7ve3fSjq7R+oTjIJhyESuicv8fe2e2Izl2budXMXxtCpw3Cdi+iHmOyMipsm6IHKo4D5vTJvn0
/lhS+7Tq2C3o/gBqAQKqFVGZEdz7X/9a66tDmtHSpDvhtbL5xBRUGZTSqcyFPSmOwaErL3BAxcFm
z78OpJPTriODFx+vJhSwKU7WU0NVHUJ5AYkw9Jw9N4V0a+ilpOsvI7inHMCXUT38LKgvuRp52D6r
Ola7KhLy1ZUta1mehSvGQmZboaiIsCtAsmLapzm3MFRk7aCDZFtWFLTvSnxqy6puE3Y9Y8Dey/B4
Wxk2CDv7EDTlLZo6UFf4u/q5DuCBZ1ZZb6WJvatTabDkznCm/HODgXUbmiFzsDe9JXVdViswnyyw
laypOE6NRUzD1wb+Megg+I7bqQSVF0d0GbDSWpgdDcQOZfG3KeWOl/Zlw8nVe1d6zrJHCTeBfWWq
vVmtf6E0qfmhBBFYSf/Zxq9cqkqzAEybJUMkpTheQRriK46pft5h3DlBy2shSHNWfjcuGl05L1Y1
bAc1gKG3psfRtcRliE06gDyPSvnC2LqMmMvMqNdlX4Y/5DBurZYjr5e0RfZx0hF3HICV9kaz7JIm
2NNdc4pDebcDx4GK6iX7cXKHY5DgXmW1oUWpsUbWvfspT1fjKDpaUuacT5QZM5lYJeGD5QLL5Cvc
qJCVnpoj1rDiQo6EUOpMu74ewrsVKhsHiN7sWE4OV5V0mYR56qypcetXg1eRKHeg1ST0JfZdV65y
N8b91IR9NH5GKdlqe+FaQWnuOA1fmaUfNN3vN4DgZsmnU4+BmKa1MU7NJUzAGiS9Y58RFr7JyYrX
U+XeY7/UlrRC0oLN1nKV+U5ylaJyPpqZzpfARvgAy9KeVS60TWz0P+pwZBnnmP3Z63trRaG6fbAH
ph9G9+aG0GOeEFzkfWbQrc0AyXXUxHeibsFCUl7yrtpwZBtS2zQ8BcAatZim1gQGZCqbYtn3MYWQ
6AsclVVGnsMGkOjR5KS1w8JJ7eNkcdFGFvgSJs2Qtszri2vM6Ar7M6IpCE0+9g/gLQH3JMZ86Q+R
UD50xMIvQaT5pFTRcI9v7J0FjWtfJ/6jTqhGp6arh9GQ9m26h1dHMcY02ePJZvv+ALhues1gUp6b
KP9kAA3zdWnKDhGjnTWaIihXcRF9yjzn1Ndk/iV6d35mBW276cADb2pDr9+4vrhrk83DvQ1I8nMH
ultx4lwpEgqbhUEp9kG3fbkS48Q3rSvUi9up7igrOnMmEvMETsY2u860amh+nhV9YAihTjMAp7PJ
qW5NOQfn9i9Gw5J7QOZ7X16o8+DoQ8e4s2vwXmkHq94mKy8+poglLPK8ZWs88gWc705XBRF/1vnO
vNgP5hU/zLJh7RnTPp7X/9VsBAD/mF7i2RxgzDYB95djwCkiirCSRJXInCUfoZBLSfLLXVDMRgNE
u9l0QLn6Lw8Ct+fZkjD83aBgzWYFVKL+ZzQbGMRsZahnU8OAuyGdbQ7NbHhAVT+ldUesOcQM4eZ6
fwtng4Q1WyXS2TQxzfYJZzZS1LOlIpnNFbyxZwY/8H5+VG60BAtG9suN8V+qzy+Z5l+pPrYw8MP9
/5PH+6/36J8Afxgc53/jH5qPYRAhJtlLthcmg4vS+H81H8MQfzMtanSJA7reXOL9R/vIX4DKDPh+
2P1YhDn0ttIh8m9JQPZv5sW5/cTCyESMGVnWsLzf0iXgs2TniMC9oEtCdg8Agh4Ldly4JzyW7nP+
38xhlR0G3acxeoorB9qzKX5EeN4fbZGCsDRK68mlseM1FVp8xA07oE+aHgsTao6pjQXw5JcrjTsf
7bqZGVLZHyoln/VCBtqi6OPMyo/wipstN/gkuQhiz4xMMvM2rKCLfR6MGACTTi7zca6bzjN7RWzH
2eDUoxIt8bsHqkPaepHoKjhlXBdPTWe229Ht5cH0a/U1GTAg8pabnd/ob5kqxVav4up7naf6kruN
y9K5ebfqxODvi/YLx8Cso+M0RsNOr0p7Y4IBvRSJFrDGFv0m0j2jDpY14Ia+xgzSGXm/cWjzZ9Kh
cO2qRZH52gMrI7xdrUiTVcsmjvT7SHTo3nayWOFIfs2c2H8enGG8DjP3rAKANgyeS1/JuAysPn+w
E03u7K42L3We1/sOMYKObxiJ+YxTc2awGhD7d7+VjFg4XtcORYJH2lD8bVZq/UeTimA/Bo4Fm9bI
ftB5UlPfAKptztzKpdfU5c434x8dAcA1W6nhm2N4igJD+tU5LyDByDzzvptmR/RCJBE/m/I1j/NX
qfHSlDrgb41Uj3Ofci4ufuWa/JNYOpWAVycUlOYFfVuOQQeTnz+KaSBQwB6u2s+fyGfZN+6GfSbb
GBSodIeSIeNFJASBbboj4ddz/m51dtgjNtFB0W6RGuHdTo30No7NdA1URNf4RNI5skyNEUYfHF7F
KpHIhL21kwz7Y65Z8aNym+zkzMC8iMvTmVAeWS5qa2+qlvWmaJrhs/XsrFjQAtAuu1SrfkKgSqjo
UraxzUWiTlzRYihTRXNqfwH6BleFXxH2gWVWsVcmqlyEi7GrxNFAbSgXcSv0C0KfvnBBv2Xg7k29
WEq39xehh5UDCgOJKTYtJg6lVHJWUDq5MsOo39AIgqvpFzKwpNr72Oc543xbzZAdbnT1xge8E0ve
lJBudWimsXkOORepx6YJ7GeJdrf2vMynfAt4T+1oX+7kEAiKooR2tCBkGV1rCpTZhAHfwptEIQ0A
IASpdNHX4ljNYKAcpicChaN/UMaTbUxm9890JghNwwwTcmeu0AydWDBGq2/+TB3S0kCQlPCCTUdr
XLgsZjRR+YtS5M3AIs9NVbXKAy1aj9h0b1gJy/UkOZldl+RSO1i4D1m/3TPsClsvU90LbqcSP2WB
fzoJUo0hOYyPWsXa3MlBbi89n7+SSw8y28fMb0hsKUxJNYwlGkgTrlfBuI5nAlNPPcqiV9LYRI7O
toxCTtbWdnCOZmaTSyGwEXj1U5xq7t23ul1dWNNVcWNY0ih8cDq+1ijL5rCPg5zLvXLLG3ZrDQvm
TIjyZlhU2oCNorPafDJnlBRGBWDyLsN7p2pFzfqMmypoxISPIoGdMDJYQ6WfuXcyQsOnCm1IVePM
rOLhqV+wExRLZL5oWcxYq16nuj20lL6fpPGF1u5eKlsWe+zf5j5vOncRG2Cx2LQDJ+OXvK1nYFYQ
V0+aqEYcx6bVPjJkjT9ynf6XSRPjbky4UItRIn7XM3mLCSRaGrGTbvHPVas44EGum1N7jKNueC4y
3d7IqgiXrte7Z52tGcIuDyJ/5nwFWFberFKPduNMANOGjEii3Y4aeonjvnEITniwfO2HkUgNRgEk
MXLd3c8k0MoLLPny3kjXwLwCkmFmj4VTHq6lkWWAUnrazftGo2Een/ibOYXtqc6ze4Mqeoh8t1ha
NSAzTCztbZrhZmrGnOkz8KwB+yYXbRdMazt0621uM0lyQ/VWTer1q05E9o9wVnYUFLVuZg2lPDOz
RZCqaFljCDhFGjpIWTnqtfqFYJthbOTbfeTJ0n0jQsN3A1IAZlcPG1acDmcQAhoPLHBuuCzt77DH
sSsIeveMoCi2k14a7yoPbXTW6ZnxIViaMyLO6V367XUtwCQWG8Oqog9kn/vZfYIux+1BX/i1Zbjr
VJ/pc4Xp+CsR9w8KLOMr3CGSNF3e0IUNry7JmrFYaJRzv+ihKw/+DLULKeH1eIKCuuO5iUWk1U+N
0Kz7NHU3Oq1x52Q4RfHzpUuHz95TMpr5bEld8JWYiXwGZrEpjPa+p91T1GNm5bqkFtEKwiUmcW8X
D263Cb02W2MCzZe6F5xY66bbEufafpZGkYQwFakKgxNfqGjTzai/sKU212RAxGMb5KfQqXl8q0C9
g1artlqvu0fsh+LTEFn2UTcVxexN/dBYufOIqf1ZH21C5n4gGXwsSoBbbdp6nejWEvLDcwNQ74CX
5z2ZeYRRQgJIpnB+egbRXTdlmGQHLWwOMXMci53QvjdhUd6m2UKK7dbpCVA+YKAy37C7qRN2jj5i
vx30r0Ycazt4bc4pr+LkAFZ0U84IRYJeqA/2y6Ape6HjEl8DbA/AufbZk++F1bbDm3jFoGIsh6bC
LiyDHx5LAmrto2iLvsXMhfKwa4jxnyLbVrRHgXjs/YYVetOXq2rCrQQ0evpJsOApyuEEmGkiHgHO
OZvWSNnV4KlcuIl17nmqrqvI+B40jA10ZmI3pZQrI1WEU2s4jYFhP2czhlLiylzT+dRv6RWAojDj
Kmtgq2SO4/o7UwojrN/5qAtmvxcq6ahYar4rg+eKPyMvQ0bVdJ4awZ68a53D1mKkMkHMmEyfYn+R
htlxaI+iJKBOHCbvL3ZGzo2sJy4cXWTPieYWj1yq0mMhPY56ZyZyxr/gnGXZGltKAKoLLrVN7lrV
1hsgeeIgJXAxQPcEAZpv9MgMTwJ7/7qG67ALmRpR6jBK3xC0gOjaGbKrB9BwTBKH7Zv6ToVwssTb
61RbxvvpWrEFmjvxjEM51cUG+OLw3v1CkDYzjTRIG9dZpBngroXL/mPllNPwWdD2+90lYavPHNM8
9IMVb+Rn3uVyk6BTlMux0Or92OjeMk9SamOnOqX0VaZ5sjDstDhXg8k+JqWSVPW5jJZ4zb5w3pk4
RCbFkeZiDnB8FgJpmly59y7bWM82ClvFRg8qTlAVGIdpxrNyCFeryPP0XWBp+k+PUNyinTmuXcta
AwR2uCYFUy+4etRrEqYPDt50C4VpRPoJmnn1Z+JN4Ff9neRpuDOHIFiLX8hY1hApK7WuWbKzaFby
71zZGTErI32ugO7EnGPQH0TFgbRgE5FgTW+Nz6ESGUgz8Dp6b2Zsf1JzExQTUZtHbwi6hCKK3ovK
T2huPdtPyBl+/iSGKE3tQ+B4cXpsB88vnxRESWp02q9B08aFX3BTXiQ1Dn1AKZkh+mWB4WKFJT4V
qzEKASeCawW2wcb3R4XV+kv5vEPuCM43/p3yu4bzezOafbVHSBygW/Vk0TGgxoeu9+RZVvzpsnHL
N4tvnpWONZVjHvkkHwGjQyLaxjRklIuwGoqvOtDhmMSDt6eEeeIbzDr/Ijr3acKUvZBsvb7srALD
OokJ4KbjqzWbgPpezy3JiQtcTsur/EFX0NJwv46IsJHqdnbWevPTYFxx6wOQbHOFMVWTY0CO051b
Z/YaJ5d51IsGL5lecwXAUbhmITSsHHekwlpovJ6eViUFIb39ShM3HXVNXCFQN8Zc1qhn9B3yk7sr
clfLOGtHoDDBNUwoMVnomT88skQLV30C9GDZUnt8HqvQXCYtVem1lQ3sWqENdriHKo96whp2HDet
DpsZ3t5FU4FkH/IkeQq9rH1ruXoyMzX9ZSym8BECSbPx5h82eLtkq/kt05dj5vRwBL2qsVAN/drt
Kn0/Jo18DIJcb1dxyR/tWKzt06Yu7m3oEzuRhnypo9r4ZuDf/VaU4UuQC/1kU6Ads8Khq9kyKyzY
hY8i1PX6Ufh59YiXHb5mEFSFOGPdsh+KSL6LCRbyopqGkChupE9Lj4xLvIyn0MZFi4PqmmZj9pro
rLG8RAVgV3xKCMfOMGEJ9+0zAg7IEZIgywpPI+alsIIuFRabpEY8Wg11MaHmtw6avsQN3Eoi0Csa
XdTHxK2PmnKNIui6HMabFB6gv8LP4nsd4p7VYfmxkkko5G48zVibgkAdm/QYQPiUnEgTx/uc2tEL
7j4G2MHlw6RrH5lXTs/UFAfOwoVgxTpl5KGhO+n4Sj0liyejVzqtemK6amPJloF6A/ykfXYv5nuS
NfG5qidWLYbUKRowU6R4br7A/PxyVySBgRmW1C/z53yRNZz65FhcrvFCzx63Cb/CKJXAcUc+UX4r
W+XlVyNNGosoisswBvOV2zsKeuQtu8hF7sb46U5fGrsadTN8tkNuxCouLnptfG2LoRqeJqWx+F1o
LQNve+v0xhJU6XfCFBWt3vWgjvxIao9gTCjh6lmNUbKn+R+53TeRzTrxMoXDNtCEfMqyfHj5k/xz
+3su8r8VXX4r46Jt8Pj8FqjXPZ0mMIfWFW5lqDu/Z60rOagkswx1odnJWWk+9B/DBN815HuNEGMQ
fjdza9sn5sFKnY1m1xsnMtaeCM5VN0HeBfbQa1t/SohlxNu/fnOzpedPUc6/vzeXIi+i/rS0/N4k
lBu9LPTAVJeqqi+i4q4Y7OL+8u+/CI4iQtfoubr4/QfgJO3A0NsrQDP0JvGPq2WbQpSbXy/zX0a0
fyFJmgbx3z/9Rv6TEe0MqWL+T1XFfzaj/ePf+8OM5v2N/mNEP5REC/upy//lHxBBA4gg3WSG+R+a
5FxUxrHVRv/rv+NCA5hCoRAfHwq+hOP9Oxqk681Z5T99JullnqsX6cVygaHYuvNbUD5mN+akZAr2
ecKWjbanaaOZDabeKYfx4LSRvkPh4nAwoU5zaaLF3OaBMW+W7XJ8noLZ81OGDcneMuVYxJAz48jS
wBxudUw4TIwaS4EqrSdWS0ncTccgFmO3LprKXFuo/Geul/qOd4lmOUb2kF76qOh/CI7Bjl4aYKo1
UbUGKorl3im0EawCggE8gMKKLHi/gE7Hrejt4FA6A3Ybt6Din7dJ4CZQBekeH/SKpxPcLTrN2o+k
Tg1QcrZWVJSHE6+pH41g6rSDN0RsmkaNosavPrRCd8O9RTNf9D4I43XehQOUgTTSnLdI9wG7LXzl
txEhRSv1rIXKZaVu0hRdxMjhqfAy+USqNmWKcHpXoe5uOPFzaS/iMNe9jdmgQ6445yxnb9jznwyN
yBffhjqtiq0rde79Wso9GlQvc2FgNCJckTqdLI8KNtfAcLTIXSgWLhmw8COfxvDai7Fcl/qUsdVA
W6gWRii9b1M3tBq1hAqsE/udbedObN0VRmm9rz+dRPYXpgW9Ic0XWoALLeNhium6V0HQYwR/gMqT
beG66Wej8cAFgGypew8OVuZKAl5qI20JPzxKTT4wFdNy28Xlkl6F4KHH4PucMkZ9o2UsBTyApGKR
IOMenTo/8Bsmd69h+yb9QXLcav4mIni+b6m1f0scYF5cy9h/ibrYE3nEGhFkO9MwsnuUJekDi3f2
30ILBTdQudUM5R6astgP/vgkirqn3MD3mw+nJKqVp5HATmHF+zR087WucDYKPWvWczsPSmacPZc9
aUuJqXkbwjH/dAFVIFQFdXLDnCbfw95wmByp2b34o8dQ0iaGxgoIchzBlzl+1FTjVkk5vVhm9pRo
jK4Yc6qQgEX6GZuu8eIiVq1shifIYYG9J7MLEUFyNtWW+sEU4L1PA9tfvyoxcfRR2L7XU7NOppjC
nYhDN63UkWy2Q4iLDTmlKVa+cMOg3NVwPPalb7hn4jbG24AP/oKrB4qWqdo9BSTZvrBHf0nUvXlq
KAK8WpgDdqmVW0dFXPqSeVQWc19yHiqm1kvXV8k3SRTwjd8oq9Khs45dOWU7jN5k7iY7+yRoAtgG
G4M4xLU1Mem1/SlviTPkMXPIgkWruI9Jm8NmZv+w0awhPntjbT0QHXBZIfKV2GVDzRpidp8eCje0
rp3XNaceovLr0OhDz31J6SBb+vjcRql86lLWznGM8IprsVhrQ+y/kR5IXurebY+tA0VmPXQiOVAO
OJkbI4/ymwO9bc+lUtF8QUeEzuJuQ9md89Ppa7m1hTu+DolJitXX9jhh8n3rBOdML7medpG+UD5h
F6MIaX2ujqMzrwd8YNGp3X2xRQU2TU54p+NIXBTMJOxGMMZh5xMbM9Ip2Bpc+YExqzvqUsWbzB6p
Eihs9ZCUjrywZB93kBqsh2BU47eO7eenExj9Az+Q4Arqr3udxGgs6XrKV3xP2lWJGr1TmZ1sKztx
5SLvyvS5iutsy6+db4umJFHEtPqySDhviS8PMKsCBhM0B5sded3eQFcWJnzjEZuniaTiYfj5ObH2
0agaCgh260TYfJPg55D25yjIb1WPlcIszfCbibRNyt2Xm8EaMQzpY6yfcQ3oZ79N/YuGZP4wDj2q
EiBn/1SWBh79bLhm7LOzhcEX9dDhyFxN9lyxG6gWTZcL7IFEFDYUj54FfhjFuZOYi4TFo6bIiqMG
3+pgStugYip3aItvtWCJYIlJIVFMj0rzagx4TZLsmrGRH6krsFyQ9eEsAUrL+PY9obZ8n0Hw20o7
jp+MOmnuoWjFxWxHmOKdZEmALCWfm6LzLwOj+ZnYrfZOyhTtzzDUPYtLHCN8e8SpUGr8GslDjss0
lM6uKBx10MK831Jc1l/6trYOZmYWGy+W8kU5TnMbHNCZo91PNI8O0QMnW/Xm+l354bWF+DnGlHcs
XGCjxMbDL4UlA0Fs8kEHVqSQve44DlxmCYm2S62cfRy+1mh7MGQJc1GTQTPNPSMjjaks+kAmLTlk
kS0BnxbtuoRBs/ecnBnSceEMFbYhN3BQ5KsXFq67tmFHfVhh6G0LEjhnQL7esfeQl6kAqEHyejt8
5SaRKJPzjehDm11aW/eviZc359QY23XnNeVBllp7ZhflgndMgRhl5DC1vuhePdtxsST6/dwLoSEc
NJbqHir4uadJ88cfutVl3cLvYo5rn5/xEcCs9hRF6NYS3up2SGnWRQ0gHjY/tCsX7wTKCMWl5VWk
hXWJ9aDgsYSjN/Wyke4LlIutaKms5jOhYmtp+hrbSywMS/hm3ntK5mmjx9a73TXlWQsL59ELZ4+E
PlgnRQiTx+Bo3kY56Ut2suf5F3iQzBQ4wEm8whVe+SwRzp3XJvsQkjg1/+iWZWhaz8Jr+/UguHFT
HTh745KCochFFwAhAHY1xmJVWhWGH715EDhfP0HZY3CksB+Kser9R6Jb1dzFYaKpESV3giSyl7lW
2bc0kKT2zH7wH7KwwMgeccgq3Tp5QY3oT3RVP0u0kNZ2hwMoMA+9SZNgLGIiK3QZoT23khCZRiCu
QaWmZXdsbkia1S0dK7lLItPcDZZTgIuLtaVSoJ62lPWJV+4C5tMAMALjPRvmn16udW95yRIYcNY3
pFCx1hL/wTLrJuHvp9NHxz2l2dHDQOQyaZPooKpa27sEeUAp0WCMKKvJ6TOuUGHm/g51MDt0k5Lj
baS1no+m3eDnTp1bwN10Y8Qc1p2b2skGfBoNgZacuH8MPIQvVtjJVSPrF9qe8muPaQkO0qTbW847
ujDsLl1lLQFtLTbEziwz7yoMimPp6YrfuKC5zVJLyIzJMdh1VRIgsaU+hlCDRN7eyUJjySc7u6my
YvFW20PiLIRecn3tmxEKUqrubl1HC9IMau/qY3ElPqn4nlhuzYfDF19cfKO1bafmFr/oRD2NOe+5
uali3DN19djrWfisg3V6JlXkbeywmWyYcxKhOm3945S63FZCJ9jrrLqRn/QEcTctOcEWXh/s464n
agnRIzkkLfrYAp9Z3HHFRCDIpRk2P6w8EQ1NMWk7Gl61sKR3Cno09qH16gP2fvngao11tu16vPiA
IVZ+GofLNpTDISrUtA65+H+bXO+Y2O5T6MZqxULuUsSsljPLPuSpML7HAmm5HjMqiAKXcK3IXZQ+
lmPYs7AMsXBaSYzP68qa3gEffMRCe/Aq3Hv0qburbKLcriFdvCSlpba6pdHFSiAMkd48xpmBtJ2E
z/xarE1H5Jt4uv8rthKAeIivvR1b58ax34zZkj23gdOFAkQqTWlBq/KMH0yufJbhYwWo1qJ7WWAp
x/xpzSVCG+TK8eDF/TUi+Phi1QWqHMk+JFMaGjb0MZns64YJvydus6kcYRjPrRDEmBdYMK23UTOH
bRKTo2QpuvUDR1xRf+gad4G9FXz83rVGoBc5wVPeNu6u0oIRxnejnyM8AaueLTd+q5pjronifVwJ
bzM2BEGRLJ3liM2OuHAbXsj2crKnyXiltSBbwVRfx1ObMyfgyFy6Fai8P02t/w8l5TchZQb20AhC
IYQ9N6gxH/5zPikK7DGLOy/eJ/nc9qENghKlyeMpjWeQ6hIMJJ8VdynArZ2erv76xX9TSn69ODYb
WmGojqNW/bcXn+KidsepivfGUNafU1IXpyrOoqtHmcz9r19qbsX75wGYecbjn3n6xQj020vFMk7c
Icp5qcqUpDAMDwGtoKjlx1+/zu/1fPPfiSo86Nvk0ogl/F7AlpaE1+tUhHOF6biJSAfs3bkpJSvi
9ibpAvdPvR/pMb/0/L0SOGR5qoTRlaz2PFwHEe/ur9/Sf/4VC5OKS4PqOY+ZVvw2+3cgTKOWKWMP
XAaUY17jXE3I4i/sDKb5Sg+j+nPoen7PGG4Ov177v/Sjf6EfGdgh+D38haUNgnNBI9WfxaN//Et/
iEfib8QiTKAMDukm3Gv8//2HeOTMjbBzObBPdfIM2vjD12b+jawhvXU0qArexOxG+0NTcv82129T
Cui7c7UdatT//p//VN3f/Pa//yzB0mP/21eKgk9B8lgnUzn3L/qz7+1P0cbYjbH/GE10GCAexQtV
lc7CISRxrKTAKjQOhk33F+bYKpVM2HPZId6q3nPw5DcYEHa1kdPy65WZe5gmYQfrrC8ntWh1fXgg
8ZHbWyNBV3pI/aR+lQTinSU1HCH4vyCjMK1HWmHTmoPvyhi9zEWX6xPhPvoeT37iCpYjqp72kzG1
9qJISn/NNtqq4WiCb1haqqQ1qwkqHMCeJj+49ojPX0EfVAmqFibdKhZRlbXNcvQc01kZPMLNk2+2
0arxc/esbIJbed/dGyqSNqKh1XXBIhDQpOMa8WOVJOPDEOntpQ7N/D6n1oq1GEqNZgtvCB3mSD3E
LZBU98ypyHiFSuKoKcddSMf8wazq+Ihsv8WEXtNvU8blxinIdplNRMy/VYBiVwMXCGC0wnwFKGSS
L6mzR8OkkM+P7O8hzSpXpxz9FXZZ69aZSb3vy9FeRYZ5i9ypAanNCKWNmKcHwLU3iwvtxSrU3dHZ
iTpZxnlQDSL6pGikYoKmdg4HVHo08pxmEXeQdyZ4wY89isMza0v7oqLC4r11U3fS1VqaZXkJuPv9
THrX3/T01G8ah0LtsBbN3XR9hmBcz0ZA34arRZL+Bf6LtoVXn+Toosbhtqwy59ArjmmBLvSY1I11
twZ/OFqVULe40elZSqOPBI7Fu1O6asXS4Yi1aVw51EAsXIrD2ARV2kNfDvljVqc5jqmsuZhWGi1b
fiJM+elDnSXtRRvSbhnzjX3GLRwQODGHy0gZ2qqi53BtOLxTjU6T1awSPk2eIMSfeRIFNSlKnBpF
kpC7qSrjaEVSP4x695Xx569hZ2cPoi/oLiAX698FdW8PHolxLFRBgn2T0r+LrWGJSyo2EinNKttJ
64q7bvKJFm7XnszUto9jZi6qGkWJ1W9zLiGtvOEjoz5Ua9voYCeRsaLeK5OYRXp7JdNUbVn8hhtN
dkcXXfWgR+657xtJm4Nb0CdVcrP2koG9XZH1wK/4DNJfRwNYFxBGdaf2RWO+Iedy98hNbgJxtPuZ
CSwL0jRdcous+qoRVTTG2l/5mX1nd5WtC6/6bCohZp35ZZxLqDHUf89FnW3I7cOnz2MTNDODDNGx
YzZ+aSExjZLBiJ4r/dXufAJlKIq7SvXaWXk+k31XhatEt994GDZXs8qHjYarEn5P6OxH2dgvNk1J
VACKBuNbTfsCIQ830Q6Cld+Cuoo32nbkuhN5vc0Is7I4PUxtfGrzFsZcS8CYrGURsIImFL4gVJDD
c0jytVJVvElVMixtVml3L7AyBBsn3FNJTScdW/09MIDhIR+yaVu0DH4UBdXbKR3cs133NJUwK9Qj
1OEVBjb1oOz2hcCYttPkyORsG1HBF6xsbKWTYdM4jFfSwFdxGwNl5Se6Ei557X2UTJhr1538p4St
4gYmTEqTVhzcRsuLr+Ql3gu7wu0DUoubqvHuVr0DzKXW2+9NzV+ZdrVqVVeZeQyzAguH6fCR1kNk
hNzO2A9G2W3ksbuIBp53EKDobBHF+H3qfNpyA57PPcCtUzwO43d/HBj08liXj7ImeKejTIVekV9L
Aqa0SfrsNW/MMGT/KnbqW7azLAszp9fpAknKPQIf7VZs/CBoVIV/bxPxEwlULUOTrgoVeSgEVPQT
40HVAvbpFnkZgDDNuwHjRedgFq1iV9sYE+12ntnmmzFCzODhjh1u6F6ibGwMezf2KMggy6OOs0WT
n6lGIdEishMqUpH+TfbLtVeSzC4Hb5d2GGhOg127DwMH9qNVB3xFUsVHD6dT73xrjLg+RFM+Ngv4
I85Hy6c/XhrQEPDxaYGwaV2rxF1SusmSmYzGoeRieGDQ1DatDxBvF8h2P9LNeo2yLnukH80Sixqc
+jaCZKqWPqzDN2p0m3Vv2vnOiMPo3WNr7C+oMqSiPRxb+xRatYE7ya5YA0wK0ktf4ZRQVt8jng4T
+RIe7T+L1Ga1Sw+4Ord909zGwYQkj/SJfAbCuGJKp7xtWNBw3r3qFOe8y1qP3ziTiVBTbXEm+pRf
GRv9n/oQdZRHZoF11+gGedXS7P+wd2bbcSPXtv0i1IgI9K8JIDtmspXYvWBQpIS+7/H1d0J2+ZR9
7zn3+N0vLg/LYlFiIrBj7bXmWm8LQTc3C+6fRaFbX2bpmgkhLr0ZEAxGYjJwQE9mNZ4KTluvY35Y
/CVvN3t6yN8iRq/YeR7Gxbxgbcq/tFSkhHcGBU7XqpPpIWwM65n3iBvU+Ga5BC7swEkG1iGbEMkA
2ybz/JmxFTc4jCIyclk5bjxzAizFEmv3zPgd/Rt60b6Bmsxu9byOIj7FvWEjDxUr7IQm+zL6Jnsk
hvJEiTGly7TLhicMzwWRzZiHlXtYc7c29Hx73dQ5yw41g4D6olwk6jye3sxpQcV34ubdMeAhlYgi
bCAiN6KXpVm0M42h4z10WlxAetdqn4ZYaB+CawRfHnLZcbDB/CHQTPW7G82l4y2s10617HUQBEna
YL2xi/SlcRLD2NGb2D+mBu5t7mZ6Q16xzk88c5BQBiVojFyMudnxnbuBbrfiLXT70AjKRGTULY+a
eRhyI3kM3VocMEKzQMHySmrdQVrmeMYwaMoRh3Km7Msy9c1Zxr3lW7Uh/GWkvDpXfODsvKY0lJtM
0AgikaAE+wAErmsg/9YPcuh6v2P/eMm1EenCJvTjz3ZanzrbaCkvzMv2LWvTHrNZNHTSA5FevWYL
AIGgh6jTgO1r1p/wfvVrKHAv68r6YUSx+92Oy+KDpWO1p7R8zH2O+LDYLWNG3GxyM05EjP3ilNjC
vrqrYb+PZpuTeqzJaKvIpA980Rf9hz2RM+hDqT+zxiPD7RT6JpK3WOfLitJuaC7812wdMucIiWp5
dNDgRm9WsfwY3RHWFpL/O+6O/sF0SWF66azE27AyQAaRmAY+S6IbdqAP5Jfb4EsOwsKK2DNWafhK
cKn8TiLV6vZ6Gc83Qzcs+BI0DfBY2yFYwko9pVF2L9YhYRVj30bLCMqjGCFWaQGBWczJS+8+GL0r
6AE3IjYYBTZ2E/TEnZUzGzoysg8NSbR6Z7aj8YPuHwXpvqqjZ8QxG1t3MWFOlJouF092iUCrj6Lb
rldrMIHWPqk0Jx5vmL2/1nq+H4QYLhIHuTW0xc84VQMk6sGyf1op1sXdSMTdz6y+/R6RavlhGVW4
HysK6nf8NCnYrltjuMZqzhDG9Iysc2hiCUraKDVQbIz0qyZeWO4wLxAG0+Kco0WfrhW245c8nPNv
GKzig9gq5lsZDpcWTzB7BgqvbrK2oFtSMCMWU3R2QCJ2+7JthqOTuPScUrSUvXYOmt6O3AErjzgx
yU7XtbICXPXrTabJ+jxZhrzwJ8wvih3BZ7gmPfSPvj8WdTPuI1cvT00e6b7K1pd6IRLhSSXbjwiD
773eNJirRdKe/nNL/t8Fv5ytu/l/uCWXX8lH+c+4H+P37/nzkmz8YbsmTBjqHQiA2ShMf9J+nD8I
dTKB0T/z+7LLL/15R5Z/2KZrU49om5h00L7+645s/wG+Dgw7M/Hfrtb/zh0ZO87/dUdGdeKrAXxX
NLj8a+vjwG0tWeNZ22CCtKs2ef5hpiBsYdcJBcEa8RRYcbcA/h60cWLTpOTFitviulqhMXuSJrsA
Ptv4ZROAosh5Lt9dkcIqjNwM7B+/q/DnKuQzXK7le2GGOuArqe7aZLIA9XBDu5LMclaPHmXMw52b
WzBHnCcbMNZji+xzJ8aPomp5ZrhYPvfgA96qLBk1bx3zcuVCUs8fpK6KmXY2bVmZriMwOrOLc22n
9zhJgtpqsh8xT3FE6KXAPbJATiXcurCDnxs2k2HuDtcNC4SwC1YAV2+rHEq5KsfmSsnCgW2Ok+qH
xt1Is1Qtxhc9tUcn4IWVQL8p8SoQ1smqz7qr67eqF+vt0C3CG/S8u4ncbvrESV6+GXQaMdc69K1h
a24eljqNPhT7Drj9qtoVpPV5QdUeAHtBbtSZbldgjfd46SpwP87cgCUrJpsuyyS7dfRifqA8DePJ
0vtLV51sewK1Sa+gx8ILuKmBC0Al9j2QEFYJqV58zl0uGccK594yJa7XPu2fWG13wEy7LjCmRT+G
ay0RHjUc4WYf2dTwrsMNKnMSnlba787jSk/zTkSmCyrTbOyLIwqF+Kot+bNe1MMTvXlMUoMERg0z
X74mFOa89hr263oyoXXirrhMK5nvnm5lWnMWw5vmcL2skRxe8m0F5G2w9csUts0NRubxl0t4CrT/
0muZ3+U42EejzIOa0FDql5OLFVti/r1ynW0lWy6k7uZ3KBo2pXmIkgLjoIKx/J6mYAk3uBwLxKzR
o/vScUt5RKVNHuM6019UVCS4Akz+bbqwseMQTd8PTWzcSJVySYiHKj5yFWZLt0ALUP3YHKdFjo8R
Gjqbr3R+08qoPeuicH8S+LHbvSWIeeykPjlJgCXDfUT4WSeSF1GlvaaRbt3HRsKNiW49jcVjt2af
Rl3pLqIF+ItIrIXvmgQFmkKW3/g5ZnAtuvjentPu2sklPtutGt1AVhMJuLA0SBstUYEun9JHpTdi
o0lXbPsafl1WkXFtWEVVAWbK+jbFjpfQ2lfwlL/OpUwNwJaR6xr89cwYUaGWjIngH1Upo77fze64
pBaRG3cW+aVEBSt7hk+tx7ExsSAIR1Clj8s06ss5pr7m2EzWvXRSRlbDXj08LwhQRus+zTlPT9DN
Q/4WhkQDZB4yPdkDyUwvq1VF2qkzn4bBJH2+JLL3emNpwF0k4tbgen3piT0eDOCiu67q4LZktCS4
4ZgFLLT5KPK8PIYdWTqWUGP+ff59XUWoEOm9nQBucX2j5jL/ZKwdLKYcEaM0b5VstOM0tM8GI/QD
ndVbwcJ2Q9a5Ko+sqK/Vdnsutnt0vt2o2YItD6gU6jRs923WkBEBry5/mFqd+Nrf7+XQzHQ3D+ya
HyRFwjsAqgnutfi2SHk+thu+4Ko/pmdsynwlXWsOw6YGuMgC1qYPmAgFaYqIBQR7Jx3Z8WU2NWHT
FWISx9RpoDXITXWwN/0hQYhwN0WCVSBhjU2lSFcZkoXgtF6QMMpNywg3VSNbvtpuvOlX/g7DXtyk
vwUQ6WZiL7r4+/xbHUEmcewFvQThBBYIRT2JehSbpgJv+Zlr3501pel9j+yCvRhz+nJjb3oMpe1P
Y4IvqJjtnv0wwg3M5dFXv9UcomXOkSryjAAYYs/wN90HBaghwXZu9e6m38ShhRLBg9oEI3wchLgM
ZXNddLP4jN3HSPjj1esbFu7u6s6TsbewzeF7M26sTZYSUat24rdUBRX/QBm5djCYdL0ei/Pt8lvd
6iocQs4meTXL4j5idMZuTRAqf8g2ccxy2y+7isWZVaS8WQu3CbQO87JXA6/cjlk4TzuHj983m+i/
j8OS6sxNjls3YS6youUW+wJ+wlG239csGjzNJKuk3OTBbHEDgKdhm4vqhZKC9EegrXga8zB8MDdh
kNQvZAwsWL7Oj8nl7uFnm5CYz+FHvEmLahMZ1SY3JpvwaG0SJAzLwut1DGibPDkPfHSog3sxN+mS
uhRm03SmxtPiO1WZ/TlxtXh0NNemCmpe9vqyumAw7fyXRZn67ToF3SaWTr2BbtpuEipnjHZJ+wRd
tYmL5pHNbe43m+yqbwKsuUmx7tzFn8Zvfdatus6zs+GRD2F+61Yiv4cJjJlwk3aTTeSVUmxtcYa/
yZ2nYpOCc0d3fW3Y5OFJvuOPYj6WWvZUbCKyucnJPUGIffdbY+Y43PTmUVgeqfxyv/zWo1nnHeQm
UWtIu2ezmxY4T8l8snpekXO2Wictp1Xnb/vC/2yT/j/bJAAGBuPrfz8nf/vJEPbXVdLff8ffp2RX
ZynE3txlxWrbNrCsf4zJUlhbMzsPNnIMRevbhPr3MVm3WEBZ/JLCqSwMXAz/GJOV+YcDHIHJWbBR
3Mbrf2dMhtKw7SD/sp6V2KDhDbPuMviGEKg2jOZfdkl4vTQCOJWAmqPal1EzSM/ky6czq/x2lVoT
xJrE4gaq6tGenGvX1eMrbPrmqa60p0a03XlYQOE3Dt4LmpQoNA51KzyMVRrfDxwjH4PNPsgFzkva
3wnJSpgmron70jYX/cEwIOIU26ApbfZFraNuXYMU6fcuR+En0J2tFfCArK/rq1O3ggyboA0EM2AG
LZf2KVrHU4OamEjgh6qntm2+507Zc14TGc8lCdrZ4oFWqDOBHQtcLzF02frcG9h7OUHoaYLnMysO
ySDh1SXPdrWoZ2OJugbGXSUrk5d0ODtkYezFPGG8NYHhZEtip9/CRQPzvpN2NjZ+DNnoIy1D5yuy
UubLVXUzEPcWUgvhLrj5iXjC8ZXWfs+30B2yuVI3jtC5uA8WfRthiqHDm3qbiqhRpOkYrDjgHB8x
A8NUBaufPTarj1Lvj6y0nGASjvlGtwpSlR7FRxCMTxE9GvywhvTagKc7pmp6TqtEP6T9xE2+cKNj
NkV0xjRFFL8kAFwiqIjJCbPFlZqpG3JZw0sXcbwOeXfPGB6DwB5JbY6R9dkzbnBSTm8rvmGwe66X
zfopmrNnLCEIPq5Mz/SI/YiSqg1Iwg1EWAeEnlUD985fqQZCYWfa9XTo7NhGRS4PFIk/jmvybOXq
V5Un/c3aVdOO69XtGjc28LT+rSq6M0CI8pj1CdzVRPdn0Gm7bqnZdtZC4jRd7+OoqHaZyp5raJD+
0GpVgPH3p5Uw3BTWGt5PbmWRBJw1fHCw6TqqsbJlyA7GaEhIAeOdSnXLR9IFfCbD3DMQMS4of+3V
Yd8XkOUXJ0bKZF/OdC4MGgr02jXOj2RQwJtHM/mBKDmf53ZZGN9N7TGql23zGf0M4TvdmVr/BMcO
4R7QM3AOIullUifHEu/Rdh+FWVAtJrQQc9j3jkmhjGXE+7ZV7j4qTNxKseYeRmv6WZkZ9tm4r/yQ
s2PHe3eDv8/Jj0oHpjaaJU6miModcqudX1UMKV3J6sdcYfTTmZsHUmNKc9T8TZpUZZMGe9Zy7j9r
Oe0K6ut4B2kvWCnhKeCRPMeN6XpY45Jf+mC278Nqe6nkbptNVIh3Y0OkcVhEBrEjY9dl9TzxQ+s0
vm6s2q+qt0oaBCghJmtImCby23QEG7QUrL5UJoZHLhiT/ZQbWX2PVwWqRhO2yW3tKGsPCw72GQnM
zpP5kH7rrILxRsg1OiTUrJ5L+tQLb9F7/m18sLKVJEJPxr3RPRGO431KC4Y3jnwsQGZyNXTmefmi
hkeIgPlqOQ99Uh5Vj57sHno+WjNuegs2dcN3m7EamvpfssFdByMjrPfWPAzxL4J6CK+k47eCJ0EW
4VY5ZveGM2oiFBobrEZQdMUN+mxxmBKIT3GjKdiuFX+ybDrZ3DEOdkybazqjfleUlwQmoPqdXq/k
EetGDyBL4aClwmWnnPWVNb77bCc15vFU++CReqGSh1pzCgGCounPwKqM21RgrW5zld6A/PzC4d76
iaqT56JN8wp130yuqmVMw8m84q+ShbxvivB7k6uMhiBXdy81aeWzdPs9dcLjZRyS+hE6uvZEpbr9
oQoz8aPMBapXuExtA00W1W6aQdOEZBj3S75gUA5JRfRh3/ncpnpwiHEV8HXKfaUJoHLbU5sZofVQ
rKO+B7Q3B1qTxwc7H+/x0SZBsnTHSZJxxpCLDtE4q7NbQqt8mPTlrRwq82iMhfvZKjydsxFPuy7T
R7jO/au1pITnhNAChukTKWjHzwaKkXe9rPtfYWUYQar12g2k1Zg45iD9UlAcUVcz7VuRE+1D4Ok7
dg23gDSyu1UT43VJkD3LZbDBgs2ARLqURwt+C5o5Ldixa8wM/MrxoHOwFpNUYG71YFR4XVlyMG7q
C3sEfEH4qOfy1JOT2VlTa+4iXM6Ds6pd5lRZgMkN0sFQucdmng90hrL1YsPtVXImW06XyydJxjEQ
24J6kJrm49Ns/LSoSPG4juq+uUnq+jozut9sG8yub07EO4DuwXeZG/t7kdjEp91p4M4DdHBaoJZp
BlCSuJzBEwzFfNay5mvM1mveh8ONnOnCXVEyIHTY5Z1iMrmomR8syEZsoUkPnIM44FGjkB1+zna1
L8vEcyKGVM3hzzxkgO4UrP87s7He13XDZKIJB3HWv6sqy25MqqV3cuFaFOrTsquJCV34DHSHLqF1
ZMqyX4OVu/u5Xt+jmq+aESNmcUbjCqELGQIQhErCi58sTi0nT+R9e0/iOvRo5OvY6zqwi3K0PUtE
b1Q0/Krd5ifKVL7PTQaGcTZeihZRv8i65jl3+FIrwOpdTXjnVzsYBH87bvSkmtikdFN8DzI/fQAj
DtHHUetlpHp8P9nZ+1CEAjMCTxen1PjiLBUvjF7fYhMgbCLQhimgo91gJfkPBS7UK9RSnQajsCD4
2diCXa3cQ6wtLkqqKegX/KgoCz+6GLTBSCRtN7l8DxMpcTDAjfPcgSmhna9jl1oSDrbACA0U4ExZ
zbcP8i5947HP+ms/lc63xja3ii+xPFFdd7JAC3la7kYPAyu3e1T59M1OrSfTopakyqNbQ1XdUR+c
SPfmOAWyBFiawyyJje+umXEdNy20ud4JjDW0qDEnI8VPepwWf21AdyYgf6QXVYqd5Fya/sLPGTO6
rO5GzD9HQUnm0Z5N533KOjY3Yv5M67C/w+KjpcE4xuMxrXv9ziysEQtOimfXEHUP2TQG2Yv+A5jA
NPlEiOKxcVzzcVoESX5OTY0RQ9XK49aZ/+pa3QEa26URP1NE5oremdY64AkxeWRKqye/07nr4A2K
1/wS6U9UttNzBiWEdW/62mHr+lFGNFZNcbj6aRUDh4r0L5al5lNpJepTRqlWeCs+BfgzybBJfjiE
d0kWpwNmoGX+FAR82GAO3dM6tc0p5PCk3FYjnlFa9xg/IPKRh/BHXgfzUWor19fRGu2vMLJJR6nO
vnN7M3kxWeJcJWZ9n9xXHtBkV3t1hYkcnLYNuBAwyyNmlBYXI38Vt3OmoC2KEAOY3ddDxGoLorw/
zt1yx7UwP0REMbCQTD1OW3rYar6vQ99a2iFFDS8OjZ0nL5xm2QuvuOE1n2bxlKV9eBSpnZyEOTHx
ho11BjNM7DqhizMDwzKhj6gkXW4ILW8EtLg9uxpA8V2MEhJgJMVFxZbPi4uZzMxslLVvjZEIMOW3
D/069y/CWYcvE6vJkWyDe1OlaX/H5rH9XulmS4ytq9Ie0d6i48aEMsB0tT67bV9ARiQtMH2LJCes
xz1pcP3VrXW2bnm9jEGS8jzcuI5RFIGDV+37BM/Keo0yDcQsEATerA5qHA9iC/5naa05AutlWLcW
ggV2lckC+2MPT/laYtCEz6Zd83JO3sLCLPe0khWGT21qfmKXKzYtEh8Z1nON0MWG8BThTCKP/+tx
hmp1Zmn2BE27ZAhrhh9lUWJkim3gXP0a3bQlI2lejiRx+mIsvhE/g74ibHVAhskuadU1+wUZzSfl
nXu1tuYdS8ba3E+ynB5yw6S9yqRpmE1DkgVjKocLi4gBJSklrWHP0b2q9ZCVqp221R2J/9n0WXqL
Bj66Y1uKYaGoIUV1zm7ACFB3X4ybCZTgXWY3k/GEJ9qCCcKAx7Kg7Y6pGxdo9ekyrjf5vGEnu1QG
+VqXLSpOzDk6OzmJRxpfj31smS/KwT7ir5S+2sc241n8gdMy9IWG/nVBv8Rswke4TQPlRPDz1TDW
rBrsidOnb6vLiLJ+HDpXPs5Nz10AFZNgFLH/EezSuZna+oSVI/WHXk8udWomXqgG+1fRwhIV2DEA
ESSgdA9zUX/rYOgkb1IadAqBR7/2PI/EstbV9K3OcX5WTh0draFgBJc9+KAmae3nNaXRIMElbQQu
OJF9p7r1QzBY30xLDWyD+3Fls9yv+LLnVTU9wb6kfo1no3iEuGKesVdT/UR5lk8CHlu8jEEkR1t/
T4UDxBMN5d0kwKTX0gp0a0BD9XW+x+9knIqgn2fXW5Gug4h3HcN5swSzos92yO2TVpdsqrm4g4hI
3H2bCfVhGrNxLLIWCTTjZMorgEg2QIlDEumj31amc9ETtuO7rIunH7mrjYdcGXf6HLtfomzvsJrg
/OsFS3elliNwqoZRaoguNPo68w5390SK32r2tTubwe+UcsmHEuk2TWLqzos4wIsWcxvRsveOmX5X
YaY4agkN9NrEm6ScrNLZgcogECK0xTNSXd9XIUiskhDwXa+vC/v8+EgzZH6dM/RuMyp1ABiT9tst
Ff+sa8u4hmGScNA2uHsqjWe32/qFQd0syHUefIsiaLN+5KUzLQ9xL9zbcWZTlrKSOWZs6gOVCw5M
6FpnGGb3DuurHSuiufKQlj86e9u8kEGAkiEb5zaj28+bC5EFKPkGjDRSsxGe4Z0+dbTXFElcvGl1
99boNt6w0TkYyKcCotb4hZ2wYz0uVjDfSPGSiye2LpPwxFziAVsgVe9SO8LysbKZdPUYlHFF/Kic
X+n2uaE31F/W5qtM81dowtvnbRBVMPRlVu1I2QbWRrfIEzc8p0lnfmTdHO4KMtAeM7MU3pb8zYMW
lyRxwLm5VCSl+LR09kGKDE9OayQXvAjZPfqDEP5gzIMTjLUYcScwb6fwbDDFIf/MTlefXGzEoHjG
FVS6I35OJVc0YkfjsTAoOJm0Rj3gMkERqGlijef+THNeuhNOZhMXHvw4XuqTw7aSF7CWnZVdjA9r
Fkf7KGl+cF9jFMMKuPjGmhYniDwjXSbEf17GfutNHKerrhfhM6PUNwJXjWe3vX0TW/rk0VXF4FjF
p3Bam441ltb65Ti8u7K5TnLR0YTVM20vgJlHw9jXFojwydSdl3iWBUmdtvQxdI8eyGvz21rROmWu
mbopl/iSaOUbWevuuHTxEyieXzon6X5amI7KqC6f4kq96bGkx3UsjS+Sjy1+/lb3qdN6nm1H/1XX
hbbuo9JhG4zqwfA91yTXV6t4dJYe41QVpdKnxp2qKsFCkWTNiKfEXabHRm6AmdwJQ2Snfpqgb5Jr
ZfgH7k+xinkgKuM+QvHAb1jr2G/544U2Rpg27jWehCKwRNaeVckouSbRzFUn9PlR1fY1S01qLKg6
j3B2aPB+1ywhrK9gFgWjg6k8GGBYsjSynBP/hV/KSueXitSjkVYcHk4Sn7E0ZefF5OXK+u+TiNrQ
HFgSR2RgYffbdlr4Zj6fqeLKeNTlM9bKEn4325lBbVrgRtlb3IH6QWmN2zPBlJdI86BMJmFIBxwJ
1tyO05Hm+aM9Nu+Rs55nPvBengDMySLtGrods07O2jUF/0Yauqc4PbMDO7Pyc20i/zUueXva0li6
covzQqO5tNH44Kbdl8BI6dMkYgbuXD40Rg1pq2ATVBIi29laH8OxI7VqY3O5m5TxkkiDtU2oUeMK
qt6Lcr08xKKGp18V8jhjKfJbc+hOZR8JlAuo7yIzv+opdB8GTSDDhVPixdXynkUgylW/6Hs7Iz2Z
9vqP0Bzl0+QQF7PmZWoB3VXTT5OSzSfOPty0lgmCVTTDuW0Qo4RMPRlqxhVvn4bOkiQqaEWWHV2r
vJIc7Ujm6cbgq2Ryh8COJCykVMTZueH9KCnrwQu81B8QY6o3k2BS4Wfaun4C1gxxPCyZ9lFZRXtH
bF87przw8NHZtPg5Wdpe7IwrEpu4NPYxo55bSF6BXizLD+YsHq2oLj6SVDp31aSH17WPh0/g4L+i
VhILc8FqnWmzcR/ApJKTTeCnenUipu/ObA73SsXGetsCYAUvZRfVARW0oECxh/i1rq61l7Dwbd/K
EtCBiuwS1kEcuUkNfMYQoXaLx9EcPZOXwTEJx29LZH5nQjCfmjCq9hHg7SPPwRJYbSe5XDnPE3HR
XR2X6ikS1Gp0sU7RSRd+FGAfvbQIAUDYSiV+ziVdu5kUQ80lB3WPa3mMb5gh+nkfWawn2zSxhrNR
cv6QL4abdIhCuA+IRDmZRbQwZprCkvRHrSnjHSlH07Otqn1u4VveNA0uABIGNgTzQaDx4ZsIPehi
8s2qZle/nbBkfRv5ApbvNMP6Mmw5Zh5jUuQ6AjX1dpQtXQk7DxebTw+EvnrqISSUyWXdPNEQ4dm4
9+0QMTHhMtxJhfma1/w2CXHKvBVkud+NNqbVOxvS/gi7nco2bcZ60DmGAy1Xy0fPcPT5iZ11j/gE
cMuCgAZmtFaa+4zJPPoyaZ8BXRyF0eyjqS2PSzbOYN940ECgUuzDQM/FG19fTv+iKCgR1etfE+N1
wIrgYYt679bOEucad5tv1sOEu4Fi2jka1QvmhpLoqsGBvbamvO+aCkNu3ozOY0e1HBNvG1X3+aph
lTWS4azHDbpMsdL40tIc/5LVmrgVxbQcVO1I/AfUeD8A9rIfXZKCBXDQ0KU4OlY/yONl575zxiel
dMRQIA88pdSI4b0rTKdUzIxAzBKzI75gTwZvrGFCFdzprQsRDoW/533igg67SXHgQiy0JpOfdIEv
sceF589Zdw8tHjeCtWxwFmSob4AUonMKa9ojqbD8yutCvoEiYVBbsWL7KB3tbey6OAyiNGleBvab
+0njrRsBhuVlD3aLy04SiKiDWaBN4KaQRm/acLZP4yT6oO6s7EKtEeUnJEnFpVqr6XuflkBBrDkp
/FgjIGm1Rshx0mNnzpr61lwm51jEMgq6cQUg2NGMotcEh3HpT/3VyQv9FfVW4yU21d8E892FJs5p
P/RM/8iZNiqNFj8ulK9AsY3IN7DL8KK6K65D735qo5TEXosQ+BXeR8xNkvJDHg09VXGQNJRdxtK5
L2EqnCa6ps6WZhNPssLcN2CC8KFhrYve3J5pKR6uWmtnF7JXP0pnlsEYsqRPneWDhobYgwzCzQCn
OZiqkP6npl2etUQP9zZQ2KBWqw4L3HAO8Vh33tguCvQa7e5elZWLQmjDia3PcPIlpgvwF8yyYm3f
EjgTHleF9UgrKgXbtuyGe8eu0IGlC9W1pGEhf5zNOPEXUJ9+ambw/bN1zC5wufzJZH2DxiqZNKp4
LzOHoC6rezNb+d9F+NABUL6b8BERR8+e3U696hGHtamVQWLoq49S8uES4aR+k4XHNMV0Z2i58KGU
VXslM+M4kaGldfZxdUiXVIZpeu4g6MSN1js9TvRdnjYvddek91Y0HENNkY1o+sO4GuO7NrMGUbr2
qguJYWJlQp4bLTnUIy9qIJMfhZs2D9PQPAyVyqk1rhxe7XK7CMa5dseKG4SHUPEJGJe6GKP2ZWj2
cAVp1MJawwCcsAZD6HGN134yCRNjfBlrbFRt3rz8x975v7J3YjQkmfjfr61vPsrun/fWeAK23/Ln
3tr4w2QpbIOLNg04WJK18N/tnVKoPwQ7Y2HxXMiNpPWPvfUWVPxL5JHRmdwrkhppXEP+e3vqf8Fo
Cd5TiB9w/C3Gc2VZ/4Lyb8LeIaM+WzfFdop7qKQS0UDyUuNS0Wl13+xsHNWYtWhFrsLbCv3GxDEl
NAw9a09I9ymHvKwVJA8tIHqBts6ceUcnHOhlHfQRMKHdIGfcZrFhOfa+aInpTLc9racxA7TivPeM
jnhMtO+7vLAuo9F0n1k0PdByYpOTUJrtGbFlw6CBCrvvmog35Lo8ac66ygsDUUIFiCtLXNQbon09
YG6mMbKcZW4iPQtmf3SWpDvmjTM09+D4s6e2Cd23Ll91zDRdM2xSwZjWNwTnY3yei/uq6bjA+Vcs
1hrMbq54Sm1blDt9YRW4LdHusqYE9IGD0tfcanqHlJner1hN9nBOgGJCltzMqgo1rNJjhKy+0ijB
WYv8lIKMfkcBbV5Vp+PiZAhzPyvX+czn5dZBueE+m1GQyX+E13Gw9LvETMTRBa4W9KnuevM2AFD8
4XJSpBSSewLBhwGBHq2dUYOp3FVD1YI8Ca1lh2IyHlEUivuBXMMziXHs8e0yHQioLg8cgctZ49xB
jE5oD2bvryXHOE+TLz4P5kOajSMY8Uppd1CDncMmWx+7apa4LfvyW7za9BM6AxQR0goekgCwEsPp
1dUwGTG0KkdGsBql31VGNPhunVPdhZ/jNCYSuas3SQYkgzEEUpVDoMWc8xN1CXt90tcjsCDkgyVs
1nfk0BoqTa4dIF+uJyNW6ycuUvsUd7J+4lYR3g5aU10qKoc5n1eNdoRhtXgd7ufR6BVT6Z//xI5n
jPFVMze4p5cIkgeULI2uUbbntO6iqTxjuZvyyrf7sEndvWo1/E7SmeBNTjSSrYGISUV9/udE/d+d
qES6/8cTlV7c4TNb/uoF4tjbftOfjnn5B+2l+G1c2zJhP/zjRHXcP0ybk9RVRLkdvHQcfn86gdw/
JJ4cKYTQLfi6W8vtf52wBk55cuBgDi3Yo/+mE+iffUCGo4S0WFi7uu7yKlD/csDqlh63zhpG51GG
tPlhc7IfJgqt+YyX/SFpbPc8ih+pNrH7aEB3E+JzcG9UY38kLzwe9EY2ByyfdEH95a/x/8HJMH9b
kP5iUeJb4w/3f9g7t+U4mWxbPxERQAIJt3WkSseyZNnWDSHJNudzcnz6/aH+Y227pC3tf63bddF9
0eF2GgqSnHOO8Q2+RLrpLCqlcyn/2NqTzZzDOUjiXssbDx3nDV199no2Scb1RkeUJIQ/axsDvlEh
JY9WgUPKR68LfrpFYZxaw3brZltNMpff5koLr6eoHhQbdksRFGG9avDAV/NuJvuJvHg7AXWOVtdt
tY3lKM31CVibN5aeFrTkjQwBxMixijL+azT1oV8SaJ7gKLSzGr8qAqqNJVvkF6jNvSNhtMaiyk+2
Y+Pds7tHhAd6gytuyQTvvnol6C6KN85Z7OAZDoUhqZ/zKddJMBOURr0FengdIySa0GTSYdz1AaXU
kVkQfWmSLRjcJtj2T0XdEqUUDnhzggeyXjVAaXNzrCko910n2pcY5tGNl8MBcJL2ArAtYDCnBeUX
j7eGR7AadZqClh31x1HrNbiAMztuhrT7urbEdFmEEZwfwPe02ozyi2Z5P3RBAaTFNFQ3c5pF302Y
w3Kld/YA+qnUTpi7cBbLaGq3Q9yPl6Gc7/QuzG6aiYboOHs0qdoB2uLOTTXruWkhh3tVhIqJ6c7M
l1mPnS90EqsvPbB5UthdiHP9LEkzEI2RXmGibsXXJKRGGw0tvpnnemvRpdvVXjbcT2i5V0WEtWh0
KnsPELfYVRLU3dponG7dCt3ZztjH4DIF1RbmsLYSs07XUwfqZc1qWBt16Jy46/UFPYNml5A4ewwN
4R1hAbrHyIAutAkKPftekTl5X8oy+V0PBhlfaadVd3Ubzzj7zfFS9Lr8GcrI2WFnq9FvcPUo3NU6
m/pma8bIZVbcd7Rs9YCvsEqr6CnlsV8JsxnXiieNEjkcvqBzG65hl/YX9tB2WzyGHorxKNsSDlAA
IyRNYy6U+BKpvMH0gdwgbOKIR5rgxmA39Clgqhm753ebv4SeZMa31KVZZHuD8WSGCfPxZJp+mahQ
rmrcxRukM42P0RmPjEoS5wdf4hn3Phrng9k7SbOh4TOhh1KYl5H9mRggkLAxVjLrXDKg9chwX+kU
BZsszELaJG2g3dtjS0FlaRnsRMwNF15lY7YeuY+HHkp1u8qNLLoMU+amGIe5exYpF2urT7ZJ2xPd
Mpk2Gg03sF5w2A2wwbOhuZ+Hqrj0sgXSVM11emUz4qQf5xFCwSyKtytygYOGnDd61FSZIH1DecNJ
Fnje9jItnUOKt86LhvlZ9vO4DYbWOniE1zLmJhNiUxmkebATDj8I8HOZeLlkm9J0Z0yzSeMmxSJH
kMLEDKyRj0UggSjZ2LXBXhuG219jIrEOo4F7cQXJSCLIo6DKLyfmwlSaU98fytApbRydWU3iReBm
QCRKxu99HJo3+EOGk9OgdAD6HfUcSYs2u7F4MfDCuBG4R9IRtR0dLgq+qiEk02E7uMgjENuQBbL8
gYNQTY6cUOV2JG3zKlisExohle1GCgwV8WKtkByhsg0DaGujL9YLh2eU0IHFkNHPdnM1mFF0G5sD
UMTFuOEuFo5w6nDuV4x+2Z7ZfMGKpi9JqPB9xK8eEE00zm0bT5n2HYoILpFxMYyYr94R+eojCavG
aXbWYi9pZlEfp9wYfpDqgalosaEYiyFlxJmCkE1jJLTYVXRzca6oxcQSeUSAy6Fv7mxR4nEJDCc6
GbZpfiv7PP4ip5E+bdu04S1c5wo5IwOebG3KqH0sAYvmKwuLtr1vFnNNsNhsotqriUQ0xv5KMSFC
RWYMdoSp1V1kKZMCGjQuph27x16PtUT1v9nfPTpKEbBWSXyEo3ksEXr6fIn9XeySSSSHJjXHbY3E
ZsveMB6SxUC0zN34Lx469nle8hTpPIjIcjEPLLnSSPlwISU2hiTj1ZskJ3PxKbVYlvAG4F7qFaQJ
5TrO68/may4dSqqJaIVJa232hty2kfOSCFT2gwu8La1H8YD5pDokFAu3jJ4MVs1fzHpxU6H6EDej
Vl0mAVv/bGeX4eQGGKzKgycxGRMbs4gkc23j6oRyVWAyryebzDGLwoH/wzyaNwy48AYhgRuuocPo
azK2zE0e0VDp6LCQ3axrjyj06lNjivHCshEwrVvasT8s2+tf+sVblgpbIoEox/1yLnnOFg8aT6kt
1hhrsaZZrza1aXGstSVCElxkorkQ7uJ6s0WEvc1oZ2ltu0kDvDLkjSd2U0MoNq2oTn9wEqWKbb34
56xXK930aqsLrcVil7za7dSr9c6N5EAtDbwVFfJizusWnx7JbekDRzh+LiJBrKS/0XQr/TLpzl06
BvY+ebX8IdPAHVTQXb5qX02BSw1+E6QF3hYVlY/T4h5UHT5CjHX8XsTIYC/URFI8CrvO+TtxH5qL
DxFuKCYXubgT3bo1Llu2M96ixb0YvhoZOXchfMpcUggYwJjpk+HJH61G39ieDIERLfGqY4IVaxld
uppFgTgGETJfAM5brawZWS/AHHQY08laIDrjK09nsYajKFswO10L0dMb+FgDh78iuYoxQMkrdrlw
d5EW4FVpCR6JYVnYOaMBGuD9JljQPhiG6mfXq6ue9o/mHfFEkD8khE0uG7ASDyTYrKDFLMggN1no
Qd4CElKvTCHEJNBYRm2WFPiIoi9rY8ZuPbzSiJpXMhHHk+abmSy8ol5YsIs6Pvon3lpahnRXoRt5
C+ioTxq+BDiPi9on68saN+MQRAQ/wHaABpIJ925EcbkpXxlK1oJTchv62KvIW0JZSidLrkDrpSNc
R5njMXNHJlte/YUhmHys6THuSwdT2iolZ+sFWeHiQ5d1sa/bBigD/FKdeaQx88moZdTtY1q7tybM
ifzoVqQ5hZ0kmK3QrXid6aF+qNwk09cFMcvolTsCsEcMe0JdOO5kMvH737Lu/6usQwr0YVl39RQX
v/6q6f7z//inpnMgewmHyAYy1aGC2d7/9XdIAxu0LsHSYdI0AN/9V1FnwRdjvmC6zHVMV5g6HbR/
ijpL0Ftb2m5SN7z/OD/OyGAfkcJY4k9vhwVyjq4Zfw8BmBR1Dv+4P70dk4dxG7XMTLL0Fn+DPV25
yc0n1dmbJWju2bBhaOtQgxpnSwRDl5Ep780+WbQ0uF1AqEhrHG7pfzUn36sBP1lludA/TCpN4I00
01lFFo+t9liOv5T9WZn5yRJnmEKkMhbvGkt080nqJ8bt9fz88VUY1Oznq7gc9Sx2YJMnA+/N2e1q
Mw1ndF83Pq385qWUDrQuxqDmVg4sbQdYw2maBUc964KjaPVuNzIL2DrJaOzhPg97iK7NgxnNwmAG
Cg0WKcTJtLEgbDgTEuLFgBpRTaNvhBp79OhBcMenYSHmE998D/uVuXYik4sW7SGQnuoR+yNCNrfF
FG70fsdkixM7WG6N+obpsIyuiICcsBV3qMnjprxwmi45RHomLxDxOT+0XBYG7LAputJrzbngkE+B
ocMijTQbD2aYd5h1RshDVILdZQcM5ivQh2wTVRGSW1m/OGYuj0GMOIqZdr9pmbvvLbO9ZBqvvo7F
ZJ0GmrR7rZPZtiTG9GAhyFllnWHtyLnjszBWBqPxNN8S9DUytRv7L0Iq/pLUVZdyTqZtObsm2log
ReiHaNmVCQmOYdlFpyDphxdP4XiF9d61a4e52Voip9ujGETo4gTfowq74oa0uvmrM9CexoBq/Gqa
UcvW6DLUb1T4UO2Q26gH8kYJlhwdZZ166j0inbjBjC6vsHcACc7V4oFHOcFpOVCweAKhOCJDBwjs
QlZr/n2gp2nO8mFOtOsktH6plo/1MKnuZzKPX63Z/OUB//kxmjbBdJ0Wf1cYNQ76VHNLmqg29sVg
/ZqBM3uraKhnP6kpgJMMkfPKDkCLMWYmhwpRHCwVmR5zz24f4iXzgbgjeZHTm7iq8iHYIsOkZ8CH
+kQmOBjmAhGZ11TNjmIDzZuJbmSFiDhceyRMbV1oMMl6ztzwaEN59elrsIA5O+u6ThhI527qIzjt
79Jy7u5UFfCHyUriwcCiCm2ZYw/xQ+kR7iLuUBDc2x639o2LIBE7AJlvm7ypzI3J3nmtBoT3h8R0
8l2V0WZlOBXDseuawPhClRiephCnVVIQvI4hLLZvzMxI9lEY6nvDaoLnQNrUKKOpBdcmvqBgTW4B
2hlKAITbQWDdkAZhIhIG3w4LyTqCDKova00aXwz8CweHjPvbQBPanhOrAPaeh5eDZRPKVM8nRUmx
aKZ73e+i2jEPdcPAvuvGbFwzRwieFUZj2htDqVZC67R9OUXubytJ3d/g2NS6xYR70UjDe448nRFp
V+NPwjuo485V4MrpvnM/Aj3lrD+PP7O65U62/Zhto7DSfaM1Jj+HrrFIu6x7HTvoNphcnMBCs429
S2TD3qZe/u6aQU+FakcnPa91v4/NzNlY3UgWFLmLYpVbhvtiIFU81mS9XUOuGp4aMnCv8N14N9Sw
4j7zFHkT1PkEAtSGjUginG4FboIdtZx7C7CmeJoiezjhiRpvxyRS1yNM+UtjlNNVW3v2RUo0+t6o
EW7AeXDuKqqrDbniM+56DU2WrZssUBvL5pWZIICaWYd1jBM/lSvA6vYmdkVJK2zQf1uxo/JVlJUR
fLQ++WnPTuszn24hSOftnkfD3oygQnbVVKF/LgdIApgiWqTbETWCjhYjGxxKuaiso/vZzDlGE2rI
32kHEcR1jwEPpogZHU0f3ptGOR+ndKovaBNO68wO4nqdOAUBV3aeeAdYvwQm0ivZAA3yDjYB0UgB
xnIL/Y2WXJTGaB4dAsbWLunxuNuZ0mM8bw5ao2dcRu1OO06m2hadR0BviKiyNSgt7sNYzhjROXne
FllTPw+1UmxjfXrKEAOQFEh4gmIXeATUNW+JGZY+3mOiXnQCWszQtS/Mwij2QxlnKDHhlD+1aWk8
07lpJ7p8cfAb8HP2MLU4xOlJo9Rb/rhZOPYdnSBy/sZwcU3YcrgZGEHf4JtRqMYg7255hl95HaRv
GGHewPBmyZhYGuYqrdWvcQASMSMypT+nqWq/EaPdbno74o9ajdC2mCemKzhpCZjNRWxWjMGPxIrK
hz7O873yumJvI3eGyYy+MtH0fD3UurfWxy49OmX3RKNcHdCnuindAbLy3CDVfWpMIhumpr/2lM7t
KyJbo5fhxVdOSmlvaCSsrSYDQX4JKR95R2WIAzVpjx3L7fMjQW8jYnSyBbuNlcyzr4qKf7DOyN8n
i8+5M2hjfVdoJE6xxVBwVeVuTEK0W+wXJTnxbBXGMVwCQ3AcZxcEftP1a4oC7R6c3jCstJGf3hXM
B0spmkOXieinZ/Cn0wyTRt449kVglN4+dIikoyVHnUuquLvnNNocRKWlD4NH/68oaufOqx38ZFAo
1i617R7PFmEPy8cODTUd2kSOt4NDipkwem9dei3FSOCMtwJQ4pORo+8sKh5wCs30OPNEozqz1Bbm
ffEr4Rt+AKhNsEnqzA88SOGtE2nhjUo6D4IixCzHaj3iNcnVcRvhfFccSBXORpPE8qEIp3VLWOTe
DLTxVql0Ps34rH71RaB9zRfG3KxQdWxczfnnd0rxmv6edP6xoyWGnW5VxrXNVO0+DFI2GQILj8QV
M4izkeYXXeuevLIHTknX+ZvoJusbQkrrG0rH6ZovlbOL6kjbTISabjAzRr4Efno1h1rzBdpXsTUb
ZqVAdMbr17uu7BzRPbLwG0yKO71Ate/B3b8gu9UA3sngsIBAti55EHcjEIMLWaNjKjwyWPNJiW0F
0WQ9NjrMVVqAWA3NKbsJXCM8kJZCtMTrszy7xnzyNAuBD/XGxYyD/1q2RbDNMxli96ffhdGhSG/0
GkksGEHnu0dY0F4FOnYyF+XbBuIuP/9cz1coVuYrg+4N/UdPAFaf0ogt0DC+RFr83KSkz7ApTAeT
7Osb2cwzQYM2Qv+praYHdMo2SNx5SLZzN7U7Uk7gyXmkxHepTG6wRVD7C5OwD+SmFwne61tDDto2
aKrxppYtn25ocWovwfgL+vm5TDdMthejBWlLW75N/QEbF7U41pPqalCEY64LWZT3XTkWu44NhzNQ
IRlHWKa6qelnrJvO6ckJyOaraQAcBvJ+2AnTIBqTPFftHsEyCVj05TgxW4IY9p5tA/0Tr6ayCWmc
29hONm5P/iRNh2KvjCJ70Dsep7yaOVZ7sfGsh9Z0ZeUMTKxh0J/hcZgos2PCJjSrDY5Ry4uJJtU8
kmszn5pUyqMzWNPWVVMDDcXsAf1PPSKx3HPoEai+ZKcroDiedNyixCuKrFxkMM54bxFWTNwKzf3L
TmnJOuCP3iaCvg6QoDrwW/g0+xgj+IEGDbnjxOItV3QjoxE0vmdH1wZpUbjE4/zOHNNmC0C22M5V
pO1RJCk0mvZkPk7F5JI1XNR3AjMZXcpYuwiD/rZj5gVRn+jVIdF+uXgpdoZVfBcdrtgMVuMll0GC
AyIeDnRh2+xctxm2WMPMPVL7HrFzoC4AoDTdOqt1ueWEGB2rmUxmFU14TMjISFsnf5GF9tLO9s2I
WGBnjkO+nNvqA/0zNLVzfI9Ke16jWg2JcwEFo7R+TYIboTQBcwovdb9rCF6ZMIiSdntbBxt3gCCZ
ikZtdFeRHGRXgKtkxfXSq7U4VWGSZscursaKbMECy1YKzWaL647gsBJfLcqBJHoMu972U0QW4GY7
MjdJzy7vKgvFM31bHdF4bkYXUeJUt0WRVt+1MC1WfNVzumdV91L10rmTRkO3KHOr9ABDcyYP2cM6
nkWdr0WM4xaHjnVruc18myAKvasIMN32ObDJNaOTHIE/KTCjbJYsJ2KQM5hPu75OKcn1LD4ym5s6
bCdwsJs5vyASUvgM0myv2QxlKAb0BDgi0ou2eOZ4T/IULoor3ARKXzcm+fF9naAcMctuuA1mfIZq
irx9okXtTrlEc5h5DgNwUePRx2v4FTf0J58t0muGdR/N041lqORU2KrcdfHU/HAazldM0iLzenI9
9YORnjwSw1l8CyYJ+KAuOvGgL19Ix8irlR65kT8WRXcRxa5F4kKrvjF9sv1R1cMxs8P+YtCm9EVZ
CdkqEbpjNB8quO1llf/MW6mve8ewnlo8trSemRweDXQPl42KMM1qFNgQZgjUWcct4gvUnNZXUWCD
SwMbYxkmoui61KZfaS/d72YpCbDxZijXYTYjmc8SZPF4FDnjzXwKI+Kyse6PyIamhp0syRLMhz2k
bUcSJJXxtT1OVBUgIMWMHMWFlU5oDK3We1IwwEghMQrZ5Vc0blyi1HC8pkb1rREJ7mYnwyuuW7Jm
5MPJeF96Tn5fpnl5qebMPDRNwFFqG+ZTgNESc4zbgX9uBy33KZcc7dekIPgyBCaprnPcB5zdCwK9
c/dUMcPKxEXzNROauuSjmN1yVEyeRkOUX5M6rb9XHaxwpJ90eleoZuOUKdxCooEeRRy1poqTJQz0
1i0hvo9p48C965ohOfZm9ysc3AGErGtcjiRNXAhOti9FhYtkwnq/cbT0ei4Xp2srcDIqnGHrgZ/q
Mu1x6qxo6SoMpG54nXAYWiVWlrRb17XrqyYkuaxtEvML7/9PBRF41fFNQ3xLb3olcHkf4ed0tyma
hI0VZtHD2LRYoiakQ0aRI4CsRPkstOrRStrh0ZrGu7kzW2snHbrKWjEY+6Se2dkrTYBT7oD7epJx
fhTVzReb0Dmyr+B+OlGnM9HHYm/zxDMZKa19hEQLsLczsbk0Hcoc2Dt+kpjhMyoDcBXshAwQNMbR
4SjvKXX4nsD9fFxCdzdV6H3DZzVc6JVh7vlbMMlgT7uzYuunzFxcVKWansM56IGuDy6UQDElVx6g
4T3McO5Y6br4+5NxCc7jpohAfpN9ZN3HfclsuYt5YRtMr0PBmWqKYLfbgGSViMxbapAHNuT0Bns0
fszagYo8KGdbZUXwVHrpvM4aRLtaLZJrB+wcbXiNKsYkbddHQVHjqBmKLwUzZE642inPc0UK4JSf
glhzbiUkXzQBjnltRL34bYQkr5fJUG2bDq1/UETdTWGP0WVmp/adRSzJYuGYA2KKEpKsgggrW852
u+2rRbKvRv0UBJ3jZwPapVKl5X5iqnOn2HFXWJerref1+r7JuvuwgyI1St05irCc9mpoHiOvkH5C
YjwOZzWCKZaaT/Rvf8lRTh4RtkJQDeuU829Z/O5wIaHTV9WzqJPqR+sqQMOEJkfpcwlERb8wqi64
cIcAp6BGtI6Fv+QeF9I4rcmutb3rOCMlYF0WNfnTokGfv6uBfFCaRY13XUxNdl/kBO7k9uTtoxjX
SUUL694x21/jiPhcR721bmrRHPV5eJE2VYOdmfmaQxVFUt1Pq5kUsUMeewaja8PXmI8fef/t7zJ3
HvKQs7EVlKHPqTDb0O54ac2426D0ILAh4fs6DQOOOOdJUoKM8LLtRj9xhsLxI2kTaZ1rvFheNlxY
pY0nrBaL9wQ3XxgYfo++/Tc2KfsWFaR5akfvd41x8yHk1fsKfKiJNnZb1qRsNmOwARq9AB/tcq97
Y4cgoS42iB2BiOEz+iRC920XFGQzSTCe5XoG3JyzXqvD+Bk/sdv4ePYJfYZasI6rkmey3lOP5/uP
265vuuCkVOvSM4TuortyFgTTn81j7Ocj5yTZ+FNJ+IPe8l9xLsdtFlbZ5t8vZZgkcri2iTzlXKmk
t05F+9HgwnBU3I+JxScj6Y0rXQH6/3ipN3xTrooYEBOkFJQOUkr+virCzvWJzLTGL5qiu0wztYSm
k5gX8PCu6nDM92XPw/Xxou/dStMQhqAPh07rfFFiRJC5glb0JyIAVkSA85VuaNlRk1qfXN/CnfpL
9MX18UIzwpCW7iC5/fv6UjZ/LCxa48MXFwE5I0Rla7WbHFKTjiYItvq2mgw6iNkcXXXZOH6y/vJU
vFlfgLfFlbzMaM6emim0qkhPQzycuUYDvuACnXr4+vH9XC7ifBFh8mDa+jIrOg8IGg0+F8ozG18p
WrdyiBbijBTBdWbqsz9PJtiKzhu3JXkCu4+Xfu/5EaZjm7rH8MZYpmB/vhWebY0GmOhmaZIALRIw
Uemr0AiWmr6EWYScwKYIivPHy7736gsLJd8ynGIyzOjrz2VFCwkMHgwU9jrJjkbef3U8Wn6hw1Pr
SZ7fj5d774HFR0EaD8Q013iln/0xOAqbWjdQR7Ncq+x7EOF7in80GIHUP9lljOWGvfktPdu0qMDZ
aPTzGzrP//yWztwNL+3rszkF3c8RK/dKg08LiNfR9447609QJmgmDbTiP77c9x5a8MmOdAC9We6b
l0YKheFeb3whQ+tEDDDd/JAt9uNV3rup/ITL+ApkHPr+v39Di+AHaCZsPa+7QI+ffw1NHo+4RfLh
x0u9d0EWNGm8iHTlvWWI+ufjko5L7iTaLn8YauRaQ/nouOXj/2yNs8sBVW46fKhJADYV8Odmb7n5
6eMl3n04eP7QBfIo2iBI/r4Oz0vcoTFV41ecXa/CTjePYKEYlPVD/D3S2GEgbOgwbRmzIG3QD4Se
fLajvX31hE4Cm3B5/zxaF2c7moWvTmilV/uhgSFdIThcD0ZaEx6Q1Ie08orNxxf99rdjPRCFJKnb
piHP372assqdKlH7eTFyQHGmE5pB+clR4u2zKJiho5mmtbskdplnNzY0FGjTrPZjBYS0rcp4jfv+
UibMMj6+nHdW4iJcm/hMwxaWPHtMvJak9GlyS5+tjchFrb0Akn1fNcnDx+u88zMZEnuNwW/FzvUK
Nv9jy3KqPBVeI0sf1te2yZ40N1snabGO638i4v4KFvszSOytsNpFxf3HUmffWHpUDoEJLNX1Ho37
wiLNY5D/ASJ327ov5q+TzXkMRXvQbGoLP6KOJeWHQ8m6VTNhFAnT373Z0kbLsT3CxLXm9Gi7CYBF
AXs9HKL5KsioA60aGFwXMi2irlLbzITQfZR9Nl4PZUcHewL9tKbNho7Rief/ZOH9Py8Us9H53swX
nLkeMnrbEND6/n5KMtyhhNR33NM2Ut88ImquDfyjk+PET/ncEZqcZcxPs+BHM6Yh7mw8y6QJHZZo
0Bhm4dqoqxRKwNc8oDBSDskQZQ6twr2aAxpLwDHrbZsO9BtjImYINAfuEA4lgqfelEct0br1aJWW
z2x72CjlmmvWSTa08ORlaqFlSCCUwLRFVOWFwxpL6LiBlp153C0TZRjpDvqzRKv1yUfrnWfNJC8R
BQffLI78yyHhj2ctyPua08fEfUm09rI3PHHgVx+hPIAkIddaDP7HD/fbA48QpsQ0htkBze/5gacu
rb4fqrz0PVchhsVAv63RTF06olL7wA3VZUTr9R5Rc3jx8crvvL6c5vTFRAE39U3N0RDuoUWdAxsn
nqbvwBSNx5p5z71tOMmvj5d65yIReLAb0evgP+dHR+ai1JtTV/h53zAVwVDR0K4l04WI5ebgtClJ
bC0DdkxPJk37jxd/5zo5VwmHWfjiKDn3cUiYkLSdisJvgzLe10NxH44hUo9kav71McBaNilDojCS
Hui3vx8eekBtWBpJ5hNa/m2aimFjusDPmkyIf/2YctxAMIUwiupDPzf/VZgLurDvMnQFHUlzDo1X
kdwMg+3saDz9/Lc30NIXZ6u52GqQc5x9UcDCVoWV1VyWnQtfq6aFd4gemUznJVTl48XevoAsxtGG
o4HNQPv881WjDYkAD3FlmnUfCe0bucs/k1Hch4PzyRlkeZf/Pp+yFGUpVmWTPd8+u64c2+9UaAgx
RJVtBb1SD8AdCUP9jKC8P9Km/Ow0+v6KHkdRLH+8dOefFzx+brmsWBv9MfWqp3Iy7kUD7ryLnAwL
iXn58d18++xbOgfvxSjq8ek8/0TbgPIcFcjU17ruSCKkD5vrJnb0T5Z5e7BZlqE0BPnC6eO8odC7
+hiTEJX6vWZq95pEz1uNfBE/vpi3uwirwGTGmYTXlnPj36/XSOwx0YZG6jeCjhadnnWWdL9l4ZyS
WjFQJ1mE+IxPdsnF8vvmKVk2DmmTG8VuebZqkM/Ko+yDKGITOTJkHm24ooIROXpM6eeCIXY7YVNa
aaUF4h3HTMXYS5d7NdbhIWOODCNH3s+TXX8h1z7dhFXF4WA5FtSlaV8gi3O+eubg+KFq7U/+9e/+
MK63FD+G66Hl//uWIUmI4Iny6tKdLrbJ5CVHbaTP+fEP8+5TtriRgXqb8s2RM7dqPiNhmfmFkgiH
y97XU+PeleqzU8t7PwW8elSVjuNQw/59NbaEM1PVBRvRWAmELEGEiUkfdx9fzXs7EO5s2nDYqml2
vLlnujmGnZYiHmqxmkk+UyBZ1LZts+c+QYz88XLv3TwuyeKTgTcSD/nfF+UqiJEIrlJqx+Dncu+a
GC5sE3z7eJn3Xp7FLyiR5FIYnD/GY5tCXCl5ebLYdm/TyWDEFtg/GbaUuya03Zchq5ID3cL2k0/V
e3veq92dxtE7RQ+tUz0SVp/6IZ4dVWhPcxLuquShSuY7XsRPVnvvgafsAZwDLcJ90yTLuEbpAIb1
we+k+9yx8Wyaibb5+GYa7z0j3EQJKt7AzX9e8HudOXY2LXff7Qb9IY70cqehOF4FiegzZnNy+Ar5
B4RaqfqbeirSa5u8333koukE1AN7OgR7btQBfjXQO7uo65LPqlvj3TsvqbB5MwX+2rPXpQla3R7y
nK/NaDEmUPWToTx82cJtCapzv3Uj3QlZRQwxChE/pEPfHgKvfIxQdMxOpY7VkFsHukgedBZtYRZx
HR/fyHfuIzNtjqBSCkIBzj+ImeTfEIPU9Ydi/lnNhtrpC0AwyNCvTE8fr/XO7YBJwosNTp8G8fkx
xjSwPuJw52gfGD91Gg6b3Naf2ikrfEm+0JZWufrkhPHOS2cYTOw40fDFenPE7puMuMuw5PIS+zvR
xNraRLXDHKOZV8Kc6q91M9Qb1Bi9/++v1TDoYtKR4oB4vlNagAHixm1Ln1rtuga2TFc6O9GND1dR
Gj6QIh3++3MbCy5tALzJHlvZ39sY78qgWqsufU0P6zUWNVQJgPlPQ+3lfu5QSH98he9sm6zHGUrw
YeOwuDxZfxRqpOtaUVxya0cAw5g+m2Gj1yUEMBSx/52lPIAbLsHj9PnPPgiVtGKVk//qG15Z3OJF
hKQplXMRd4bxyfb13jMqeKEWH8LS6T87kvZI4oqZzoDf5t19F5W/bLu+B13QkFdZn9yuUP/+68MG
oZumjcOdE+LZz2YAHyvBeBb+bC7IdTl8abpmU9EH+GShdzZmWuq6LQSdZwz8y+/5x+9VzQMKsIAS
MAvtbyGAb3eu7z95JAR/x9mB/q81zp4JT0uIvrBYA0G/scLYVB1bu7W/mJ0TkPw2tNxFfVjZQ1Nt
WiIpvpZDg/0LStq+w9lE869DDVmQIFBaIwo44KOkXk6ZHwvISrNlRScTYiwhmH3wI6j0Yp+3iLOo
bkkUIAT2ENkuQwp9HG9to0Gri9nL+DJ7OWKrwmjTHdkNzV7vYZhQQI3hDX4mTofEKKwK7LI3EQnn
exgo0yGzkWj2Isqveq3pwc1593GZtmvucLrL6RWRkYdQ0EecCDNkmCuiqSMbsXA6XJaWAG4eJ93u
49v73rNpGRIoMpND5hRnz6ZTt7WaHJ5NZMJP9aie3Ki6sYS2E3m5JT24/G+8dpy5OezRvmcgdLYe
wOuiFuFU+Dhal57T9WCmBxBQnxxe347VLHqlpqDxR4/A8c6WscY0gn7jFT4i8hPA2gbNoPtSp18Z
Ql8hSFl3tvkYNsUnJZN4f126tNxRiuvzA5lX5TUOYZueSDnNQHJh1BBrq50wuhBejmaGGqe282Cr
liyVDGYDw22AUUBZ+oONyt9OBu0g9I4QamUReoEwlAeu2jPvZILtJc/E6S7BBEgBUzmHG08Z5C1i
Jt+Q6HFHknu7dme7XkFxJ7xCzeAbE/49G5VVv/B8GLfJq8dzHOodji7+93y211Grkq3UpPlQC/uz
n+K9Pd0BPCQ9xnD8IMst+2OPiPXWzou0L3xdPU3kA62mQd+nBvTzj5/k9/aiP9Y5Pxj1VZ9npTcU
vmsvhkL6DWuIF9uPF3nvaOMISbVqMm9zlmDPPy9Gr82qrAkd9hk6katsww/UsV/DRyfecvrEdPbu
YvQrqVk83G3nRYTTsBkVGe+KFjkwNsp531vVDgUoWmoVf3L73tsIHNr+fC2w7L05/GbTJMi0V4Xf
JM0JTjtpXMH0rcyaXypGsxA5n9xJ473nYpl5U8AiIZDnc5q5rTLuL+e0ZMwiXF6mQeJuMxwgCuJO
FVoEjaFW67HyxJdYDyJ/+j/snceS3EjaZV9lbPYogxaL2QRCR6ROMsUGllTQgEO6A08/B1HsHjKL
P2k96162SIYCHJ+499wYU0Ncp9WVH/v5Nqjt6YOHJQh7RhQDwv79L/3Lt8eByBiJ+W3w/mAk0rLT
CL0u97IRX60g/piY40NhoSP5/3gdz6dTpP1dLHM/X1EdbPlEoMfb04kKpjn9WzVpcl0P7R8epL8q
WxlOIdogUQvwwrv70ILV6URoL/c9npGkQ+IqqzuA2filjRugYY9lEfxhUPGrC/iHl3xfsGazXaDR
08FjS7WDZvA1sAvE7e6xrcc/9BzWr65fOlKWZJSP9MLv+qJ+8fwTw1ByzJjTa58A3kwDNyQVxyds
JItDTWgprBwdtmCzeA00Y1Fmtoj+grF7Am6VPEWN3+0HE8cCrjZ8RhDaH+I5qNd+RfAoHCp/qzzp
f/QdTk0i8DoEU1qnIMIso83a/KZLEztL7a+JcngF63uNFEdsMMF/Tf0RvPlkpRtiJ02CGYgLSkrT
+cPV9KtvIVicukuw2pJA/PPVtORidRX+hP0s5sPcz8aq1+0nRzgnZqZPfTrJP7zgr37ixZmFUMZj
2Pr+axeZEU8NxdA+bQINXdzQiu1M97u24ogIl27RpP/+hrloJ94VhChmTD4gtwtt5rvPGJNUy5a0
KPcu9NOQMC/3wU6MMaysyTkldVF8FGbprzMb5eTFLuAnJF2SC9RveiR9O01KlOu/f1O/+N4pNhYL
dIAx8B8tb+BOftmbVrEntsXeJO3kXlUJZeNEwMFT1hoz9Kjk0+9f0/jFEBNVAlOf5dT2/tH7xsqZ
BZmtHB2EljABiG1ovWQgd1Hb7aBzWSuuFJSTTrEJAAcR1dnlOC/s76mJ/+Pe0frFWbn4wpFjGLQ5
9vvxvo40guCqtMS3nFmsRhZfQ2oV8x3a6so58c14hz5DjYzFqoNMwxDZ0MjKXMHlG2+lJfXtRBrX
M3hkIOX9rD9TFgOfllxSOKYIJVCBs0OS/xXw3Ioje9zYbpZs0Arb61ar+n3iNt5GJYQZ+fGJFB7r
IbcqdcNtiwmNzND5KfGH4Fjo3os+TPkfGvNffX42YHjQvWVD/35wxLgtK7re4vMXuXpIkKXtFdBZ
iNpasv39j/6rl0J4jdYANzqPjXcFCEunpgF2U+4DOIZrQYYUlYcS+TFIivjp9691+d3e32nL9Nei
e+Ux+L79hyhfDLJMaQ5GJ4KZyMIYs9dsG7uI0CYwrIVxMkh5uO2VSUyYqcV3Zq8FIWGjYicq/b8x
9v8LnF7aT3+I52TcY3HK/RslsH7r377/5fVb+fX//O8bpiI/0hu+/8G/iHz6X5dRtL6IAwyS4jlI
/hVib/+F4JURDyMXd5HHcb7/vxB71iP0TvRQSwu1AFD/xeTz/2KpraPaQFrHnzNg+A/wDf+oBL1l
i8UFzVSTNQMKtp8fWpHUcPxVjnMY4ZFFa6Ch+X1SiOjIYw78GXr1p2BxkBIHS/YcldmReA3xEpB0
+MGpfPHCYdA96VbVMYPQzc0P3+Tt35f7j/KR93UT725ZTC1KV05b0DU/v7uAIUJkyMA+ZKNdvyHc
VbeNnlRnhOJYH5u0mHYkBYyLKAdv1O9fG5UZ//pPtyBPFd+wGVOy7WPj826UEyVmIdwhJWkpjp7L
hkCVQQ5pcJUHbU2ohnBQ+et+5fI1ud5J2UH6wcja9FXNzF7ZckAaEPNkHUEV4RJ2B+wNRTvkm7ap
XYRKvsC9M3gOyRJlfzaEJaBTCRsEOfmRmSpJvbLHrrxJzElnrGwQ46L7TbNwTD1vPQwzxhPOZQ0l
Jdbf1Yi0Hp7VYvnqAMHPnV+fvM6eN21dDPcJBdO2nuxqXGk9jCmQ9UGQYK1PstBKbf1Ja1uEM7n3
OIBOJm0MuhmcH1dU1ziTYoCkmkRrgulpP2kljnZttlbZ3A+oz8FiIUKOkKwAWALuRqTbc5X5pYMm
MTDOjsyitdtO/ROaBY+RkV4AENWNRGEaR+e493FbbmVSuDsF3SDUbJPBEtPfZb2nZQxZ09RYZ3Gj
vxS17q7rytPbtZ+oYCMHq023o6V8csK4le4VAg+1ivAuEDRnJ/0j4MZkwxZNDgdIl4D0KvLS7lU6
+EkIVaeLAK/hsiyNnEO2ivrcEkAHwLBt7Hi2ThUzNgnSOjWh/gICXzFotvlZM83eg3U1NdCy4NOk
4zyjLPU3ieNWt6jj1Rb/gNnieyEK1SYkCMy9DlURv0C7bWFS304Qj3YzzpYvDd3NNtfTbdCP45o7
NTgw+S7vZxNHAyK6ITvO5ECtAaF5b4nXi/0Mtwj6kej3E7iMedubPdQ7D08ZNITRVn04NlVHrkdm
nNBNqyPz3uijlZnD3kcADMXJc5KvttTHG4MwQMTqOJ6+Iqoh+MWcF0+jk4IsC4yYlos0JsdauV7r
ZmvuvYck1jLresjTAUgSAV+ufDDaMlUC5hB4k5A40iYG/RDB7PBFn5Mvk0QpT7A225kA377k+Vga
cH2TEq+xqMSoL2b9Nn0bU2rofVCNNiy6ro2OM3mShwL84/jMIz0OziAu6jeEVv0QRsGgQOST2dR/
riJi5NdtwFwrJImNuMd+aCttU0f+dAXdDRUk++MeqvuozenDRBTqtJ/GhugaLcILBIC/LQkPHUAc
vJLehHYxx6dQgcxzSIKIJUbvuYkTHgV9dW6RUIt1o1v1W4en+sBgsuBSV3p9mPIuv4fMuByGCZ8/
n9PqJkP9dW0ONXG2mhnwau3y2eCKOQ9tNBty05CIR7LMaHd0CW4GpyodefdoagAV1Grep7XEdxI5
9YscF4974DBxWSeSG3nT6QOsYmLvhk9sQQb9ij2Fo18HkbSGUDAyeWu7InAIjcGxdjnK4QDyPYGM
M2Eo+5yjudaP10TTzx/hXMIvC5GZzUtyVGQiPSMXwTamN2cYWl0c/RH8qjjmMfAMrqPJiIkaqCEO
js9VrIoUGzhh8W/D1MNlntq5O9UtoMDmwgwE5Qo/UA49yT221opd45vFzXRhDbo1BlR6lkzd4Qcy
b+wLlzBdEIXthVZYXciF/gIxVBeeoX5hG5ag+VH0XZiH5oI/rC4kRLtZqIiz5UTDulpgidq4cBP5
cmAowoiEp1hf2IrDhbOYNCAX6wW+mFw4jP6CZIzQXR1iU5mbXHb1p87oP0CpcA+AQzJnx+pP3iEp
hPGoET067vwL+9G4cCDNBQlpL3BIY9Dzq8Qao4ZvZqrOyYKRNHMMNysQXc5nZ6xcluKWkWxr8IaZ
WWv4rAxHnfG61Scsvcl5uPAq+8YvDgpFmQMMBaAlfjnQlmBSPHCIAC/zC/tyXjCY9oWIaVzomJT9
SwAbLvWMlMWFoFldaJrGhazJOR6TguXYWxVx4Hel1f1dyf431/1PhSO7T1rV/7lwvHrjYHirvvxU
PP79R9+LR8/5C0PnoijU2UOwVaJC/F48egH57Sx/EMVRnEB8/nftaAV/IQ2kJQqoXJY16Q+1o/cX
Q6ilpkRi7DFGsf6T2pEX/6k8ChZtxWIqYZPHfPl9O1TpkJzKJIeYFRsO6cijXZ0RAk4fSqCWOGQJ
hPjh6/lFNbjUoj/WY7ygZ3k+ow7e+T+lCD1KIQi07rRXijmpro1AIVyZ7n7/Ku/XCLwKTs7F9OTQ
U/9jqtIj8RobJ1H7qccmL03V3OU1SZOpZ4sNOSQErXXsRu0m0+476akPv395J3g/WlimkXR8aOh9
k9/4/f5kGCYf4LLX70EKFmqrEDhvCy+BoYPC9kzCTXtU2Du7HQZaHqSCB263akXKiK1DnvdQo2Un
NWV59gFXSgVkUbzs/izz7WTm/H/BBpRlaBXaTOyGgCoDgqaD1I9Xc/rGSiq/tzI/X8/42PcJ9HpI
vG5zRPrRPIOhmXakqfHUELFBtE3d0BSvqFfmvd4o4xEzh7huJWolGFmgOCwgY9LtxJtPgoyOQXic
viUdn2isivFjMXAcdWSyniMD1hVIB4IXJDEe5yTS0U2kk3gxYp0/lCoNzl3DWcwoN7oPRq/s12Mn
loeu1xOUFxs6fxvRtVs7Mx75mLrXAT2Da/A41YTce6pOiA2eK/Z5AU948AMYs720vauLEQTluLh7
s94jaNNFUj5bKmWDVcq1FaXtMR/M5q4r+6Uo8dTOJbzw0KBP3xhWP37M9HL82GSz+8CvY26QUpub
ynSKcHBV83mqJfcDBXyYymr6gOOpJqd25pch41jfuwuXzZPUBFZfBWcXxPS+aQjqkYAVPugtfzLp
bffk4uw9Ryq2D8AejMehmBlvEch7VnUdnMuSKdia+AKex3aJ7XvlDrOOd60Qm04QOC+r0dzUjZnf
CzfBJm3EODzNuv1sR/zHOMdZEsYAteK9RiDfqrKHBiQrt7Ov9dPOTYfiUPv8uJMnJKDIrEjWnYUz
EHJoVxwENBNWXoSMebZG2LQR5fcx3o+tS7DqtU1zHBIRPH7NdeCUFYQWlq66zqFh1K+pasaP6GTm
q6AZ+aesZNoJKNwrQ/GJA6mJ6yhfbnatcW60mH7PDvgsrp0RPBUkZTjiQy9X9LHjV4P0sR35DfZN
bPNLRLgOVoTDTutSA9y5hlLG95rH4s2jKArBc2bZuqeZrPDkR9G9q0fNZ1SL81Ulk+mDyQRmV8Gt
gG3d5FtQ6/0XPXONR6DDcp0sEABD47vtYn5Hwiz4qpdLlDSp8esEOnw755MZrxqSqle2i/nYNrj+
QX6KlyL2omPR5S9S64ZjkrblTex/04dAHwnBLd2EzUppkurgvEKpIiADtzORuFybePXzdCml8VPY
xasdeePX3vbENRGlXJTKHMlZ5oeCxNMThW6LG1FaNtm/0rkZpsh4rNJOvAyOW79CO+Bq9eAqtWZU
v1pYkE8ZIK8HGipfQPTxQf1Usn6LfdAxzBUn0gPbIF9fPpy/ZBN2dafdq0lUPZlt2XzFer97Euxv
7qe6N/wVW/wiNHoDPFGRlaEr9XTf16YHwCZS6Q68TvuZbZTOz1Tmg4cl3W+ejRRCDKgpD8OxaTXX
vQsRyHxia2/k7stYV7L/nLaD/ZJi5c/j/WjNFbls/Ux6EQ4NOVxNjYyco4ytwb6nvQTrYqvpgwFN
KqzdIalWVFj4TZrZ3XIdOlCeUXNUq1r1HE1DdT3UgbkCKREcbS2/7fVOu6v14l5zhmu7FOUW6IBz
N7f0CI6nrOvWiR8iJ7ouMcevdZbD+9ick0Np5h86x6bxKBCmDfb0KfXLYWOPw5c8McuDVsWfp8FO
DsmMkKgyBnGuwe5uCod8JDZr/RcDUMkmTruT6ptoS+1oHNWcB2tjagHqeU6M+jVOr+0Z1owWiHEK
W/gzbuaTvC6adVo01bwSQdQcEGxjb9OUHWLEd1ZlmrPMLoviWyzm3qcTrzxofIROkf9xP1VeujFL
LThl9ERXaDskqANuWFhBximdMDgOgR8fZvQYoWmM+kGvNLI6PYg0YmlLaqkR82r53JYkzO4SHYeL
qZX6STppsB9i44G8zWDLVq47G1VgFRuT7/5zJ6R0Q4d9BpYXMPURE2uiVmHAeFvXkK8V4Mnz0JlF
WJn6gPknIN+yCAg1cSK3WU9R99mq5bCLnZhnHg9wfwuChAA80mdIaHWbe3R9BiyUvNsi909A7+ak
Tge+evWdkT7CyhVN/+JJL/L8BXt7TQyYcpkzpSNZuwxE/HXgMDzwRtuiQrQQERmmv7UHx/IOLKhN
fT1xiEDRygUNjeC+urKLTpzkHAFMM3XzgNi2W1tJwl3VbQhIbVYVmzqKc8M5kh+qPszSysj9A9CA
emkvizVh5PXRaN35TRS6w5q2nB9FJmo4Tl2wV7MTHErSJm/TnOSuMRqaY04rFLpmASbAJfizkCTU
drZl3zESYkIULXLVuAWhowt/22jEAWvQJxlkWEv3YGXPnhvDV9InSZjABM4jGLUtGQA1DqvyrjA0
nuVQRQ9pailrheVmHWsxWX1+bOyKlCvetchM9UcFGllG9lXNyphOU2r3Za/8a6OZpyOAe9goALkB
5DVuW3614+Ya36p3DhSGydCWkgzRgukg6u4kvxLdbBwEMp2GpAq3PRVzZL0MUJlJBHUkXaBJKM0p
meLcDzMj078KEBTkuSFoV2udvNnD3NCEE5ra7gYikV5kMaQpG8Q0O9sE134urczVr4zOHpFuGRUw
9BcgEjpW+7yDvVJXyJc1VeVbL3HGT3Vm1GFfyKUuEM0drIZijcuzqjeA3dITuQcYvkDaZB6XX5kc
MF6256DpahtrFhtncPpOCtmGMI8wS2vnZjKjdD8nlfhkCl/rwlZM+fLb6KtLiZRlFs8hBLlwLjtS
CMzI4XAW/Rc/jaRgSsHuZavnHQ8cbGPTNxYwJChOWnQvkKtwD+SUCV60jHljZ6AgStIybBLh3Mxw
y+61WjDXHVMr2TLcyWHTICEiFJuIO/JJlPhEtiyyqASVLrQons746aDoX4qvJjWNRyhD3RcB+dVf
m07C5yN9jzWkmiZzQxnqPiiY2ORbUjBCRINEv86YsB5QfFTnAmTY3tY7uS5rhoPMiuJsVQoTSFPi
dDzcg7LW7qs4GD6mphXfxCWVRsWg7jqeL+8iaJ4twP3pMvtbDmWGo9+YbvirNPAoT0gXNm45Bqsv
lnBZn2gxa7KOMvHoknpHrHHL21lgZbvE0IaPBOrx2zFb8qtQL9tpF5fudNIJxtokwyjX8QISqSm2
XjAolWE3LeUvtvMXrye53ez4CGwEUeyXavqGQzXdqTmqN1WWBisjlaAQJ4f8OlKcrQLaQND8QSb7
j/Xk0kMYqKnpl9gucAL9PDhvzSCv41jr97FmNseI3f9SDntV2GRNC8pxKe+txl+P/DCv3dRCG5IV
X/bQO39qaIz3Q/zlvSzvxGIBwtt5T3QYaqsuBYaSvZ1S+Yd4150bz+3NTdyDIZxsCsIk4Jsl2lbd
ejF+vaxzIFT19WscVVyYFWkNnTVOp0qK5nkYbPsGnKj6IKm4/7Di+8eCe3mzi4kfsSiy/n/gJ1j7
5d6oWd2eBEdSrrrKfZgENxqxuCQyDFx1PIq4wIyRKx7KJHZVnlPHvFL1Wyaomz0ojle/bwkvi/yf
G1+iCFjOLG8KZ+N7MVIMb8YknrPbl6XVWCFi1wWmMjTnWZKx3jK3XHM0z5uJDSWM/4EKKhM0r16y
3KZYBe4zaTdHvLiwpxkjfgF57935bgwlp4fgG2lEaxI86/xJ1s8S/h89O65sfzFMgcdcVIc/X4jO
oOEFIzd2r6AGheQqiGzTlITX1ZPidEqx9AWJ5X0bGXbvoa3GW80w33D3PgF1tFApUi5pjozXA5bO
q7E17ZdRQGRLZys/6XppvZqYhBQMAgLrT8DP/EPkGvkaxj1wUMUNXXKU7OMASi8rB2hDqqReLcrg
TAE5bytlTSeEz3LdNhj/6uWEMaEe349x6z5ojjd9K/1Yh0RS2TbJPR1nLCgR6l5ZF4dh4ABLopqa
nWaZviTO+T+R/8YV0gIyBY601Oqqmpu7CsMfZwp8prUN2PWZjKRuZRM99GBbudiYKiIYEG32ORsa
alCDkQOrufFjPGsx9lzHLF5ba8jdY1/MHiEFkYz5klJSWzXV9WrjxHmih4OwIpKVLYtEEDjbrIQ7
e80HqsyPdQTpt2sIWT14JMLHB8Im0jVpzvwXEQV9tNY7VD5hxEaEzGCHivuENK4DO2UpwdOYmr7V
k6xak97EJ46rgJgXDmHguYpS3lMGTO+JIp92WgeHQSPS+Qy1dZh1IXAyJ+wcDaxiGQjMXi2Nm5/Y
4tOUDfm2Tft0N4xUV3ouuSLnnoYiqdzhY58Wr15L/zgrQ7z4srDSdTulI00l312wMLCO87yIF5xE
uwcIxkSeB8ddbo3pLsIIVIVsTopD7/j1myII+M2eDGpDszDJWVf8nlbvt7d0ov55anSof5Km3y3Y
aBLZ3T0pMGgHXXEa9UtvVyVBESZlTziGPRessGBHDFtjjssDCE+6lspjWxKn3l1ptcNH3WDMblas
LZyuTXeQG6aTMC7rimrmCdDXRkeyBAOlpinEdU/wCHewzWnSRxVKHr+nM4psGxJT7czcI8z7WSwo
g/+x1+fmc10pvpVyLlZAbQkmSe15jwCzOTaiYSpHWhMk6mB5hCYlx6UzsYErSrN5xkPnnw3JmAXK
dHCODdEe08mrzi7hiTvEagyKddMJa78aP/rw/4GBTenOXyZASNzEdUmm7N5LaZNRs83ffO7SeZP6
s3jJ3fJ2VJ741A897bbuxDdGZcNBlAnSRpt/tNKWwnl518oOGGL5OA/asEYwdp4sWRyM5VZVy/lO
9LhkjcpjymkUrPq2zODAIfZimZMyGVma11TpNPCJsps7vWr5ZeqMUuTyLCYIvgLtE5sTeS8+lypF
L3MdC7YZg1U+XeFNpzmGDKxGpmuXyxC8EoVEXIGtVoMGwzNm4mF1U3N3mfhUFpcPEIMidMGPrmCx
FgeIoykpjRRUBQK58xC5KHuX8YAWa3wN+PlI7rS54S+DvDkFv5wLBkIySb6RiTddzdxuVaimmGJE
Ltx3P2Z6pQuV3zcC7fyKAjhYON0OFig4u80AmhQoKj9xLIm0UuCo2ZmiJyGuhVsQNS4jOHayjP9y
3QnFoNUbUkwYZzC4k5sK0DhB2SXs8hz2MgWP3jL4Qo2HWIiJIOTX5nm2bAZlTi+bzzCmTHZN/fSh
gpm4isy2OGjLcAUUAscaHX10vExqQOHohFjDAQ+rOeVfKk2GPc3MEWcZvPxlfnN5SKqc2W1VJ/ZB
07Wvuj4v5bKn8fMVJcVS06HM//vSTBldCpvRUFUb0b1uFNVZ1Ga+xtvsn/2+a55rkuexF8bM1PB9
VWeJF/mGPSLnVqz3HO6a2X0BdlC/qphip9Wb4Cw9ztlaJnyFidO0n3UA9PDgcpL0OtqnTedSnpNH
FpyX67lpl2MYx3t3KrqCiWSQetS8ecuf8xCdTik67MdkmXpTlyxPARq012UbxDkxdF+GJqrfEiOK
b7yBEECjXa4fqJdgLJlDFi4fJ1qmX5fy1g+YkIIJze9L4tS2s81j0sVH8Hh5Nhg9I+DBZx/pceQz
d2KIOmqOfePFmsOjQgb+uQkoQ5opNx9lO41hUKLmcGsqYZt2OEzczHgUrsUyfuCHRJxSHKZCr84E
FFRnx6SILZffIKE8fOlwy4htS6b3upQGp5kdjx8nSZlMXLd/1uvCfNTKisOWc+wZrLF4wXsdHZlf
uOFlJDj2DC192MDHmIzWdaYoPztOExHS5iBF8BVXyLLoHHqanZIbGyChxRS0LrgpJn2sX9mWM6CW
zIytNKJV6CmcLWhZa5Ph8oaHPRfP5ZhVy4aLydF0aglafaKrnwTZuuXST3TIV1RrqduWoc0H4VG1
a2SlTeFI4tsNeuaUkG7uozxgC6a7o6DHs7jWND26Z/FXv5qFKtNDRZzUUYqCIeJyVOL0NzdtbuU3
RECQGuGmDlMvwPBWE/B8ICue6fTcMp1GhzBd4fnFot54w1evitSu562vKgo8K0wDmhByYcUnOMOU
HE03E5FbcZOlIk1uoMO/jqPDtzZ7mnUgkY1bZcz5DvpCpxsaZfNMVcL+eFATKFQwkwF1y+Ck1xKa
ubGSDeVEXaNjYQU8rceBH3zyMV7nJiP1y3+83JhTmfGI0Yyh/exInqmCh8qhmnt1S6TBtC2TLN3V
suaGTqkqY7QE5J05XNm28NDmzk46Xwl3piOT3kS6SP5tsOfa3SQdDexlUOx17NmJR7iXSxUwqYaW
jCTjYccggU8sD16RASX07Ze5jRNojxSzPQOVzeB4vFheD/6xj/rvBpn/rir/sKpEfmb+dlX5NNVI
DeMfN5Xf/+b7phLPKalCcFdcdDk6Ulwazu+bSkyFS+AQ+yxrYWz9GFLEehOJ/+ICREu82AH/rXKz
9b+AOuHj0VF2Xhac/8mm8t3ikBWloxvYl7HkYZULLhraH2ww0SCN1CGL8Hoov8QduTDFp993aHxZ
P24m//ECy6r0hxdoFWAioXgBwsVWeJIZl71RoaZIpEv2v//eEd/+3fX9KIm7uLR+aAbZYvGQt0BA
WuQ+2bAofn6tyegYXSEkvmLaTySKQAaPgpF4a/jieeO8MiuK/c8J+79e3+nMINET1IUzpdWRLq2J
yy91U/seMxQGz6hqd1FLbskEgxOhvM7z6jy0NpEwJ91Fx150QRa1jz7D+JNLbEr0ODX9NjNT59gh
L7rNmpqQ7okkP5yUHMDxyrdap1+ZhNyi4pJEc/fwiktoqQ+AgOKxBeRfjV695k2UYNndiaq1Gsxj
a4j0w6SK4VRES7k0L1S2bYkoyCpPXg9u3SEU4doHSylfNYRg6FZiRCZ+b7YhpZxt3diaJ+ZTxk5I
e5C6ltpsA9g/BJoI+zyD+L/zijb97sf/76nxh1MDoWuAtuDfF+8/lbF58ZbU5duPx8b3P/p+bAT2
X4ChEUSZeNNQW/6QbWbo5JShfPCYfCygnEWZ+q/Eam/5XxY+Gh58hA//UsZaf+ENc1AM8iLL3/1H
ylh8kT/f1ARhwzzF2L6YGfEivXfytmPuV8olA9PuNbW27GLbJ2OPObP37xyEjvXBCWICSHvW2c4m
J+xXY7frZF+wSJg16cIonOYqLEtST4iW0qz2cZia4uQzjMhue7dqX8c29V5IkqlI+Y2LUy8zcx1o
OYspPU3LIzMBpg15MK77MavOzHS0+qVKBIOQiSJyV07GLpZLIT8npuBekW3wQldk+XtfX2js1KXu
8yjV4N9OJmmXXp0mZ5a+vb2x3BHOWBALH+FdryXPFIJdua/bGjqZ6Bg0nHtHT3oGMkWp2yEyppR1
SUnkpiWvYaDgSdj6TTGL67pjCYgSHplVSPWV2RE+JxcP6KasG10rjxXnmF+sGjNCW79my1dG1745
cy5jIub7bFbpVA6yCSNWr3I9jCNbJeMSLS//zpnPk9RhqJpXnTPjg8/qKA/LgazHiTV3RSBk5bNd
ClUf2BHYH6zQOC2cTBDvnLsw+0XYxsIECrLys4H81i9zNE2dQ1RGGU/OesTaxhKByOMY5LaK2mvk
BdpBl1V7qxOZsJph5nOY2e0q65LqAE5xZMckzIdcQyHMWEgnW9Wo5B253c7WDcT05oks37BhKLAz
Twl5GF2zHf0yPxMRau3qzi4Pdd0Pu7wam37VVLVLykQxLDuT0BsSFuQluSCWm8Q34BcqUPoFmdpM
mNbQ3NDeunGN+SSI7tpSlk8MSnsKo4jUnVkbxQ3hLh/yuozvrLjpbmUyeneFyMeXpPTVOg5Yx7Yi
UXdcD/V2GusU6Z+Kbguznp7yRLC7k8OwCD/IKuXh6V2TiB59TISy9ipxNbJpI9WvulYLtqPXWufI
jYodELp0XhsecSAfcUc4Ky8q3A+Na1QP3aRyY1VGCWZvJ2ssFaZl66kQp+58qFrTdWmiunIzYMg/
SBTIO1mAVYC/bZ2Cean5DOHIRzswmJ37ol1Y23lbfDMks7iVRdmpVjFIsk1u1qQwoJe6RbDuHVrp
PGaNt+6ywWZNZSkibidB6kNG2V2B0RvGmwGOyslQqoblhMK3zyZ+66Ho2jskydXHtlPVboyYZhBM
/GQ0zOX6wveP/NLlhgWgTaaa8K/mqVB3kdslx8pW7WNsWPPzYM1luQ2kMj9ndaufiM9mS9U0FvCQ
QgVbYKZfx4B8DsMhEDwhS4tf0MsYavnDs+5mxdOEgvTJkn3qsBT186dGq4K1RG64d7Ue5zs94SZA
uLJlv3Ki9ndD4oGKXdZa002F/+coVRfIVTXlFAr8rXZjANKnRCe3Ap2znt5WUaZIYheIaes4t7iK
6ZQSx1fFKmV4uCZahHA7pCihjCSMfcw2K8/DNRqzAhROJ4+1DtcTp4D50aYvuem19kM6tw+Z0Lwv
pNeQL66zRWNDKykOQ1PM2aPXZjYJwkSD6D0yUiwE0dpL40Ngdx6BLG3DrTF0D6S9FWun1evP7sAY
TMi5vrWiYP7UyLptVkiGIPqWUpxicuw+xGiVQrcpgIzJspnW8xzEV8A8hpdlsF2RNxJGeamHM1KX
OURBdRxSEb91UMu+FhItcDc2Z3OI5MZxpSLscLCeTaTLewt3tr9SUk5nBgrL+NaltOl7E4RLTg3F
NlMRi418lOZb9+u7POu6hj24EWyKQRnXY5cuQ6goZWqalDJTezPp1X0t7c4P81haD2Mf+Z9yWWqM
H9OBXtAvZLBhzjrd21rkn+uxct4G8oFOgRu17rIr5pwbdHrZ2Kgiph5+0jHss/W/+8vJ0Lprj2H2
RFaVJdcQKwvmO2lyqEskvCu41v6ZSXt93aV04IF0WGXqCpe+X90b0p0OscZakn+UEMMs6g5OLgJa
MFudtR6NfuAL/7Ndt863WrO/pKIxz4Y3dn04NbgSiMvdNG2mcZNr+ZVUiX8VWHl+huqD1jWbPye6
yb5BZ5tsK/Wh1tsH1cx66Bs45aqIEVg6uMk2xTuz09M5uGuMtt5orpmQbNHJjq1Wcl2QxcLaPY3W
bdUaTynDoF0WO/qW+/1zBkbsvmERFyZNUT8ivuIESVpxlBkhjmRlOMWVUxtIX7tqvKorHdWTVDis
3NLtUekY9R1Xbrmu9EDeplPdfmlUp+krUxjFTV7Y/kfcfvaRdzitTSngWzgCOXyRO+VtGWnOtjAJ
SjGq3gx1rDKsFvX0rLWxh3O1qnf9oIj7GlT/YrYw8gu/Bvfq5a99Z3zKFg4ok4T5PMoyHlYuIj6i
XxoC3Vg+rFVJpuVkqe6bQRTeZiDa5SHT8RqOtiS3J8baYfvsGKxWix5SstyvcbeQjxhYyCM6mBjk
/lgEBcwkJq1szJqh1ibaQQ6nNrWT0Knkp1ZHVtQoxtqAG/IvpU9kxjTr/K6+/5r8X/bOa0duZNu2
v3J+gA1680qmz8pUWamkF6Lk6F3QBePr72Bp97kyfST0+0YDggB1FTPpYsVac47pl19EkfVHC+E1
dTf8tc7hbzFbQKaajkvU34AcJC/tzZQZ5s4cMuNGtVr+CUIxPZzyNVSISAdCkMq7fCitk9nn2a4d
YASPFCTbsSuDg2U3JEVJKi9AGM6+MNPpnFUNA+VSImwZDE3b6LgLMak3E7DBvv40OHMW8dkfM/Ql
0Ui4xYH9B2IB56LsuT3UKIzQOwTmrjGcT53e3o0jnF3wJDlyeLXnFa2Fi6UhP7KXkBSPDPajosIo
dXdb6M3Va8Wdp+Pv7Lu9miuiGSqa05gi7tHIFae8UckOB7AfdgBiiDKtCUchyog2TrKL7fJiVZp2
TyblvC/dMTjYS54whq3u0JWRuJKlOwKpMfk1Wh255XIXTKOxYRRf7vuhbWCRtDXhEo0fOilhpTWi
J17CnvVGwwIY8m73HpFzoSDI44aIT+MLoVbEtTGQIYyAWHUzI4B+YiLCemCNULyM4FNWLR30CW4/
ZFwHV071natNPouxSunpjFiOgnY8SsLND3mdaGGSKf9UDcsd1LNVevZN/frfvdSf9lLrLuh3e6nr
l/l/Tl9E/2X5YTf17cf+lotbf3FfuR5Uh3Uv9dpq+Vsu7vwFbBGYpLmqvr+Xi9vGX7BnUAmQRLJC
w1YZ998bKv+vgF+H/A0Xnr1it/5NE4Z5/48bqlWvzj6cKABII579C23Q7EjBs1jEDmiJMiuqhTVs
l6QRxTmNJ+csAT9PDwleBkqKLB2PU1YPdxSjU7UvEJcUkUAvxBxrjR0kt9Ji0i0Q/bSSNSqJ7YwH
ptf3XgEGOgk68l+lNl8RtqYWcrk4fpRm7Ty79fRSGguz1bJ6BBzkPJAdo+56ETw2azZkCYrSDoli
j5kQGR7KauyPl5H8VXAy4Brue5cEt6Ed9OegMGj3aFpm3tf1XJx6MQ1b1tcsclt+8DUKEeu+vFay
6TeGRlperIAUVL0WfO2JzdFD6lsJ8aBS4phM+ZpUKYv2xZqMYatmwL3KRnL0eqIKhVxjNbJz/fHI
aT0/PQMFY2UWyt8jAYFEl1fjUYFsijxr5Ad7Z+6JtEX+mrOwBVXwbsrxMUV16euEwwzq4rYkNbK9
UIdKp/8+zL04ThpsRmX4oBhq4hp2fTYE4I8a3OXpEAhn5UDR555JogNY4o/VxmwT7f04oj3Hclat
ymPLuIGWFuj72TFI+yxKD61JMhrPonp1HEmd31ZWqXzjt6X2VaVzEEkL/Diz/PSzxmbk2gI+3r9+
PlZ8ceTOhmac8+fRLAcuxusECxhQTXqjILsT3TzBlz6zlazhJL8Gh9YKjV/oDZl5k/gGNUU4DswT
b1wzTtNDXBq4F9x+ENYudTwG9ZZas+HyWGlhrTWkVNrNcRL2wJw2n8bdgDHpmWkAfEGjXXx9z62y
Di0q7gWi2075SIYmR6c+6nsn26IDQI7PlPOtAIT+kLZiee7atL/xayt4zNXk71LLFO6mqzqLXfKY
nNHrpu+ADlkUUSAVtJaLjRmJ7KticLJoaviSuSJj1FEmNn1HD+ywcLphDt1gcEMAhOq9wum0Z/Ae
7MvStL7OLhFvBMNVVROyK5HpJjHZBOyCXB9SAikbfhfRQO3ObVxzNnGQT1zhcBKNlyPKKfr7GMEG
iou5iKymQDA36PGlcqtMRhMVwh4nlLETZWqh5/dhRPpSa8ICkXm5kZAJ/H1h6P0Dvrxn5vDjTeXo
78iXXZCDTB1binxUmtpORXmpEub+UY/Cf8ccGQOVZ7Zr46E+JQj7TapC8q+UKpvb3lXVXa9ZLijY
pbplQGGcRgQJoUGE6baClnBQaIy2GOvVKbW7AkefOVvRXDrWk8R/QYzu4uMUFYx7ZkodqpGCB8Os
synyZtou9TBJNKnDqpyKcxWNc6/tu9bqL6MV5G8kptVzrWHkHJzE3CLUGF4lVjqyyqqMc7JvA5uQ
y46opVnq3vOktOwSGwaCX5HnWNObo1i49KpFTk1UrwtrymhgGS255aI642deVBfw0Gu5kPUBXVRH
B1VHPzNPRrod08nKQioH9SSdRd+qvEsBnDHEV3rbvNVcZ9mbnYcRAdE2WdD0P3RtWy+KSpjYYUQh
WIK3jPscBkO8KAy2drO+mVyEbjOIgbtUKrzffH/raMeKBHAEOGtgm0rYOMV5GmkLDgMknX5B7HgN
hjHUu3GMVOo1Bn2gVkSiNNNH10t0FckSHJzJ8P48DXnBxI1yJ9SJ2KZ54rZoHYNJohJO6ggQ9kuj
2A+LbDGPTdx512YZsbdhZaCxTjD9uqPOLQ6BE51KWYlb4RfFyasnf8NcSt2Z7sRbqXfH+P3rm6Ur
hvhrIKviVNKr2pgGwarfniJmoIjdFe8otLA+aXQ6r9XJbCbeGgsrDEbvei+Z3h3bmo0lj8Ns3hvO
eiCGsBI3cc8nKcmkvsz6TGJnOmtBfWXZXq69ILV40zSwT/qxVhcmgP+hEf+3XPpTuWQYq4zw/249
X7JP0D9f6h+KpW8/9J9iyTf/wt0VMG2l8HntJP/vxCrQ/7IZszBdCWiBOLaLRexvMIP/F3RM3Fmg
GYCQgk3+32qJQgpSAcxuf+Wt0f10/k219DNr1gTDyYQH8Sv4DxtK5k8jJToKKP7L3jjXKB+Gjjct
79uDcBg4o76qgZI16UL4Y14Y2vyUSQjhqN1YYmAqtc4LGeu1aSBFh58rIdu5Cjg/0Hk7PydmR5sB
LSx+T2ziGMm+O9P/MKFaP9l3AyrTt/nARGsh9vvGbfhxQOX341wCuxJnVGDy3khrLQIBgHl78nQm
0QuNi98f0PJXOeuPhyQngJwRB8GHy9VcB4Dfzd80ZkStNjbJ2XWDm2bwiMAtJxCne+iVcAPCotO6
gyF0BM4z71QZjfbk2YfAHad45ySEhh5jDwNdqNiFY8Rw41HtTagKt36dYUJp6lHeAl02HkvTGNTe
juvmnPdr6kKSUWSE4APoynSiq1TkkCiEqGGuOdeaO8n7ci3deOk4L4R70ynPu7UGCih6k63w4rza
zA6pZxSMGv0glyvSRdXQj+MODtpyWVwsbAKfGcmYVum8CAtT0mJrAZEPQ2tchc+iHHlJtiRb1F5z
sjXWT66ndskgIU3MRwM9kwozjyWOni2qZS1daBy5Mx9DmpkvtxCq2vfmNJPx6DZml76RacUnogSx
jiwZqXwSeCLBIHYaulczT43+bDasz1cAmZ62c73FbZ9NlpP0NIie+485q8LvTlzhvRI1ChGrNOW7
1jek9sEyB85c1hOEQierkSyFLf5AFgWi1ojVpDEVlu3Ev7ZjwacjYB6Hn1Qd/TMNhEK6qvV6N2zY
UKQbG9NGRrwJHbJ8TuK34+IGb6dR8OOIoEjH7TL3LgW/oejFdJykbKG3ELr2MPTPKba49mArvaq2
nEc8806GBx4LVomwQjrIYx8WRQ0XTWsE0RkkWZme1HpJvPXksMDTJprJEj0HnbYYOG4GbR1eTvMl
ZTZzpzGJkeA8eHhXSbiPzi+juu/FwkNY4mdiTAPq19s0k1lu2VEnm9LpjNXMIJdHZNLDVXMC6UVV
Tro1ndsRN1Y+OJdlSdy3GpOSK+tOeUtkefJCAzA7NBr9qSgza++lTorpXWvpuUShyC2bzkisp3ka
/CjNIVlHlCoknZvSdRCQNl5A3dD1w52ZKc3dOJPHbUOqKKd3zipXvNEH6cC4chh7wWQbO8ug2W77
qbI2OXek+WmuJNcus1p7/rrkDKne89cq/9rKWd5nlY5iyoULRauZe6RnXjxGaRMYjxhTuTxloXVs
qOKZa4sKtKzwpjXte84MD5eXE4q+L9pmjne9rrX9M0QEeY+XlwdBUx4nODNb090XCF/ODvarNoyZ
SR3YWCHyzGNT3hIB1h3GVC3yxqpHTr3XjBzFJSlHQW9nX7bFW8x58YLVFfDacK3TwhSPhVKa9lbD
id/dMHDWxO0iMbbsSvpF85Oq5iV4AqNSFffxlKN2xmPCOGuyrKOaIGuFaqk4lwLjYxZJfUanFgQJ
J6LFXsBGxMfoa/NWIfe6w5scvd7IhdS4cA3GHLFxp/WhGARKJzrRaHx5mTcmnS4N2yaSgdR9lqU/
mm/yGDUa6kGjaD551mwANPBzpvJlxTG1IqH57MWJyD8IQ6AgDtl0DJ8txALFO8Ebwkjx5SlHvGmq
unbpetMHDrZeSZT91mS/C9KY2+nUdx7XfCiFcc0HrLLv/DHuii+OV5t0du2lS8iZ1wGkvKlYf1SH
DAkR8DGuTb/C9tC4un5MTYtZHntsRfYEHGF8oApBWpb41xrc17MzjXHUKOPBA0g9R0bVjE84ebUt
svuUUSZVozUm6dEqgxiTLsG1YZVNM3scg5Fe6lXOQetnd+X35p2WvWM+MPY7uwXRArKiXeKal0xz
bFtff9szy4usSv+g1XTHhxo1WbHUyBPSWfoHAqOTj2Ufe19kQlBkbYj6DQGpNyOTimVblELeETmY
fHCsqd5WLFIwanrr3u/i+oNhp9XOpMEck2QBEkcfPHEbJHQzvLYAtWKSxH1hDlE+mXnvMT/oh52i
oxdqkwSMTKw9Qd9z+2YqVXXj4BzcjrNX3vFabz/kwZg+THZ5O3u6zPeiI764W0iZ1fOGmVXWZA9J
75ZPUOf7ZCeGGtcQC9imLDp1KrWg2GFCZ6fXzfWqTPV47U1W88ii0z7XTtWmm1yBDfIzvXmXuuxQ
DJaeICSacKRD6Y1s0l3cX0k2VYSse/3XTHhiU2LQOJhrKMGMxPpK4rtnb1LdqcnJXigHNr0wp3PX
V83eL7uF6LHSao5rFP0ucYw7upftXocntyE1t31GYdnOrFKTe6wxr07bpfLGazfY8UPQpu5e61VB
hDG4ScaPygdm57pXLR26My/s5QDFdTnOGkwdNRTzdukFCfDo4aNuXHIEtL37OGWT+qzrZX6GEKTO
TBPYuP6+Qvmp80VJRGeN/wxeRgEyqJ9cEF1TWX6+UrXk0IpDUWOJ1WeLRQgKCrREBI7nmKf88Puj
rlXPj1WRR4PBIVaBSncNi/ixKmLXlnrp7AQnRiDteyzLvBjawaTG+P1xkFz8chwcPkR7oOMwYf7/
eJwpxVHbB0l8ssHf8E7VBe/sVZbuyJgXxr8/GC1JnEQUyDAufjqVBs+wllAEnl4nZM0qH+6Rm0Za
Ngbb3x/q10LWJ7mU84YGDcjjz+lTXRJ4LVgfcqPdxbjWqyzVgeSKqWFozv2KGv3XxzNQtAB1g/SB
IuInZRfxFjy2ZeWc6NHEb78tQTUJsRlTmZ5qpM9Iw/zD6VxP14/3CF8OWReLis3F+3mbsVSJTU9v
sE+IvqmuSGal+OGFygpcS5M10IboYEVaNfF3XctZPn7/pX+9SX2HKFPIuPB3zV/kbE1td7ossbWM
Y7ZmcKJslcb8p9ChfzyKR44CELkVH/LTXVPG5lzHWe+eErbtULNQK3v+H4Gs/3QUNpQ+U64AMMvP
j7k7WGbnaHwXXJ40EzIk3q8D49+fsX+4LRFKWSBQ2O2sPJQfH7eCZiF6YODBZoyeHownN8W0zMRN
L/FgXIdWTuoPW7pf31+803mH8bWIUeCwPx6Spli8zKVrnxAAus8G2nO6TBOlyAj2e1sj+Wfc1Stu
kd9/1V/fLNA2gSCSyEaayS9PBCFOma5axwS/wdMdg486Dy7NF5Vjsvj9of7hK3JzABClBkeN+vPL
0sNaz6EqE4H4KkmujOasGLu9L21umNfmu1zvmt8f9J++H6BtH/ij8w9BcBO2FSsNXONUuh0x25W9
4s78dM9G549P+tqa+OlRD+hOQOuyvcBb46B/vIhN6gtf531yUqJHU54blUN0g6eX9+2kxLWB6IEi
ZqFMljN13Uyt1V+nDgv3zsZFxuaicV5w0vSfQVhbVJ2qLtNbv3DbP2UO/dMnpfVBOjeMSxo063P2
3Xa+RuuV4VvmDq8sDpTFuBBymso9kEObWy0PKOt/fyWMX5/dNS+KutIKkCr7Pwe7JSX9kpg17qT5
GrUu/V32D+QqY68WBktm2sbr/Z5nxrUby+49SnxlbKwskPddb3blvktG1e2okpCqYzBLN7//gP90
TnhTvib8cu1+hj3rHSrDyeepr5RP0a07+Qcj0awTkYF1hrSfsfTvD/jLvelawfo00MrhFoUO8eNF
6LJ+LfoXdZrs2H7pMfHRm+5qblPZshv/9wejb4ROmRi6X5OtfWUGpNwEy0kmZH3kNfgPzIjschy9
ZZf0+4P9cqn5Zr5Pm0631hXvVWH93e1VFZrR9rG+nNzYYWOZZAN3Fg8iu8TfH8j8SUJqomy33LV4
cPhyZN38dCOXSIsks8CZCkKk/a3OHg7koN8PhGGQKdCf23yiE2In+JjSOa1InW89S4RduS6DTSfv
06ygT6DNbJYYjOCtU54QB11zaWXR9bJ2OpGRbM+7gs3xbCbL7VDDWqj+7Yv4NVAN/TzrmsUQd707
vztlWQ0Oxqv6/mQqUEozObdnzHzZPtGXf111cSjuASwBJi29X5KWcIGbjF5wOAk0wLiGcr4/OUTB
lrTC5mzX8o/9w3X1+q4GQkfM+xCNPH8itPvlKtWqspD1OfbJ7aT9hWyt6STsOHj72hBxPXLWN50q
nadGSvMPD5n58y1ic2SGO67FkU3YIw6K6u/PrF3GQ2YTLnMygN5UaoPc1IW9uGCTt1BhAjT9iJ+5
QEzT9Ih5Aublh9oSSXYwhwVVGVi/5V4fK7qIqlj7NR3BzmwsRvSP4atRSFRunwO8MLJbb1i0mt80
Z84h0JIip3HpW2id8l69hZTOcqexGOyXATX+aRJLi6jM7eWtM0taY31c0PdDpsZCn3VTshK/Z7O4
OPqqWdaNorqb6TZchTtoe2ln7m2DEA1hjQeVli42KBrdg5ByQ1tar6Pec8YgTG3R3gyFjeTXK0k1
2jRA7dlAq+yEtXdl4JbOiNbNSDsAPWNHmDq9b32CSmSpvG54ZkiIZUCHNMv4PDMKoimuYQOOAtmu
zVB4IOnttEj+7mmdao5uQ4tyHwjgtweiAtkV1Z3iX1UHzfO1+JwKVJG7AH+FGXYtz1pa46D4Srcc
BkxhJIKN+yJkUBwTX5P3rVRVektqT9ncFEk3DXe91XNBzJZQ621jVG1xz0iL9UKMg9HtCK+R94Vu
+jeJ6zbFvdca/WfZ63wLyC+O+sIEcLQvojPWVtRccplxuPKDfHXnxYHUQNKfEdgBctfcvplWtgkd
DRA0CJaGQu5cJv7Vhj4InSuUPDTC/Wpxre1kxfxG5uCx8RHITH3sZD5qD7LJOHRXKFatQK9tWjhp
afXmm3qenOHeyLS03xTcLukt+1WMusbiMVJG+WAfp0n0XrHBuadFCporRkVzjWtSGIpPdT2xkTC9
OfNu7AmU8zHF2xqzrhpTdm1ESU/Lb8de7WXJHhaJUkCXMRl1FLRG7YgSu7HDDQbP3zWvWiZYG17r
AHr23H34dmk1pG5D3wwGBU7+mEaI39Fta+RXNEzxLa58efutBeeUIx/GSqHU2bnpvGRoAGJGcz3S
sG+PFbKAdYjLu3f2QOC9rENNQXOeTFlDGml2oNtLb95EZjVGwnW4izrfZWeWlg7n1ezXnrmV9+PH
BWTrtJMZffhvoxl43i+xY62FRGJT2/mNZ79URr52YgXt+bAFTXrAQU8H/nX587ATiNuU3pV346B2
YdKqZzLfge7Q+3MFSw39f6sxaSgXmxMLgdS2djkWm+yurzs+iKHTO9m1pdnf1wqJ6odRepYGC8hz
iuLebwiSvDiyNB7dPK8R+EPfW774GpOMbe53pn23GC1d4HShNkYQbcxexXrMGCBtwpR2BfeKzTSn
4AkeLO8dhXkxJKEjBqgmYZlNSP7COFYVvXmtdPJTKXq69UtJUxL7a618WhJ4BU6VrktabXTIh5UZ
rcYpn7+t+P+dk/5xTspT813N8otF55LV9Ze+GX706BivP/X3oBTSKN49Okk45wyKGNb+/6jKAu8v
3Hs0K/zXWSi9i/8/KA3+AtFpgSuhJ8TWDTPO37Iy2wJdigmP0DMIQq8ytX9DsDdMjvL9+q0HBptg
YnLZMKyRQcZPlaqFIKwisEs/17rWpN0IYsDVNiASYpBwhmy3hW3hFV2sqRU7qdFX2rrtYH2RskSm
VcFoZs609Bdcs3bQhIBK1DupStt+awRUV5sZVW7im8lTJfGlZYnrvJsgMlzgqA23iqCMGMlRTgBk
k2reJcEmYkeTK4MWR0RKuDL077OXI6+qpHNXisH6qM1Atc5MoyTYO9ccbqYc6tqTVcSjd9OrVQs9
lu6MaNNGMfc5fx3emr1kNoY+AVjOTi2wkoA0LxtL6FaUetb4nkzMmVnTCJ7zUlgZxvROVF67K1YZ
Ehi+ClK9WTcFsSQxqPp0gdrO/EtFIstpr4KTBZoACebBtUfz2HtDujcldibq8m3mZStetIPcPNHW
3+MAfFzwPN+6ORPMA/+LdQF1FVfQFHFuDyRVilDYjrVFqfsiC1uGvp5XM5AMj4UC4tsWO2CAgggb
84ZGZedsFdvMe0MvncsUMI8yhtEzUAQHHbt+jC5vFUrkh9Zz4kcxLKZ/FPFgaZu8b50ST77Nm9nD
GILfSaRbDa8q1h/P4xy0U9iNsj65QYPHqvUYhI/4mNbKJmY2vCzzeRiHBCV00qZbL3PVfVcndqbv
44TpTGGAlxsE3SJzmA9LPqt6Q/NogqEdd/nOR1p4sJsKZZiywGwoDJePQemVdohaxMsONoKx8m0m
CJt8Soio9PTtyBorte0Muq7v98xGFr0/wg4Aul7lpZMZL0mP85krVxqh45QBmkE7MiFBXJWDQUHq
cb11g9o40ru+99PY3QJRK6OiaOYcvfMq7W66Cp9/gPJnHABAl2DTMxSBJnRBFU8gyHxitdEMFxK8
mmMek1FcnMUHmj3Dks+aq92pLoJ4tAc/EZ+QVe5qKtMnTUvvJIzhUHCYXaLwAVXT8t7QZ7VjhBDv
4ml5oJveHztwPFvwXPlNV2n6sXXsYjfEnXkKiI0JC8rZba+heKpsmZ1sWkm72W8Ap5WLOuodj6bp
luZTsJgf6sEHW2ggn8/TQYts1Hg7YgCG4QQBOT9SlX0UVBMnJOzJuWMygfmj0rcA1PaMz6Lebsed
rVrOjwYTsUJfnXRaoIUtVKcoSdMvDm51+DWQAJk+kAiInSuwBRw53fYhFI1LsmZOkDgHkXYPluRh
yLQ+NJoMkL3poFQTeGH59Pk5dxZNMHgc2iMCj/ELmICFsAKLk8PDdugAtxceC2SdKAi/XXesZ+eh
s8r7ws9ulBFTl46Ik0z1mOFEaPQ+OHnJfN8HcAdUZW5A8m0TkHIiIW/Bn+ynvuv2/iIvOWxHMEGj
3Im2HLZTzDANVexb12JsP9cVCtSq/FLacD7MenY3tHvGh0wj0a0zjAjxIGg2xsqYIPyL3SJFzSvJ
JMkPjJCUPPtOh5q5raSoGY7iTKAhQsAU18PdU/f0kUY6wsEX5SflYaOgyA9OLq/L0yiYmMnYyq9p
MOR4+onO4akw7pK0u5vyfqv5fCnV1Ffp2/lLub7NihG7FWrbXju3rWnfZ2bnnpp2IGCCgI1dSy7d
e69Ln3Wtp5wx5dd0qIxD4vVsUbKuDOEXkR/K4PI0Lpm17Xmt3w3WDApFucGxyL372BV3jMH1Ha8J
/9zk2uxFfeEO73ivjBtz8uIpbK0hv5KZMEXdUAx7nQu105tuZKLlpPeWlMFFSB11gzZs7Lx6D3/H
jBjJvVlktash+K5qTC9UdY9muObtkq5sLj3fwfGz+HiN/ZLaGcynlNWhiyMccsE+y4fHsi7cnVmp
+GEu5kurdSKSxpA/IWt5cjCPhqU2vWD9e3YTYJKj43Ifj9g/S+xQqTnv4HUcMdrsAzOPOYudfTVJ
ctjPvvhUO4uzdcDyH/TBfGxjD1feVDDJqNJyOjvdrF9Tw7ofg/am7NO3bmGCEIIspjc4InjTbl0t
WBMSGL1itirWd2mr+bd+b+37LJf3kktXhe1EYjGvUf9DESfGc4lldyMsb/WM2exYveniLdN26tDs
+eawc6bOPBMvgW9iajPG5kGTRsVS+vtSjuqYNsNhaPPTlMUFCSp6FiU4uhlVajsWszJSceCF/gxH
KGzs0f6EY21YiTSaf8W1Yt+l1Upj8UR3AfeoRcs8NVtQuenHVrp2hPHrRmYda8JcPhn2dKgBdgaT
YmHNg2BriuFhog/aZV71aUKHGfjLc+4V5Xbi+yAcaIoIjXd2npY1CaIydjbQNTNKHEddJWwcQFpx
125GdmFnJ3OSHe7CJezHxHofN2N7T/eoqEON4WxL/Apvpqmy6ttEm3ownQJe0sC61gKOPiwNHnjD
MNpdPbbjjQnYCJWHyeZlxDUSW7iPtXldnqGlNW4Qar5znXWCRRFr1G/0pJ3kxl5KG67novLxHnG3
fwz6Qp3kZD3Z5P98JBpXSw5xhTZi53gzfBirNMhKtm10xwfWWZSuQ/Cp0qZbI/WyaLDn4b536tu5
1jQ2kNpdtaTjm4L8rV5YYkfKQXOCsfvO77HlyKw4mRriFxqXE7L0svvA69U+zKjzX3JliC06KHG0
pGZucySYexeWSuijrI4qLI9R1k/vg4QsnVr3tUuCWultC9U4RPbvf3VHWLgjY3zcMVb5AuFgefBm
DSHJ6L+3CqfFGVl5b2G+ZBstdvXI9NL8ETqUjp5i9fR4qEstSzYbaa8PERcsD2GbQqZh/s1zzcdL
2MFsq/xzK4qPi6559wFhJe+sftrqTOKvUFiczULqIVqV1oBulgkcVaoVdtjqojz3SjXQekYifvo6
uRhmeRgKjMxQ5jA9jUFzjziigxnnp+MdIGF/1TB37zQVHJphkY9TT8qcEWRIwgOgpTdgtD9j2PvE
27ncdUgWN+zhxqeM1BcXgfm+DcSycRB5bWPm9ASDBO5mMIEcpY5J+0VrchOlBdnGjel0N7nRq7Ac
+uWmsufgMBMMAyK0+1QmFWYqoj0AaLaT8cALskcwNlpYjd2B2J69XSfoKiq7YPHqtfp9x+jynLgL
Ljhqwbf6jBsVZX7pI2qwF+uhSi3jIw0V96Od1YBy1ZAEYZwSkEHbfEvfq9iZAS9LxYSNAng6eSjE
EX/rm9oy38RsVDDdYs0GLb9qzCsqjyiFmZ+QPRQb9CXPAo3Erqim5AHfNr2sC4VWVMExE4EiXGf+
zBjLRc1NdG/FvGw7gipCnNKYoZJOQKYP0n5hn5zcHkLAv+2mbJocVNn4YRpsOBeqHcMa8D5ki4Y8
l7hj/SsaYPk1rKG4HUJ0buXBQmgQpiKfTrU+b2NhXfM0t5AJuWJPspR/ztIKGeHAvKnwAmRm6a6c
OnFPMJ+9142PY4kLfEAPsc2r+ImuUxWWnbmJNdvaAPYictsRoT/leLndpd56HUGYNfddBV42ZLBm
RDjJ2igjsAh9UcfrBDIRAsopJJoq9FWRfpiD4calwN/pPqcYMN+TbADYenqAMiirzrObLZvc8BHR
SUpDtG3o4ROvZU0sG0y69n2AuGQPRPVTWY9PqGogtLvqbqjYp5iDA/4HHSQk22HT2ksaWq0jLpqQ
EzwpzXzL0A0jbVlVTxL3d0Qvk6Vu0WyGUwLYYoM2JGWgGpp5Q2etUk9V16KIQqcVZU2cfS6EsTGk
p+4U4s2tLDHG6uR3u9KPnzyjvOnS0b4KOxiisau/UvzCdkr7rZGrJko1nMnSnpA69im5mWP1JOw8
25T2mOw6uw62NmHDFN0Y2RctLy9Q49cA5QJHt+50V9ePP+q9IAa6kO4+nQt51y1IIYPeNaKl9Kh6
jDZ4g2D/WstlvJp6E8FDmCOFMJyeib5cTfDiGj6pSOEpirxpYgCPm/uGqe/nhv0GmOX3pq9ektbd
e0aPdWJgGTbzAmWNOsZ+MW1Rpe3L9Kvmd2NouL1+Y/R5e+gKcdtla3wVZr8g7fwI8YK+a1u2t4jp
rD2hBXuzQfpv5fnZR2xBnaCf9MJ/ArBEdmWmXqQ3forH5GPTFNw/jXU3DheviZ+aSQ0Qpurkg6ZB
eBxBh8GwwopoeTcq8J99rIoiCJp9weIYwm2H3g8ZDPe5btzYdnuXz1RnWp/r0TAquMoFfM1rETfk
bCntFqgw/sOikoolIY/5uqwEHdKDNt0tvt8fBXfwh0WkXyxo0qEVk+qDiaYnhMsGFY51vSImLCdB
ndSw6sqSRTyxbKySAq8RHrYHUd/NyCoPkya7CJp/sc8zLRFRa0K3jJqCoa8J8yCSND/Z5LTd0zz6
JY3OdDpSVRfHwEvrvR3U9q5dVHKe9dHdiXp8JO4IRXUTvAn8Mb+tM8346mT9eFZp5p5goYuDWS7F
aYS+vXNmWzza9UK+rTBf2MPnlwJwQBQnOg6XZAJJ1iQ38AoInUPBfqFlDCRbSbm3GsCp+cRuaSJq
YTcw1dgIKKCxVaP5qi17k6AbDKuOeV3WD8mG3gZ2JksnEWFEXtzm1tZMy/iNi0yY1MzlI0j6IKxM
D9FuyRmjqL3UI+HQIl+OjpiQLc7TFfkdZUWfIkQtgg+EqGSbzvfQfVYpotzWqSmDhIJNwK//f+yd
yXLcSLqlX6XtrhtpmAezvr2IeSCDo0hRGxipAfPgDjgAx9P3B0qZlVJbZVVZ3150W+VOlqJIRgQA
/89/zndADiAnMmT5E8c9pv4dLZ30nU/2mh1KvktB6R85Nx6DiugtsY5ht7Rubrmba956r96WhLHy
tL1hmArvVW64e0ZhFBdnyl+GguY6mJj0KvGo5ilEqxy1FF10puMOSgD5t40dB95KFdXaQPKmn8oW
54AMNmDOMjt0hWutpWxzMlWdee4L0Z+6xvkmZnoDsGGtltnCnrOLxd19O4H2vM0lb2NDCiuPCjo/
ynJcG7jKVrRW9ZsCP/d5dPPbzMbcCHXjOvGDpyaMOsKIliChzMe/m6ZdbZnwWtA7CLAxy3ipXlDb
/FMYNzE+9l/npsVJ2F/rJbEndYzC7eAJFsxZtgNKBszeauxTfr0Sucbp1niLuSt7ZnxImxI/eNF6
HFr0aeRKXasFv22qnnukZ0mKAoa3Icjf4BcfQ1fcTjivj1mn7Q0j5Jlb9BONtjWR+mnLqMUnGZV/
3Q/duOJqMC+zpex9OI3IKDMPXTRfXNvWvc6NI0yV7Tz4xVoIWP4MOnP9LFwD2WQcx3BnozFz77y3
dQKVISEkCUCBySsc14lkHOwJ1s8zDAMUgY0VZ+MpJc648tz6jZhUdJcnBm9k6O3FKNINjsP5A46K
22AGLTW1lg2b09z1nRfQtCdBYHBQNgC4BppunCB/hDryNbTEpZvtcxH6r8RjUcVfe6vaqz78JgcA
gXCv9La25nzdVdFG5PXaytt8M4vhW9uTXCqN4lMqjHQrFum/a401oJEGUSVEK5nziF7BGi0gtYhN
c9eifzq/lSk36HWnpD9h83WDG8CG9om0vd9iqy3x+w8M5YPQkr/EkxzDO5xzsxXbGuSI3KR9wF7f
P7c0LoADXPv5xO5mKkq1Q8XBgVMqj4Y5KxA8obVQV2yU5d6lHCGiuNGVx6wULEC4q/Wkuy3pVRyN
RYqnlxN5/2i4ftXtqhC3504axSjXDiu2BsqX5iqshK2yXQ5wRZAt5zXygEzIBByqSR1Z6L51xRQU
Pb09UYdi8X3d/F+t1++/NksHa/c/ln/4M4cL7nNp/z9//mP3/c/J12ZRv3/6w/a9APZOfZX6/mun
Sr70e/Hy8jf/2f/5z9XIOmjq6NJ/P7H00Kg+/W/rV9o4s/onOf7Hl/4e8g5/ozDEDHxKwRa3ILaN
H2p86Py2LJD/TMb6HZjl/WabnoUT1HF88Lp/EuMdm4ox+HhIwIszbol///4i3H7fkfP6/d02aoLh
P2vxbhR4pLxZ3of8HAj8v2jximRwLWkzOEwkE0ZUycIZ11wb0T6tBRHTevHe1kke3kWZgy/exlR1
GX3GrqFMQ55kjiIjEGfOMygdfUsitX5ghxh/ilxrukVhHVu6kmbv0BKDiblcyNRlxtBs0CebiX05
rFZuKFMOkAq8l3MVlrBCCqvhFFkiR58w6ZQC7TmjMVMi/VqoTX5KjzyErW9dBRKGM5h2dwWWp5uU
OsLbIo1dhqVpMLamwHEjY41OS6SszjeGk9op3bkdocpG+9e2IWNgc3bsHBXepdM4h2REpozm+6kU
wwvA8oD7SxX3X/kuFo2qHDSprVL4xdmECkKRAeiH7XvwhgpNXyJi90j2GVHTQ4YaF2wdwirfMt7w
g0cA4tavAS9vrTmLv8y+RxlXYY3dczsbLNRjfrJnHO+grEezuI8K4h+07qQ3o4rrR1CczU1Pal2f
JzElHkQS2+TJmgZw7MuqtOK1aQkO8kQpwjtuPJqajpYXMrdiVB4TEuu0cvMp4Pg9w7pNwvA2Lklg
rqZZmtYGXcatN1E5NrsgrIjTA2Sa2qq94aEY3XpdusDIMBUfOl6/3YDH44qBH7RGmo5XqYLTMaUD
e9XMq5sHyxLhneHyaclpDoVgGnqHyqJ8oYql9RjT/3vEM+acDNpHjgiPzU0hxWA8zG6lt36QWyfI
MSNjS6HcDUtlrzvMBo1ZrrKcHRYq8TbOlXiRqrGfW1O72Adm4dFFA5DgC43p4Vb2KQnrkKTH3dTC
AtbajR5sbknI4TMVudEEDmvtDSDpyZ0wgZWGZ296RJlXZi1AP50VXbWtEyQ7pc3k5E55DYo6ACoN
SF7bep/Fyriy4wWBPNIAS5XRFDIgdwSO+2PqAT4E9tyqewzEHjQdZ4pu25AAyIpqGP9DbWn3OoVS
MyaUu7F14EwPkoQHhyVnZ59M2oxiOp3ysdUrgxdCHrSXNeGLGBqOcNRZCkRd34l5f5ayX9aBSozb
MAjDXYI5hPbYuEHsPPV+q8xjKYTOnu22i1Dh+W/ZqtjmR8IlxgMIp25N19x1UFVgW4a+e05FdYkj
J7li0Mqiz7ln5AMLf0wTrnFKKjNgqWKX5gfsR2BXZmZFk+p4pmY6UEyfP/YOh0YxJ+NT1ttoOFHa
XFN0LGg36+9zZYFYK1t7yQnZ1E4VfIaeaIpL/AOXt4HQ48T7RkoSJ9gkqnZNALTdZLktNn4xAbnD
F598oQMJUUazaFerQdlqo3EAnolw5cdGmYg7UY2RI7zqAVYdczJogJCa6YR9R22DKSO/1aNbgDLe
j4ZrfGGrsBVkIdcixuEQ0oNEM5m10m0fXCCiPfRzl2xQ95emXu/JkgvgQCmFfUE1N2No3rNBsAlg
zbxtXURu30UdGkqexGHrg5Spu3WXe/XZrNvua66Diznb8YuQxXiYRlE+1Hhlb3KMQyDomIKoIUK3
U7EDbBlT1Qi6fe+C1MxEqPdoHv06pbZlpy1E4cVlsbYKYiqZlE27gfX+0nCoXibbGySt634sYkam
dFgXTiP3RF3kLic/fQ1cabyhEg5qMaWpFJGKPUejcJvFOt41LEMhPHndejmTH+amyUhqDsYprzLr
zMGDpiGCNEsX7CbBcYEwouuNHSnOWn0jn8dcjAezSvoPuZI9H4zR2Cdy+sYhq9zrNNfbXo7W42DZ
8SdEP1rwppiEgJ8TQkMQtc2j8qlZPTiV651rfNS7KILHR5lhk+0JG7qnMAa+PhlGcKfA4u+zmUdT
XnWYOj0X4s/gzwGzhqgBNsFmy7ehyHqYPiJ+ioTHJetVeEoa1EBmYfGGQN2AW0P5/NgiMO4sNbAc
yiiMqro+2jfz0L60Y2w+Q2Mytv1ArqZhI3sBZ9ic6TCTh8qpwjuH/0EJ12TcdGHyFCQCjJkVCQBN
3exf6G6zWPtOfWGdvClPrqKiCqn0qz2xLvuMnXVhOw1LGR88nzsC6PJ6tyHQaDkXclOcWAFxSIa4
xRUPN3YftEHBQTWhU7lN1EoAr3zqW7ODMoi1ZJMpkGumI+/9OG/uprk3Lw7xy03Y80qrko+BC5Nj
sjvWFilRIFvGNKm4BgvbIP/qQD78qipymX7qLLnKPh6Zs11fn+qAJ/Y618LbwF63PjSU7dyn0PC+
TKFKti00BHov7E9GpL5l8Io/+jbF57TqUkbleh/gchvXXFOABhw6rwYYHVxKIv6QSHc/Ofmn2FeI
pcLbzw3CHn1cNNxn+iMw7IgsW2NvgkC+iorw1+CYR1AkdLVbdvuVbNOwKnKj2RAVyQ+DreoGEVC7
bDdj67bsfLkturG4qy3/Uid0RAN0Uduqt4FmwbzNekD/cgQpb1XzJdF9vG0rkPB5SjXlZgmAE1+Z
HUAMzlAeAuSpzVIPJFacrfsTeI/lMIOI07vIZehjzjYlzfBqF8WjYfvNxsH++ym12TU3WRh8lZa8
V4P1La7EKpQsVEBDvdSlZULqomVjKszgFOl4vmpNtOjAES9NMmMpiNRprIuYe2fbbgeY5Nj7BueQ
T7o64p04gpnAe+1bH7JRF+yHBFE4ukJ2Fn7yvY2OyZhDCm0o21PTTw/unHbETjGVlwOtBWk+f+k5
f67pBG0e4pCO2AwyFsz/is6xUtfDlkrCfqXrrtpNCgurNMLPMcQVizThiyk858ZBpUfH9+6E1fO5
8j5XdsUOfFbdtgVVf6YDpjkrYX8NqhHiifWlCwtGRsWPtLbqbjyELWgO1sHuNhPo+wONEHtOLMG9
ZegEG9eY70xOjzeEZ+NbGTcnyZvOZL3PwPylmiU8Wj0fUStMNprE2kZauXVx2vzDVLT+fUxsbd/i
rlSrAKfFvUoVUJ7OWAWDz2+XwLvjkX5liM4HTzE/9ZDUl8MmY/MNndYJJSvRmc5udKPkIGz8Vqlh
3pCHvZlL1n5pDyiDkGDeVp9kiRty7qbHsVO3rdXf9KxyOa3h0iDrz3UfT2utVcEZUCVrAM3wHsMS
7cFzYGGvJow7VzUFWVd+JWqMAmyFdUBBhYHMemvLuji/TzP/1SMd4AbZdM23/uch7n0G+duE9//Q
4GejrTAk/f3B7zoDj4sb92dUxfsX/c2BZUZEfojY/TTwRd5v3BBhUZBN+5vxyoSCDNpgMUQt5c/L
N+ff79P//A/Hh5uMkT/gL5ghHvh/bdb7leeFXzoAzGwuQSfSeN6voSpp+blQIiEO75msF8oy8Yee
gSC2UV58l2knqQLS615zn7W6vixWqZUISYGv60jlWyvIzIe8B7G3lfZU3KQcg4qVbxDPjQK5n5gQ
T32t4MYOECY3MElDh+rCyGVGgTqw06mXngfGiysTom2wauzyqk1lcRs0TrivzCjdx0Ec7F2Ajf06
qQxas+Aa7+cslUc8Yf616haNbe5SgygxpmfwxqF9pil4/FTQ+AZtkePs2uExtM+NRTKmf/K+Ea47
AggYp6My34pibl7ZB0OALZwYYswU9mwOGMlGPGC7Ip78mzGeQkY0PyrN9dIWdWTh6R4KaRufR0Cm
34I2i26cvA7B3VTyazLZMUfxqrVus7RVe7ow5L3bueMpLwIT53GRa/qbc/trbjasJj3C69hMHBZo
MAEuiVkn544B8HPtJ7JfWW2Dd3YW9VFn4uMQTYI6sCUnn4bDh7Tt+4co6id2S8Ys3xYAwUfkoCLC
+sOywfeTnANpHZF9CWvSSXjMV7aZSeaRqAhY2Vg8MjFXq7Xtjs88kJETVV2+lVnfH6I563cWNKnP
s6nKq8yUN/TNe6dC9i1z9DyfaSYe1rUXLKzHEFiZZOHE0V8rW/J+JsVH1p04KXiVFP9aZXQ7u3PK
s7aCeC2byucXnSJu6VasroD8G3Qjmul+EnH5SLQwfS76LC1YFrYcpDVFydvK93KLDTDBEswSTkHi
nM8eXiVXXSs3mjv6dUyngCEMGiQF2kR5EO6s9djVgDp5SGNxjabxG6ODYmcwLembusTB3OZpfZsB
Uli57IGuEtnwFOckv7JlWF23vZFf2YYDea6oRgwJGCoQKD2Yc09xMDO3RCpx36BuwsNFxWXhU7IC
a+ADHOZ2xuyM2o8AH9bWhRh5dJfEOl2PocGDj57QVA8bX3qXrIyGzzRQFUdT4hsYc9xam6FTHPTr
dDrPMzYfTMJ9/SFq8vgjPcOJccKSJfJtVAfWFwwgHZg3GnTvB5pR4u2gC+ulj8oYNb8W6s5Stfgk
OQiso3a0Xgu2/OwqdK+XLvQyPNBlNsLMC6MGGoPuwPM6k7uKGYuylYot58kZzPQsgJO8sekxKdLD
Q5ysAzmXhzapw095YAbXhcewesRfHz3O2FMwbeAyXDqQIGRv2qRr6N+tq1dc4NEHPF9vzLztxkcS
uraUr796rcTb2EFxrbdxGNcf8wRteV1K6r15s2r50gfs9lYYFttjGDc97dADZssehuJVSlXsBtH3
jtQXcDUqZPst8qtYU1fqbkMiCmt2JT6oGNXhFWizjYv1CVxfTw1gYwUnz+wAgDgpfhaJpWnfALVG
zXdQ02noNfcDPVH39mB4+yYzC/imUR+7sOKk+WIXaYQNkpvpYJstVbx1leX7oG/LY6LpQcYFQRQi
apz+XoaZywsbVPkz/aVCI9djceJmFqtjnNAqSrfO2H4aAk3i3CVzdBAmGW0CVbq7cSF3f268AJdX
Z+XDrRaaEayYqbNqjDySmN/cYWdQ3f3JH/X4VZTp+KLd2rp2uiyutv0IXo/qJy3jdRQ74ibVUcxx
0W6XU/0Yw3YwIMlZZvsAP67dhEU04vCRGcCRgom7Dk5uqylwr+vyLmLoBA6YMVEX3DYbyxX7yawe
mV/UvpN0AC/VSiytJXgBzicabH3PeYrc8PxlBi9RbQeL8l8AhRVGpRRZgRAliDbTKgd1dkvh003h
cv7OnunSY7Gl0aUK82OoCwxObOgdq+/pldRdfhNPsbGyo9wHlA3eAzIYYw5V5fcwNJNbbosTweFi
PgK+e2JBUd8Lomb3yupiMNdZHj+NBKk/wsYNcQjAJjylxE+ewtpfVkAjl1WYtfWtqabqFoCS2FEf
ChM3K1ySPbjoWK7ifcFYyW2bp916qnR2Ucy/uFACkbPpqKpLHpn8uH5h7KyOE92qI7TDpR7hNuAo
7l9Bj/Fv8GXa155Xx8iccx8/uKH0j2D/xkdE/JCAx8BaxJkNOOFGoqp9b4iGXI6OLxFFsA9YDYMj
JDvzM46s+Thq6e0BUlHAFov5U4Hq16xnYcyHxCo1ewLNLh3D7lb0FF2DKuR+pDJrPts9oh9CH7vv
Mb8VpYL4IWznJm5w7HKTLegAmuPFrmbjpmuShtYwlxbwUDW3CVCX/fJ6Pspmsq5otJIHbhfBPqeM
66YohoFNpj3iqY7m9Evcw77JJtZyKykmOFie2dMxjB3xzi7kyDk7io6DpbonzvX000FxO3A9UZxC
mk3iTAgwkHUj0xpDozY3uLZT1phOJO5Gx6zwzuYObeiU1tCBm1G7JUr3hhVjfD0H0XTseDCiI9jj
hcKmz2aDxmV1jt2svM4THzO8HJ9MuIL0pRvtnrChgT4ycKvh45fykAaz562R04NdNuTFLRa48VMb
BOOm6C3/xWauu7GRnbd9utw0oRDYGQji0Zu3Utp281Dr6CPIH7ArQxqmLXgNscB70RFSHGVj9JIZ
cfFA8q4Tt77ssu6AEC3wxfl+QctvbgnzyvZZ5OMasmpTwGVioFqM2rzyDbPugxTJZgIxq3dO6ge7
NvKDdQojJl7nyXg3wxLPz71cOiTUUifhtY7HiPreMqHtwvS2csTSjB/LX/ZP1xbE/QGDa1Jkpjrx
kbUldsChhoH1ilz2wrF3esavW3/Oh8l+ijCDPzIItif4SY+iDvS2ckR1DETXUpcwkJNqpnu/hH4Z
q280zb7mvf8SqFG9wdngBOFS0b7qPPUSREZ+8IOwvBVWuR3dyrjizSGHJOnBrEmDfXNmb6DWoxUF
C0xsWGBRVFYeZKP7O8cboRfi4cKT0ErcaI+hr+S2mu35Lp0572A8HL3K+L+zEPv/b3pyWUv91fR0
w3G4+Rnz9/1LfsxOTEK/kebn+A+QjiyuTQ7l92Iq2/3N8x2SwCRb0Fj+jPnzf+OgimOOezAn6nde
8o8hCswfzVSwEP6orfpXFmbk2X9emJmY1Tw/YN9gEv8kxvLLwqzoFAQ1FWW3Oa1zecQSdpmlZFL4
N1Hcuu6dCxqg2ze088ldHEdI/yyOM39dxOQ4p4uA7szKqhDFquM50jv3ENopRnj2wsEoTDoGsY21
Q10ckhkb2m1fCvNLZbbgKldA07NwLa00xKylrIalRpPaRTjsm8gFo0p13Wnpgvvm0NvXoEaJ8M2w
F4KVDwEiKFwByikB7tkH5b0XjvE+mTn1Osw53J6zhpO946NnC8CfqKBlCzyYTknjQ2Aab+HkpwQP
sKrgVQwufjpkKDlzfkVYJDsGg6c+jTnlqa7JrWYlaz+9lzx6003XTPp2UNh+N9xuK7l1Wn7jVajm
Ptx2tKiSYUw5YwJx5WaerElh+G/ZOPQfusFP84tnTwYslTa4ySDdjyudTQjNJX7FdR+ki0k7miKe
qmafYSH1+p4dVtzqj7EGk27QZaGYJOLkAZpAHK26hgjcWvPjHzM/Ts/zOE0fmXioLvDx1B4TWiW3
EcEJmK5Wjj846Kl0IWDhtM9ESCXoapHTtBAM1cnoarNZGR6RSNZac3gTMuYqPLjLiTCfM84QAW61
eUMBfAcTDIvDS0+nkH/Lb2JjaS2GamLhxjqTmyo+HFP61IPl6bdAlu42TbLi0GWu2o2JA95tYdOq
Jg3uBEdOqIeARDY2PL47dqjypBu82mYlrDvDiygMHSr/FLsBXiIpPf/LyHNiM3HRXBAJMG+kuqnS
YpXoKLR2ojbaKzcxc31t1soM2pNduGPYgqWvuzDc8kK4GHIHuu5vKRqlSmlmR+AuK0Wd1PT3ZOhR
iszLFY9MqlVXaU0/U4HPHevnpuJc4NypjuDGaraG4KFCuR43gUHk6qmUQyCYqzoTgY6yjBWmroZp
eZoWeK3N7ACnP5bRlc8O70slOB8DoAqKgHYDzbNgQHrr1siTVGMYRDKGuk/PflyPr3a1ODfQeRW1
L1QDH6cEBQJXmV0jnpe+mRIOokHnQGkyHuDeoqRjPc5LC7tJDmtXJ1lGGlRTPpKKAfWxkXHFlR2H
eAWdVuMkknmjxnUbt8NwNc+ZEhsbs+e6SXk3N+1QDcsj3ZDzKqfLJWH1a2YogsD9g2siyNQydZ65
lwX5lzRxEs0nzjXgRQeUlpRGkF2MpimH3RDHJWogljK5qcpw/Gizqdn3CAMsJc3unqNjPt9FyviM
9bjmmjJ8Vuuhl2vv0jdON+96QQPyLlG6+TihZ7irUKv0cZ7ZWsDGbGVNcMUF/bQEffoDdyL94FKG
2RxtzyduncGl9velic/6SGbMOTpNK7+xMvvgKT+8QqDs5oehsCEzjsUC52TlPm3C1rDOTteZ13Oc
23d0onI9Eu3IKYxPuJt59FmS5hL5fp6c8IS7HQEnHI1pupoWolDgdDXBcszb+zCMu21pJTEVJbxX
zS6hlWZjz65zZ7TaHHaOSsuNH+X2GQBwtIXeBRrQyNoFN7kEiNvZzTYmSEve58JN8jcpgvwVoLbx
wZHl8NKZ0yC3snFdrjV3GoA4z862snyjP8okcdelo8i++PSryDN/wcW9abQs5Tzbb3Wy8kN2Mmys
2SADo4Ej3pqrHO/+sJlYZ67tzjfRIXyZECQa2uFARsRptnFfjUwODaXpLqUmrQpXIayxRyLwztMw
zs8uH2Ggdu/gzYh254MfjsHdsmvZJH2scYen4higBJhb+j7tLRts9K9mgTfWcedeKI5Ww4rmpsq6
HmXTXLOiJWgSisb5KPrpI/COIVr17JnwnGVgDdfDYPbdikjvpK4rnEyXWVvdfYU/ir4hnl/JnTWB
wGCv4BL70qy7gj7w6OMwYoBiAO3G8OKGhfWdzPFvNfofBYLx5PylGr30TFx/nbLPzU969Pcv+/1M
9V7N58KqiBZgy58TwZTmLT2gPnURP7DKfwjTztLaR46YGkqLkOPiNPpDmKaDwo4sP3QA5L2X/f0r
ZyrvF76LGXGDxexEqRx8ZijOvxypaF8uwTnU+ZXEw6Zf3WYp3q7dgNY7M+WWFK2cUY65PmSMBpVx
bOwUWzrPpqA+gMYw98wg+ot0GIvXhtl66ynXw3yeaj/4KmQZbDI4UnIWh7pPeLAz0pSjdh8MCD2s
KRfjAK4IWgBryrNNTeSTdkAONilm8Mzog7uhYTvnbFu/J6D44NTkWNc+5xPzhWx8mbG0BKUKYACb
bF2dMnSc9RQGyBJD5WlgmcnsFVN6xWgl2vCBvR/VzDmGBgfYu4UxE49DXrNgfOxCDofbMHed0nzO
RNDTsFu3Q8g9pTMrAtMZzBGkK1N8To1O7gLR6lvPLmv0Kz3mfKmvjflTW5tBdv3vddC7m/AfXICO
iwT+VwPNh/41/fOl9+ML/rj0luvLZGYx/R92vT/GGcv9zWTtQ7OP+T7PQDj7nVqOyQ+WDmAz9kQ/
5pj3y5ELEl/gUpW5jDi/GP3+yvi3tHH+lMEHk+g4psO9AI4g3KhlzPn8es8SvvvP/7D+O5WyaDw6
1NdRTZtDsQ4xGVEV7Y/RU1WBNSsm2u2AmCftufNcHFWasu1p4WO8M6Wk4AHN4hO+x0J6wwwC+khr
75YlSMfKoymnjLwDF665FN9Xle/G470R6KkmoxwNKLUf0niKqvagKo7JfjIODP1mGRs3S/d5dWpk
zpp6DXOoCb8h9uhMHUbclNNwTALFwwoCOL75E3Z6WmgIOplc0XUT2NuWPJhL5naU85nXkp7ZkK3O
2uTbpqukpYg2qeyELL07a3TZysWly2V8AbUCyS2wZ2onkEke64o2hJkD1IFfqmGXoIw3mE8Z5bou
sGDOFvnd1HDEmui/o0Q7wScfq9fIIt1H8IzFdVagoPog3ddRM2DEgXAzs2c+5cw5XpCsmCQnezuO
5iDO3BWq2oIlEk6XFAy0cZzGZtQbJJVEP0CqVrO5MWG6LNVULczEvc0cpCiIMpseWDrAWotKh6og
prkIK6x8rlvO+zXvAnFxuxqO/74j/DN3BKpv/1riWB7JL7Qg/fmu8OOLftwVAuu3kIUxTjz39+qB
3+8KQfQbndw2d53Ah0v5k8jhcVfgMUmXbmChZiyd3b+LHOb/CaLjF5KcC7bO4YhKJxVNUiG+5Z/v
Ddbgi8E0k+Y4QJfB0lUn3o2DHH+Zy/FfZKi+fy8i6QBNueQthsKfv9cAGXwWoVUf39nX86Bh5aHh
PmlegSsh5n9EK1v+vT+zwxYkHzt1kKLwylA/f/nd5MKZaMEqEmVZUO6j2eJKhvUBh3Pitlf3Mdgl
B+/fI1E6+/FPT4Yf9us/d4FzR//1m3ts87nb8+4RefjllxWG2dEsJevjLImCVmXFWaS0hvCKGZMs
djxHT7Ft/qNf+RfFanmJPV4tHkwAAuFV8LH5862+p/dbjmFQHWWFJbvAlfIFPD+0sSiDz5T8y0Q4
8lwWH1K+HZ9e08Go/vM3zE2DBE1HA11qxIxxVE8y2vc8JUKHLoF48F/++mX9tXvD5TlpOv7SiBbx
4kJv/vkb6s4y5ySehoNqJnQ15cewsOZZmKQmRxf4oWa3cQlLOjcC9qP3YvDqp7oF9IeRpphrEpJd
cA+jxFYriZAFS2BpfbKmaPoIYOAffAq84H/7HASeBSWTAgzeTS72X37euorCJK96dfACOgYejQok
xblLSvZLSUP3BFkwazzRLqRLNPDesx65BvX9ApY/4Pj2/VPGUfFYaYpDEqdDNIKozGeJpRacv4U3
iWeceXQwbWj5pEGsS0WCuCLxvUAwFdZZ3JUyI9KibRjcrTdZF+oh4WiqABh/a2iKQHoe9nEWgdia
5dB4b+GA6MHWep4Gku/Czs/SWfzs3CX8TRYS8zrANTOeAVVE8b2QiIgIAbmg7Rkmn4GZCsa/ZX3l
UzqRf7MyAATXvRsN7t1U6/GqNlPQkaz7x9XAPpMRc7kRSF1xnU4DUDtj7KfbqBAyhHkv2heV2/AV
pekcv1PhpmFoX0IA9rcmFh4854LUNfT+PNqST/VeQ0m/yXeIWTXEVB2klLoawrAevV6Fm2zOgLVF
nl1DLo+mF8xtnOphdYPne68uUK7kN6VDbFxV1Ori06uz+Il4JzA9FY7AVhWv4zvBLJau9Ug5pr6f
QxE9jYIyEd+AIodYFW2FM4J+02TRQo4EBuDSboin+++f1TRPQPelTjaq66yYGEzyBleD6/HL2npo
u303ApenBlQXKcefOKuOS19K1a+QyEO17V16j9OBk1zYcj/d9IWCNVxpl88J+xr3telCCHlJy8Uv
qugq0jJ6assK/Qe7Pp8MrHEwWxLojZL9InXNyzmPdSusuMFf5GSu7vaFYCBe/6SBtbsbvrd3gKI4
4hskkjESYL/PYDyUqzCBgPj++rtTz85MhSibRRBsohBM3VrUkXl5/zt9jGmhAjXIfWNODwa/610a
9MNmTKJop0THBzhdLg8fMnx76Lo8js9WN5gt4ctREeubwgg+Q2BJCv+YruiGpjgvv/TC78jZ0eVt
Tw8tIhy4nbiZ4mFX5hg+ITHwBTWBefM4Wn1A/w7eIxB1HQK9sdemyseNSECn3bdt7eHxazy6Y+tU
9fGVPUf6BTrx+GXQhhhY63Zzdjtqwx6fO17+dN8B1dt3tHeNq9kkYWug868bKOEIx/gs3aR7bJ04
3U6LkSauI72LnHItUjEdR0eQWQ1z5+KFjUKbGQ9xpKdznzTTo1/hVVwot7zthr64XuFDaEytjx1O
1E2ban8FhMAi3p3292MqumTVx4P3qXeLyOXz1VGvBpxkOg+BMRzooE1o6zLthhm4mS+hVMkX0XHb
pDcuONVZ6l9asyaQoGZXX1GdXiEXTtQakp9LMsbUuf8SZemCPTdUkm34cEcnN+4n1Hh36Gh6C4L4
yak75HkL5ZDEImKeFK+1FYBtKVm8HASLW7p5gqUuQ74jlXVBmiOlCQh7MKicex5zfJZtijcyGrVj
ntIzTG3dkQH2qLV7WnAWiO7JAqbzhmFCGwXNTqraurSu1b5oYnAlTvDxdWpwZuc4WM9VYxePOT01
zzmulpmoCj0xsYmFPAvoAwlb1hOriP6lDY/R5tHHNY6RnFoEfo1kR8VC6J28cjaj57lrrU+VNIz5
OKeEd49ORZKDKoy2m3YONt/i5BP5eiNT6flbPJunMmrjq9Fok1tJNgI6ZfTISkM8lb181RUiPx9B
64mMo9rkitcJ7xT3ea+1shNrf/uTMmIEaNwe5nUbjcEDaOACvWMYj56jgHbgNIYVlFrB2SULEu4i
GvNuJmVPaje79lOVhu2mmTrCBkOVjhtsAQLLBsErVEMnri91YLhvpeXw91ueWPKDl0Z2/BaFYwb1
VrRxs5thQJW4pv8Xe2eyJLexZdtfKXtzyOAOhwMY1CQC0WbfspnAkh36vsfXv4WkVCIpiSzV+A6u
7JpJmcgAEO5+ztl7bXw6WGZS4zLP4p5bl2N7WAjbezs7LuIiVbg3WNVN+F9omh1BW3c7y6B9hz2a
s0jV2TSSR3gvqRh4rDU6/12M5oDFQmVhQ2pSO59mKI/XxjSzLeR4xn26+O0n2FXeJdYqlrdUL2wW
dc+b0oamuzqr11eJpEHMGFGJ8ld6rKW1lqzpCQqD54G444PuIu+yHXk0mJs91sEcbjRG0ZU4H1dr
YzxKV9r+ZIXMIbIqJj5Dpqz3zYAn59XzNBCbAZTEph3uVZmxTdySKydsJswyHBcrnMXltY3N4+DM
7OM4K8ivDBb1spAg2G9fl0An6qE5OpBeCVoaTXDd3Vi4UFSrkdFK35OWmtm48JrOaD8VFsJvIj6Q
kLCz1mQ4ZeyPbWyzTuevJMy5LqE+Yl52ODHM1DWHr3+WKFZUJ4JqThKBsbJgHbQcF3UGqniY++m2
Gzj75i6R5mLJCgKH0B8SOdLPoL+uBBgja2s2XvluBHEW3Uh7hSLHTHXy7TisUNKCLEDnXtVV1rJb
aNwLyBWjcI11xCYzOM42nBQRAmmbMF2o7fkBvLL9TkeChXVukN6NVTOBGsjourNliPBxpGsGlcQk
xkUtltuyLjriISsN81z1kfGla2o8i/3oTRv+Zk45seF4z3JCj4Kzi87itvY68Wg1mEg2IQmN6b5x
FD2OcIrXO0pDBJyKPbOt95ULzi5vWKoegvWJJonFY3pl9mYtj9EQOAI3nVzMxvRt3MXxLnNxADyj
Sle24j5xtHzQVmz0D4hKMw3UY4zCyL3PUpcQMz+tvMXCFRRiydrPKTgD8ZS4nJbDwzR29sYRNjFk
ZmnvYlMxroQFGPsdMW2bUc/ykJNVyTRYwoZPVRNdW3mHOJ+QsB3/q/1JkSGSJUt1xeOv70uXlSUd
IuPtZHjx2ehQlQ0tkzA1u/kxlBqH0wQII+tHm89Ra1LUUZ+bjneh5jbY1rl1F7os6VCMe1i4IVjc
RSD3n6b6VA4wRMMuE/cFeUjAGFkkNsnQxJCKOZF0Ok+/gJ219+5QBihCS4Q5HQY2n2/gyDCn+FIg
qAUhd+NNajzxXnMw6GvzxsPAcmPn6JIGMydkbc6PU2/XO87GwcOke0RMbKI+KZrg9ZS6UWanriac
Hnc8bfblYsrO7Hz5gRBx9PxgZbZurnehl11hGwKUxK26MecqfAKa2r9rSmldlwODji0xeBwgp/qQ
eVlBkNOtlYt7Tn7FDpGc+cWGQn62vmau5ijPGGIVDnxI98jM6LNdQw6/Vj1f4b1tWyMj897MSg7a
xgCBlx243czAPVhBIpMVgv2K1bBLXm0Qxklbc11dtWnGS5pHrDYMVnkjl2FFAwRTBpR8TseEYNk1
VuHnZdRadXxXGrvUUejCaSyscvQfy/5lkInHjlcdK/v10D9M2EeaNbPr59f5S/VDN3RNiEBob7qK
wu37ag2Kc9cnZVcdM8RDqEwdRzzWCByzjZpIcdAEMEXn1+Xw59f9S+nPdUmisTX0bqWoFL+/LiV5
ZiXlVB2nJNMvnQEqMm8ngrxGJ2L9IkBrvtd4nFgphvWU+/Ork0H5492FiUFVzBecP+I17eGbhita
RbonQpfHr9mBi9vIR3dddRNnDeHpwop/mlVDWbKevKVCFbZ5/RP+M0T7RQ+fzADJw/5nS8c1m230
X/5L+iNY9+sP/t618zTyozVgVOiVkysFj/gPaZJJL399tKa0106WyTv9Ry+fAQAdO0ZcfKcYBXzj
5Vf2bx7yIEZsJj40iW7p37T0lfP9K6aQMiryR2lg4WGhs7gODr9t9NB2qvAcOvJy4TAdLoe4Xa1r
finNTQ4u16DWxsfGKQEflZ3gNVPW8s6QmRZbGYtjCwH6MqDjuJtrI9+HnB4Q6S3tVRkWR0S3/dmt
R8dXmacvyr4wHsCrV9uyCI2LLnbFhuBA/TC41cRWhmJ904NpPIiqLjf5us3rtp3J71vEXiIJLKDA
BRbKUA9FMj+ziezwmMbRlebMfCYGGoVKHdyNS31DE9t3uI+gxSpxrNsK5z3HXOjz+ixU4Ad96vkc
Lj71thj9PqlalCpNsm2sYr4KmN7vxs70p8FkaAafjpBWYxckidjP5rIc7BKPbhHKg1HYxRtvHpJd
W62h2Qhwsqm5aVJsg6zm3UsjO2ufObkLCQaNtpVzehK5gNo518rvCtc7zm0f38MNLf1ciOVYpZIk
dgRH1MMM/cMuuWlmz9zWQPzYyACQIBXWeMwqHIKMaf0wNlCL5f0EnSBrz2nsXEWCmosi494z83HX
YY/x8v5YqREjXibRxHvw3RV7FpAZ82AAk9vCqXm2u4HQ5m79EFXa+V1vBXj2cJY1tqHZ5fsPeev5
qGzyc4Vg56LixAZteNqVi7Mnn7Xa2zhQfOw3kNzocG3w1h89CJ3djIXFTSVAxyUwnmcrLjeU2jYm
2srdWD3YHKngwxkDihtJQPYjov3l1Ap3wK45oqCehI0pxJj9djKVX3Bm3tguB59eo96Hh7HzRPK+
mip1UYMcIjMB0Jht1X6PthxtVXhgiXY2Xo3FKMtIF0zqx7LVz+60XCZydDbhoNXeKGJzR1swOjhV
/rKQvpLUnTqsUiJq9LGAAJgY51p6n9ViJH4HwdjnnXgkyX6jR14Jtwnv8FyU+z5EQCrBMW/TsAN/
jBxItZm5EZ19ogkm3s9qAUrRtBeTkX5YZjXtJsqqXRIzsbYLiAfLAubIyHgX4iKpMZBXQPAX1e8U
sa5bypfaT0Xz1mi7HNbsFKC3bwHRkKtwEC5PsLQ8tddJjp7QSp4aqcMremX53nI/hF5rksHi1Fu7
0sYjUH5E6ShOlO9kcXyfD3AMyMxDjJJiHse21DyaBTwqxhLp/cJ8wm/b5apFB7x3UfNTWUd6v6Sk
cdv40nbFhH2mk4aJUaaBKrqk+Q6bRYTXKJUAbyxEUU6iTwLLMKBtd8DkGZ46e5AXcA1632BS/4R/
n7voQt+TwPG3OvRG3x7xupr26n60E/MJe5W56Qyh+ebWyJWiillZvwik8GnxkELgvA2q3jyLrsV7
TC4UAsDRSCO44OB+pw5SNgCsdGdR3+/5U/tLxygs/kPjsqA6PUCCujZU+iFGULiO2KCD1czfelox
vrNwP6ultY9OlDGzs8wveNBdn/GbfSZcgz6k7h4ADp36YtBnFzHbKk5ezdT1bjSR8UQosaAwZ9pX
tLg2svY+9l12H5PZG4j+NuuhJ5sEER3m2PicM3XcZ4wmm865jEf++9YpDhzr0bXjT9g7odFsqT0q
f17PioDCXTw38UtdhtAk3OUB/RqRoGveVJYiMhjdvtty0Jp3MsYR3RQ1r1Som6tZOntmqy9evVYa
MUPIIW/th0BG4TZ3vN1KGTP5qh0mVX8e2oyCYsFNYDeJdTAzIc6BmxHDmslhl87kisxdWvmjl7tH
qvibMpPvtW4vk1DBc7anZ3fE6AqLu9sSsapx2sXFo+cNb8ApjD6t9s/4TMbtEKze6jB7lKK/cFTX
XFeuPMclmlcbrdtV5pBjZza3WUS7JbAidxvU9ZemgSUZe+gb7aVHsab62A/sOdnVY5ddzlAJYV43
7sZG4HnMErDPVvQe4oj3OKv5WGaFuED21O8HOdf7zs1QZblcsViWx3pQ8S0kYXCabEK0CyaSbCG8
EBqS7ZveJgA0tx+qFCEZSrgYj397CpsafMxgGRQ+gMAYqJh+lNf6XZZOb8eg74/ODBCwl9Dtwiza
97IbD1MxGXsQsPbWyQePOFK61KEDfEKp9Q+HG1xTa3V0eZGS3pcQD3dMoPZTHdMO1yo7ich4A+c3
wd4/fbJi2IZW1vcnd1jIf4jjhjS5AHjGBJsbHuV4CA1WOQxnWLkxtFEDSws6gmXvQ2e0YHxhi8YN
JQ6hk7xBoGyfFsN9nLv2oqXDvqmM8ItlVM45K7JgbzgZOIoK7zgZO8hBVW6e3YryoIQISgOwDPa4
hUofUuBiFR/oyhTdE/mVAVBcElcIggFwQRlYIT2u3XJ8pg7K4fEmdGYT4oJ4+3IXUmjjAX12kDSv
XzIaPHZrYasu44GsmYq0jyerH5Eo4/abG8gKO7stWb1TkKSYuNMNiWD2vaVyRzfvSuC/S3FurKF1
vG1SrsXPpkgyymSyeCvAIs1/JDKf/zcD8ZV3Ra31z8frh1dU1l+P17//4J/Ha151oW2XrAkG3+so
+NvjtSbVgsbFV1f1n8drztCKrh2JF/ijrW8EM0qSg4H8khMxUjWqTf1vTtfSWifD35THDOoQ8Jjo
crSgjrNfh5DfFHCeyTsdBLVxoTC33aFmow3MPnDKsyXdOYTi+CYl9L2V6eHglmrZCTAVpzXq2Q/B
/JO+oHPksGi5RN25nHVNcJWcQ4ttUYpk6+giwogV3oeVdVQpZMxANdlWqeJ57NPbUULAwG4HljyV
EejQBPZkqzwMm0UGISFFX1qrTD50BTqaqiJNYbHC/FqNQ/uIYB8qEXo6f+6b7JNpoIh3rSdEnV+s
qqs3xNXczR5imKTUK7UPoxyg0T6/j5OlB+Tu1hezE+EVn+o8PQwA6qHRF9PlPGrnlIcY+pJk6c6q
Cbx91/bwFtJy0fRITZNsKXLAYH1i3CYguQLENdUWMCazmI9r/2xnVqCiK7u2L83GPaI0vq9MzOFW
54mrPBUXRTDlfjJ5PSsJEtc0SvFO1m6w75jdb3lhyh0mW7rRYUq3FiZSmFoQ+oouv1iYdewd23Bw
RcAZDHBrb3pFwsYkcVwep8IS9tZuYUGRZv5Q27BSxjl6BvQlyWC29WlSzvCuEHCGo7b2fHO2yuC6
amZp7rIyihtvC2NQmBdDEVjLQ9FYKfK8eCxd42OaTSRlI4TqjWXfs8whkC/Klkx7u1Tgm1RX0x5D
o33PgNTFTeiZBEy4tTWBORvq8ZAzQj9Kx8bASLR3sUFv79xMedEho+pABHKYyKMOLHBrDbQPYvvS
SRvc5QJ4zc5IF7hfnGpBUiS9Sq8NwPqV4Rv5NFEZIqpe1z8iJF+XQ4Dy6+rIL1rXyurryukERbeu
o+ua2nxdX722jNfllsigJhnvgi7ND0UNuju8sZyF8dSe5o5JsB3ZDc1K2ZnlrJ+QgLXmgzHMmFB2
hpdkObKukCJH7k1QBWCY6NuXKLuuxriYq3rPRlgQCpOZ4k1JaXg3YkDLN3NS1HJPoUqLDk0UlglB
n2pr9C0T1XgejOcotePUl4sDMYfG43SVCtN0N4VXQ3YK15CyWgb3hGBiv2QlYRNP0ip6Duwiza+N
ZAbAnKMmv1mGUTMbNJwRJidmB0zPRHGf50RERwJ/jV28MLfHzN3jsoO+FtJMbDC/xZmX4pbU1vs6
UtIHxB3e1DRkbzSmZGBBVbWlw12MB/4ARPFma+/ysDZ3U5Etx3jGW6ERhzxzmgRn5dRiRUDNSZtt
BDDzk0wSfLquDphIOQby+bZz2F074kAEkHai2kTh8Mg5ozN3sLp5I4ZIUle23X0/OMVt7VbhwalB
XIvBvvGSIXwMsmq6AEUgbU4V4fJVl/GfftMv+k0IKyWaqn/eEB8/rylO7efP30rEfv+p33dDV/ym
KavRCH3d1H7fCT3zN9YkujzSZQzq8s//2QmhhWgXD4iLqATg5Lrf/SEPs9RvbJCrO84j2fLfgkSU
s2YcfrMVKlcitCGvzhSWRr39o2jLmRu656NdnIwBSF51IH4jTIZdYIyj3HS5STOIeDc5XnZynrd5
W8++aCfr4ABmOtY5EfaBHYDmh3wprtta6UcYR+lOx2bhh6Fu7S0Ier4benrLelXX/mzZ1osXkp8j
KzNDQGpDBiSYbQcu5FNfVN1psNrwYCNv9WkN1VsRpJD8l64/zEjZIERaikG1N7V7kKr5NkMVycKI
HUZVNblxTZufehbGvRnrfd8iTjC7wdwOSRzeiIbWfjHH1CyRhdkYMhYjD4yD5dtI9PUBMsBybods
5b1JrT9gD6qIEsmrrMZ5EYZXZTN3TynJcZdTspj3/dhIv8iQlffCu0IcWvtuHobv6e0zZgaEdVzw
x/ppDK4pSMzm0LASH8eY6SpMgruyKp1Twxh3r7HWr+lr4qZwvHNYpL5dTumtARGNHV2mGzGP7i7D
QQVZubYfGtOiIKiVuTUXpbBnT+2JKD/jGBgLtMU0Ms5ZS6pFKmscTwwzfJjf5VWtSaXfgUzG+Ych
/lEwEd3RgQSZEeT2gRIip6OHG9pc2uWuGmR75WBeJsdBPuopnz7OADt37ZigbnDS9m4hq5FxiM72
GrmWb1TTfK/ixPnQI9Ktivk93u2WviHgrn6gL8fhL3ge3LjcswDqT1jN0vkK/GJyFdq4FDN2iGhL
7m++c3Mquzhy3SOAr2bPlDf2Z1PIHUJLuZ4eGAWjdfngNsX4JYQLuV/WZgi0v7zY8b3BuzmPLQVl
Uj1FvUie3KmcXwxNC5da0TavDNDqF66x1j04MqNN7EXVrgqhb1KbuH4ENfIcmLq4scRQXtHuf4om
o+o2hqXqIw75FL1wbZxdLIY3Mm+Yr9UoqmHBKNw1sTBy59gbWCD2DQ3CAcKIStPt0q8M53jZJ4XE
rLNMjbWPVOUijYblA7xQ5se5d8H0LR6WaamwVW0zSQvHGjmQMiEDRtIK5m6TXPJbwyBK1EYlF0EG
uWq0fCmz2gkuiTSaogsyOd9osA33eWkfAsMVBmFNvQrkIaPZg+lu8MbC+4gEpI53IE0WNsupvW17
6eYfvYJ59qUqICm4Xf9kA1u5hasQgVajVfGoghZqSdOLHUwH7zyi1YafHLTZjFpFV/fVZOQkCbKV
h/Q3Ocw8yWxUADdsM8XU52PnKFGitLbbGgy4E2ly6tDc93yoln2gE+iruzIMzHcLMpRua1LDXoN2
yZ03nDNk3exakiHvCo6SwadkzYCw48XbsMKxIyoDswmcM95cOyWMIe8B8SPiSrfTsA7jzM5LPjhG
MBtHtxjM8mSXGeSC0u371P8qf1phYupqDPNVhoIyL0Xhz5tiziKkeO/QDxT1ON0WsEw+wSvt0gPc
USxzzlwD0xyMmNNDB6mVgHY75ZILsgfsoGAxHi18uoROkPCcbEy4GAfWvnVolOIM3EhvzWnMQ1o8
myH2ivIG4YIs4WpzeLG6C9wutumX5UC/wpmcEFNNoW+mlXZkr9wj08wGeCc293irRTA/ovKV0D9w
mABHb2riDnJvPOBK0VeFp+pTGnt87yc78O1XUpPsLefQCxkdCmdwD+WKdCpgOy2vlKdG2OXltKKf
AtpA+3Ls4EFlaDpXK9zKiepXZFSXaHl2oUjZK06K7yrHTBHqeNeEpWXsMbSYD05WJTstW9qtCOiM
DeSp4hrJBDksg6OvOw2w136lWUnLu5jRCpG/QeJEOqnw0DWQBsGW97Ru83aZP9Zz/YE9qrledazM
AFdvIaEL7kaatfkQEu21RzpIwAIKrTuFv43NochOGVrRm7JzmZfD1j4PzMo/LlLbt3Mg/NbR4Yml
MziCwDLfpo6IfcQ77ruBPM8S/RXpP4ldTxfO4ixXypbuJqyn1K/GOQEIaMGDrMvhGu3dHjyc2kyd
CeK8syIs48lgqV0CBvAWn2OChM47tFlRPS1O2Z1mPfSHNaTzYGM6wnwsaLYtLWbSkULlxoHam/jN
JMkwsVjiPbztPvgdyBRc/2HylL2RIsYeQQP4FkMjnbolSncKUvpB8wH2VZsOHERHFbE0LuqtZdXM
+Afbq17wJ3VX1Dri89DLcm93OCdTEYijbmvrjTFxPekRRoAzJNwjDqxQPnXZdWqO9XPP9/AKMmhz
a9vQdpF0FFsIhMklMMf4QKE4XKelvWwxOeljtgzva1fFl7OKojekMZkkVQiPX9JqTgL5Quqwy3Si
zC3zup2wvG5jvvm3duJMhGvp5sV1CoYvOmXwsXR3DX3LNbHR1accciM26gjHCLXrh7HFH1JNRNKl
jDtOkRm+CXC0wyQE5IndCo2UMVs74Nl0HU2BsqIIzJ1qwurKjmPzwjLa1YvRhIgxDKvyFVxNdJWi
e8Io1rmMMlALbRRSNs8Av9wOk6aUZHi4hUJKHBvzqA7dhYtJYGOmWoT8NnN00b3wpW6GzidMxX6R
EzhAIhXAiTlmsgqdGpI1+VaB33UerCZxEWagZQTC/tjquYrv/jNP/l81vGA/MFv95/P982fkZ0X3
3en+68/8aQDhVI3QGRWExPLI5PePXpdD2irui9Um8LVrxZX+GCW/GkAk6X1/1gV/GEDkbwAzyGHH
Q0kRYCvn3zS7flCCYEnjywYt0LIoPhR+ie8Hya6A1gBo2j66bktaZEQGQRLW1lc5wj/C5/+ix9AC
DhSCfSoSbGg/4giDfgAsxH597JOiINbO9LA/Y08nPXKYbnPtWKdsIRnHLxfknd88j9uvtcq3Toz1
eX1fwnBxZvmuCY8R5emPYhD08mRdIcY6hkTI0iRqiGcdJvwROaeN+wQ6zkuIOw1eRBFbPvtF/Hky
6ALsdKMtPwOvjYwHGmg3uNnWQn6NmI2FtnWTAvFfRpu/mxsAsmG4QC10gvtcZ6P/f/gQCBE8Gh00
JNF2fv+czEZVSL+IG6sXfGSTKpc9kSOA1Z1xfqrR0m4DkTrWzkBGxYxoqt6NHkJ3uwxXdkbsrTB6
Od2iB2cVGxbYpl607AdqoxNEjRTNFmzmPO67/Yy9HMtADnH455/hL14jnoPraA/nj6soa3/w47TK
QljukF9Ge2r0G5M1fBqaGa5x8uXnV1plRd8VreuVXPwodIVdfE0/3Cwb+jf6Aa40MCw/zgxzDp12
63PTWfWdaTOn/fn1fvgSrS4Y3mtGqJJXHKvR+gZ+0y+WAuF3bmRcL4ybO1YUTh89iq6fX+Vv7h9l
OEwa6KGuxM/5/VU8YFIuB1H32Mgxpu+cfKksLz6m7a9cKyt458f7Z0saZg5fPPRTPy4KSSikhwzU
PUoga6fFaektwU86zKsvYM7BKGxEpFsIM116Pw/IeauMnVYRPnBPrbFc5LZd3zWzRvOlBxzeiJg5
Ew/CAkqWVcGZOd18iHk3n4bQKVAjLCbcRXyc+KNVyEWQBGCYdiWJQEQBvxn1Eh9/fje/+r++e0vc
tcXP7ZSOS8PEXsVr3zy1gKSePlqa6Tgm8J3zsIR4EQbtCWBDui/TVm60VX6ZYD2uh196ujAJj3gn
GC6KqtunVcNIk4wgVI6F5UOyM98IxGTXNtjg986Y529oEO4aMcoH4eVknzZjRriRhvogzdSDYBkT
vDRE01MUFvQJwng+pKjM6da9ZzlLjxro4U3YS/s4xCU6Me1F+FMDubM4LR8N/APbkiS4HR5YcWit
0n1EwpecEgO5dCFqOsYIKD8itGXWjvDspKpluKlIjYRhuDjqMndRKA+BtneU8gr7C2wbDYQ923Yi
LIGglulzBxwnq5k7QFUxbjgDzp/mGXikyyh0h1TGOtiBSlBY60huyTjSvuEs6s5mcPzIoCR/g0Qm
/VKJqGTaanr0iLwGQvZmhOS5KQFfvnVc2hlOLpsjnq/slMzJdLkQmXijUdD6nRuvUIA8Hm965h0f
GOvZL2bd7iDKJBBb089GarhX5GgaPvGZdJ2d5owHmb9ai5oGh3eaBqO4LoOKvKupGDsUwdA7DSbx
5L9drvcTinRCmxiTCsggEJkit97ZkR4RKUZQgtI8v4ScMj8ZWdpJ/q25XAvU+Cg6166ryf6yTfLR
IrXNc0+cmK2XJtDtbcJ9Kk4dZuRt7bTWY6r2BSEOOyjcGNdqy3op66bcpwAZfauaGNyuuJqnAmUR
UWfTyKMhQQobYXgc534fRdadDPJ+x9o2nGCiz2TfTR0ky0h+4gSY+40W1d3cZFdxQIYVORGUq2EG
SChImw1HZLgFJhJqicjdDCFUJt4UPhRJeEUUw/sIrOcx6jrzPhBQf5NGv0EGAFmnKPwRx8LWSLT3
3NmBi72hEZfO1I9nqlewlMMybXPTQmSRgK2jmxbQhTMiligMC2LNEVOIMclqCL1DSn7SluSw4B2p
cTN/zATKFQLRljQaUpsas0YJwWbk+GxDCDxCVxd+Msax34daHpqW4GGbbILLzuD430z2/JKMrXnX
x61D/3+m+t+YMqlulnLV3IpWMNCahTpFqISPworNo1PyddEGp/0UaZFEArND9B6hv4jQdnQRcb9m
UnxsBhW+TVB1fNJOO7+1hmY85647oK8muXtA2XPZEH13INE22KIIH0694PtlzClxWdkM1wUliNOK
Ewk7zlL7otYklMJdRnqwTE9qMIs93eXoZJJeuFNZqcDr9+TmWMiEgWYWlzEOUiQSaKtRrhWXCdGv
5GLA6DvDKk19XcKONTQtqbo1032QDPOXgYyF8hqyReYHFYcCXLbmpsH14lcyx/cWsnOIJVgr377a
mcMod3zi5uxo5m0jNjMfpfnMNM1s3yzeqG4kX9TrOTZrlOwBeCx0q+XwmajnEZiVuYBVSpqPkUNM
B3lrznMUQ9iHGSweDZPzRVbiGUjTkdPJwJEPqsya88ZcyA9Ivaw3vYCLMZk6vc9CVb9FfJ/6qbmM
KPo5Fxo2IeFZitNsVHW6r0Kvfy67lqiRGKvQYkQmChD03UnDh6wrjl+aVLjz4in+rtmqrq1oIR0d
OOlhHi0ydxB7IiOHvkNvauCTI0K8WbV2vt1bEj4mgE80/eHN4lQBcZRq4Wekl7VvQq1XbQUWoTHt
PTixAyr8gHYhjRnGYYDM0sTeMXq1bwQLA2xGLEUVroEjIYbZ1nPIQ+WsYsOP0h6SzKw5D9iGEftF
8xfOwMNzPDSs66Wsz7CEKL8528iDgPF1CArDht5YGvczF4hejTAEJDjYr2wgV+9HtBSY3Fbrl+lU
/L807O8bE2NYs1rETNdG5oH2xxnq8tCSXj5uOC9aF/ZkHhhMMn1reut6ePWfRTjRsM7p7ZAl0b5c
vWol6YkiMOR27Lp4Y6cYB2jQAOAvALGlUTgcmlfvG7ffST82yq2jS3rs+ONgUjH2nIqeEV2Oe6Kx
kI5denSSK1bWGZMaCEwVXU+jnPLl9Lq9/2cg9auBlGYq9M1JaI1L+z0Gbc1j++//9yZuP5a8ft+B
Ga2vP/XHQEr/BsNEkkr2p8T5j6GU/A1FP+ZSlBjrIX6dPP1RsgIRQtqMroN/I1eK0P8MpVZ9hmeR
TIsjX5oupeu/KVm/P92jfeaoRtSQpAmJMvsvPBMOrlHasz9feKvd9NXpbouiOYKGxePT0ep5+eYG
/U0F+XcXdDBJQC2wTc766/H/m4NiyqeuwCfbFxZdPF8MrKGLh3VK46A5hljSr39+ve8P+l8/oKM0
98vzqGN+LJQgHC+tJx114ZSRfkk8LkAWrHhs7eFXNdn3J/3XS/GoedZY98Fp/mhPb6IxCvtUqAvI
5/ZL7CScwrqFjjQ4PjgJC5gCJyVGg4Plr7whf/MpeZOQAFGpwZb60SUx1il7k9Goi1Ym6lS4FR10
wy7WHn+Iu+znt1TQZfmmpHn9oLyByHmAliIZX78j3z7DCY11TgyUuhhLzYWcavWZjomJDX3oHE5E
hZVU0ZkZZEvjrYmG9i1ucPxtpGsbW1MW/66aW/8gvCErcYPprqay/6FGRWAALzwM1MVXKzgFQnww
YXAc/o/XAjJE74lXmBfnh8oxTMjniuZZoUnCHdsrHIVOl0+kt2I0//mNXu/jn0XV14+1TrJt26Hf
ato/lMJxV2GfKnt1AcP6SyvRa/QyN37xNP/66iDy0rgyuIeCVeqHh2kOiXI6mamLJW1x1bgD/hlX
42QXS0rJ+fNPJL5Xg339SDgtaLogSrP+wi1BzSyGhSi3i0TGKaM24n8v2BFXoAfa3XcupIUXIpL4
ktJmuQd/YZ1CDA9fN7R/bKH9zRsMuo1lj1AP/g+1/vdvcCAJzgp0qi4mtFFnC/YmiR2BR+1ttLyh
tZfnuzSVzJHmpV9ZAOuX1644iLCCNL+onv/uCSiFGJ1xAdoF84c3KsUYMuUpuv1XmgGuGJJoYXVf
qKr5FdPk7y6FjQuKDhwVS/74Rk2V25SNU1sXMeEO954X8pUFostS72qexM8f9vdLPcs33Q46OStz
gsv95fWtoo4RaV0RvACcYKH1j0mrsDLYEyPG3oHazP3Fu7zqJ7/5xqyXpJ8DyVhr3uaVOPz9c63S
hbYSIv2zGXBQVW6BO65tWsBO8DHv4xZWFdFly3QbuYl8fIVK5OQDXyB7p1HCjJystprt73UFQQW3
6rcXicM1gK2AN1bQOvj5TQIa+P3fzMaPjMLhRQT6gnHqR/8g4KpETbmlzm1m5nusF8u+jDWiZ9Gm
PXPQfJ5C/NVJQ9RxmVSz3gl+2R2FN5ASSKz8jUEe8CADO+w+LXQ2P00MWEjaiJbV4lwbrLxmk4hh
Y4uR8acIPfVCQC5WWV03nKr5sYZOM5AXfg71guRoLpP6XTc45YUbKuvcJNzA10CWW2Yq8E6wU1HA
LszstlBLanEUrc2vBqRAMZN74GGIoYjJiQn72IKBWtRcw+VOv8adokNEXaIGiBsbkkgRs0Qot3FC
CVADBEQtBwOojz6PuL8vyPbOG39uBGiJVwpPmmT1O6cqZHXORTzfC5f+M7E1xrBZcAPG78XsrTb0
BcUzZHN4zc81xdO7okv1S8rwCSdKIu2XGUr8J3Q46w49DPZLPqfyY7UE8ojLob5vNC5Ye8Qj4sQh
0kPWX5SnI2hfpKizoCqziBFW6zAJrzHJOpPijgagTWYl40NgWe2npmVqZZRSPFIPcX+8MXDu2zZc
niWtvE+Vt8JFXulxYmraT2keyrVTBvRnaUkR2broLp57AoH1hhk6EatBwW/Jk1k80twXGGZN4k9e
d7mCnZpxo84IzsmjJqFDPzHGmh2HN1tFxB1vcGouzjlaDyYGs72vGBMzkdN9SqjrtMtMA1CLTYTa
dR2TheGnYPVeHJ1yN6lNK2w8pUssBU0JnPHVul4aUIghq6iB7pckCq/e0iPE7fLqtNdlxPevNMMZ
yPaK14mMPONR2jkAl6DEFuc7zCSr3wfyorB4lwcQtM+tic7ggBoCP4lhQQEQLntRh3Jv2oOH5dDR
Ff+fvTNbjhu5ou2v3B9AB+bhtSYWWZyKk0S9IChRSsxIJGZ8/V0Jth0ttW8rfJ8djrDVapM1AMjM
c87ae5Pyu5VM+MklKKgarbT03ghXxTBGZ6oygFBRQVVnqUfhLPZxwSsz2NnCd79Uw1A9hUs63xQN
QSsNbSELq+HCCg/0VtVVWtS45RXgrGROTKTtVkvd78w29p+KYkFYAE1W5Rv8W+fbkFnJqXSTGuEx
ge1bqmkEAp7hbun9z085E4g95tNSXuWmnlByT+LmDBR97silJfA87svvtae6H6G7gEfYQX8b+R4B
ifOUQfb0OSvTdilYuDDdYnbcGbP8TDtPtQe4DP8b1ngM0BmxXOMFrcTBZG4Ag9ET2ALyWV0MdV/f
Qi1a5BOTAPVFOGjlmH3LG8y8/YummnGDmbuguQjb0X/FpEGPLeTyBW/B+gpVgJg30+guX6qiyfcQ
Qcu2tQYuYxh7hGLmY/Ulk1nQ7aohaWk4qOBCH0ZbDSzroCNVGvuGM6D2Cy0PzGY7vTARqUdP6QEn
A4MwgkZeZooUvdnr5+8xzeN9YqQGbHVdfk7zARvhGS0Q7tdk8mKugg28egPL5vlIF2MX41i97Qdl
HUpZ84tC41Y3G1n+nZg2GPhXYu20irnutnkTIeXeKBoGotZXXo7XnHTpzjvW7O0qLEA2bhzzQug1
453bi+QyrJFGFl2b7LBSMPZ2WffPMvcb/HOq9oCka95WifmtCNr6c1TgDpVG1nRoDZRbJC6YFxF+
xWd2JSxNF5b3a99txo0UJlc0EHZ2XeNEfG92vbzHHYmb2vA5kb3NcYdjAt03XJS0jdK+pgeSnfwp
5oBtOwhCtG1N9y6Udqiql8h6QpjJLQuCF72oAC5vH/aTxyw+TSZyHurGxJ0kiLFqsT2jfo0td7qn
c2RsV2ONro3Yj8PewxmnsN369OH4ZFqTbC/ytGMJWr04VlcjY6KOwkmII5w/LNbTIF0e/T7xmqM7
EZpy9KxcvkrckXhrAcmsWFJUBfkejeA8h90E3Zpae+ZYSUvIn5eh/Psxy8Flph8QG1kEXbuvMnf8
jptGI7ZebnifcDmPLlUStUf6tSBc1STSflNYWfK1Hbq3THrO3nNTIbZEsDbt52Ih0PORyGasKMkH
CW9Rt2KUVcB5o6lqjpnhL4c51CwIoTRIIwN3fB48VT74Qv6wi+XzxDDgjj51BxlXEMlog2Ht3V7a
76JLxPuSpuOj6AOuHE88sirUZREzF4K7N0OSauC+aIMrfKeR4k5jAXff4r5DNBYgw3jEidwEZavn
m6Ylz8AnPhXT+TLvrY3PVaDTi2T6xajgyvcwEMXNpJR7RwZ1cQfk3D+UadgQDma139zBKPY1AMnX
OvKHU+dL5HdebKd4m4UOVoSEr2zGnmA6Au8LlosoRrZZhu7VPA5fY2mMj2Mn8rOFVcqNSoX3JR/9
HNErlmTsldqZvpkdcRu5c0p8DfHiRjSiwE0G0b7Z6ShPZeDAX6Vef2I6D8Xodm2p6Lnh04GeCi5z
smybhCNy16ZDUlTOk59LSdAc/L9Mk/janPvl3CXkAkRkDr0SYt/0e7Nt3fRqSqfJ20KoGFiSxGOY
3/oTNNdFlPTtkSrXuM4wOXnGuROpqIEIs9rYRmDmWKSG4+3IDv/DGpr2pkdMfDGxEZ6qrC0J2IoS
OpO1RXmRsLhdkJJjYbvCycLYiiEYzsIeRmirLKbJBqmqXvOpI/luLrzrKbVZRh1zjgBOiJ0Yd3ap
+hjIpbZvumBePBTGDXHAYRG4LIjW+L22/T4+RAZCTSGFe+m6DV3Kwl+ObR+kD21pNc+9NbcvYYF0
ephwl10ybebCFB6tc5KQVrxkAeONMUghdckCop3NPtSZjKlJ006LnctXdT8s1Cmw8YHaegAvd7YZ
TM+mGg0gm47JQuo0ziE0HBUg6Ko8dAMBXHBtp1F70XPv/sA2f/okQ6f7hulC8D76OJ0fTOn35DAX
lseEpi4C8n1DRno4ozfpTiXLjHyvkz+8ZBL3bVaiVVnStrtyxolIjbpGIwKaRH6XGyjC3tmd7wxi
SPe26cfdLhIaxV3madoQY4C8z+vdLjzlPT5jBmKSz4k/4+QViCW7M4GXzU0sq+KuigpU+czijXNi
OFy1ggaSy1xvLKYe+6pmit2PCvZ/vdDf9UIpXGgN/AO8kyqRVintwA/12+U7SZwfP/Qvesf7A4NW
/sqGJdAMPv2MP1uhofOHHwQuPB2FEJSBQ2H3ZyvUif6gLIbMN3VZR0My+ncrFHSf38YwmhIqtG0o
8f+mFRpYzi+VWMjLOzRbfV2O0VD6pRUSDn5ds7NY8DtzhbCX0y5TvshjBDE3iI4dJCfxl7kKMbPr
Q5E8M/chyxYt8yml9Xfr1PgkMA1xDl4QW/FeBVB0BKNJqNBKBzUiykeUHF42cfcUM5HUWFrzZjoS
w+MdsW/iGT+X6sXufI685cjMbbAN9e7FFduxtrVx58l7I7aKPZzDtvfmSCbgG01SvHR+bXzPJx51
hn/l9B1RQxRkOF664y2P1F6hcA/FlJ1M1DvhhT/E1dPouJgrbITRu7d9h2c0E6vaeDJcD/oannDY
46JHiAtD/E1bptg1BJw8bi01EZlNruaXgkBQNOvQPHwttW0frWkU15m0eg6uvnamBlUim5AEr4PV
EKCBsvWrWy7VieGZxL9gcXeecvPPKmthya3YZeTNeKiInfHFtlF5AVTDAbsYRKC+KiWJYYsZXKxp
5ybD6FdGWIwz24nBv8kJjYzAAjuEhQruhXbN0G0D4sQpp9RCncGJGq/QeG17MFnv7LsmdfBhNGh0
PikYybceF+xlA3MkX13hkhocUehNo3bWsxn84GhWc9CKcrC1zWyD+Yi043RTSE+XMU7BEUvVHNxa
x8E6i1MMxzeHpQrKHpKG9K2ErMOtoRp8tNYmj6UQGFNh0O/hJMN1jSWo1KbpoWC2c1LyM54z58G1
rOCQ7GjhROV1ZfySEReRbtcgkW5wqY4wCqNFISYPA8s6x44H3WX0wnAd2YXCRgowXrtrIkHgY5Q9
7e8xqBGdTV1EMknSeW9yKqi6WHgpM9TULqeo0jXQXGIvRAubujlDocbJXn8pgOEuSWg5vmVXRJDw
BkZgXbEPBOo4/AgwCkWdjN+XiAeOiR7il2wXTkHh7sKg9u3bmEjb+NB2sYn1gRyoMUWdde9ZVkMU
kzmPiosMcDJxmOwXF0WWceKtOQ21AwSzyb+gvcOvZ0PnzyGc1bKhxuYbVOPE3ywNIJzrg3VNFAO0
BlpoOJ9QQDI3JB8i7m3zPsTZAJsyXtEPemrLwaANAlnCvdmsZkbZKHTWYU7BSkOTAtId7WG5YGjv
vpkwCeGH4adv0ttqCAgaMPyY1BGo3HPPRMpG+9zRuT+pk6p2TzA7XnmNnfL7hVPwsWam4NdJXPif
3C6bjZf1XYZ4posjp4C02iJr4s160ucuMyhSbiOFYwMeBi0UcuuPXOdcmz88dmMOkFcX+pIiINXf
SUYZdttRRZ0i3d2bVc0/R7P2Kg0jQW/IqAGRyB3lhlg7XsFYsEIFGV0hpOrWfEixovuxLB53ZOYb
+p6ybFy5hGeEJYGfA272gVVO+K7KfNpOQd6Nuy5iVNsu/vgAestpJJvxZuJOw/uu7q2Q+7QqLZI3
I3ndhdAZ0iNj07NxAd189LjLSjiMDVrCstjrT6vfIBeTGC2HqcRDlsyo9tZ2cef2bXwI6GA8DtzF
F9kYloeFnLOtOQgPjqFrv2WE0QK0s+m8YEw2PYa+QYieTeD9xlaEu2xQGRvXdBMNPl2Z185mqUlv
2najKpydF1UUNnxluPFPzNKOI+OXbw0Fr7O3qjp09hj00+Sw29y9FILhC0G5fL+z9s9UQcAK0oOm
84LleDdaHgGoiHMgazpnpDUHhr0pwREvnSl1CD8Lk4Q8jFmcK0tWD8VAKg+umzjZUvImNmG22mUG
tOC7G5TOVYwX4jHDWuW98ILlJRT9FBxwSM2uG/KFvzuk7D71njdfypJIRVqFNBBT41llhnqBc2p3
VZN39aaIQob6FjolDlIF9s1YrhbRVB3MsJz3lTCX78RV4YhCakd7CmmJkSif0bnZlEvsvBLT3J46
GlsY+9L5B9pR+Q3W+R5uJaOepk8dQ/A0XoJrTzQIm1X53fOixN1j5sV0fpqb+arqpvAWIO/BKtE9
78E2ESOT0NZa1wWanua8uE5yCesKOYoAYxmcYdc2ubwZUQdvcqOP76tBsZrMHGpTQ/YPVkU+qRgt
eIKoXcTFQCPyWuJHaT/HFLIvY1KoR4Qy94k3NA90PnE1F60FsWMFj1XQIbboIYLuGjc0jykair2J
9dxnYY8TpqDh0yJs/xPB2vZFPXk1AoyxqiOeD2Shx0FN+sEfj5OMSEmQ9j09v3rjlzLBKtBMzOux
XootVWpnnul91vvJJouIHq+l4zcVtk4DZi77YjQrPDLiZPwSg9UXW8o+LzuYZd8jXmqKot8allvs
AQ7qbTiZ3ZNd5eFrakcmrRgsWe76jMilErTmcvAxkd2OTvYFn0N5GjHBuO1s88uowuZGQuoSxTpO
0t8GVdxdtz5BUQOA5uMcGe6JXpR1zi2/+zHgGPJlZlrcvKGyKIYztjGxgKlYclpmebWVjfpsz0t8
pmCJdyTPgorRoL0eOvqZBapcNCfqqm8d406pDoWbTYIXbcrye9GN03WDR+wekxL7nKXd8EpLPt4J
4pzuIxl5WLDSxNvkFbYh2OAE8hZpUX5Ds9CudklvGmcX2cMucHvMDcsC2ZXrT1eyLasv0Lgu5ZB8
jnuJ/aOpXjq2xH1CI1jr9V4tDHgyXIivjdlzP4+jcJDc57Oi0GotJJpJcmoFOIsDiHXTBwpdGvhb
HtDOSkwL1Cio5YTZaNK5fMIQ1iUhjmYnJMIFNj/jlrrTvjDT5Loc8XW1C+tTzORtIwofS0gbYAmc
Dg5pKoqdJQfuAxu9YILAgZ0iipcdTA8eLz5b+AGewJw2ti2dM915/z6MVPdYK5pV5AfiEYklLp2u
ZcJ/pBvQUebeRvbi2TcbbAGUQWPQmSQ517N3iLqyfEyzmiDQjOPHwabW3012QWiXNCdj03c+spi5
TZL7Uivo6AjPT6ZSw2luHfOTofjBwReo9rxgIJaWxNVdV0ZnpzOHC1n1tAQ725Unp1yah8RDaUhf
tB1piWKNvEnG2rrq3aw/p6kP1BL7lyiYwus6h2Y12yLG4qrsX5I+AR4rIcM8K+RAMQ3ieZARBgzt
hOFD0zpXviyn42QKe+NGSYhE0uc6dKjtaa+XZsR8K+h9hWdo4vEklF2+lZPXHNy0Z3eky4ELRFAW
F3J0wxeJP/NmkJN6jLM6wHiriTNgM2s8hlmb7hotVw9jQgMnZT0ksXZ4VRnWUcss2hN55y6wWjL3
p0m59WG07ck58DPTTVBicLUNWG/es6b3f4B9jvs0973lmERd8Y0c3OYYqYj2lz5akWykNsVAwveC
PVW9hZb196nRYJGFAIxOXdjfjAz6d/FcdFu8DxC/kmJwyrNyuF3wKnee2d/ym64q0ANty4gs5qxL
nW2be/VDj0uy/1BEhoNKyCAKe+gyjgXV6H7NLdsUh8iv0MUPJmdBlDT5nWCTFUMxXVd52+7nnojo
bdaG8bnlGHCDL45k5aVJ9BmfnqreLQ4gK6l1r4LAzYclHjMa5CI5NHk/X5MV7N02VYJhTtQ0BumM
Xn/l1EV3mqxmvgirdLq3vK59SsbyqhmbkwyXaddEdnNXtnX7jRQQuLGuUVdI8uMLJcIXDmrjATxt
NwTKPYPvFYTMDXmOFdNUiuKK0KrROqTRssy4aiiZbeGm62xT2v7y0Dum/DrlJbEBLHkFOQYVBhAO
ikw0p2gz814Z5bdZSzaNCPGmAeqMjlPS7/oadhI4d64QeaoPyWdpsLhdxhPN9cQJHmq0oXJVidJk
QjHqVOZbN0byZsJAYZOG3AuX+ZjGXOdszokIyJLggZBrjyyrkj/h3qbyKr6nC90c8CfeMPjDtmz8
hFd2jYWdCkVwL2zZ3LP7XXYlO+j4mwn1ryNKHUeB2sRykJ1YrvurYALnMYTDgnMtvRv3ctR2zl6a
2E/LHLTvkbJ+R9J4P8+pyalleGvhQoOOxnQ5KvxCPpD2PZNZ1NbHCrnvdZdwdMf5Dm2o0aHZtOv+
W1IA4NyKIeydS6V8h64qxuJJeZN5Gd6kBg/2Hu7TVXel0jkO9HrllQKDeBkSxmtDXnMAdJcq5thW
ajdsYToRBT2xYo82TVq1R2Cojmnfy9dOZt5b7Q1j99iSS9sels6yxnZbacfULwv1BFbD4UTBJmI8
0FNHUIvkrBhPtEURj9CVeueWqX6QcVA9OpHgRN+tvvwIO+SriTv0dC2ojQy9dpoUWICP58Vo+/YQ
ZRQOF6ut68z/Ud25tcSQWiUWA7vWCuvXtRYu/eZ35NTP9Im+BgGIGZ0aPHlMmjN61v5XUosTMuS1
WR+9WWMCHt7tuNhjLyJ+Q2P8MrT/eCF8ZTkGMJKxf727QkUF1+DafCwSeHSaE8y6wNO5PqvPd5tq
S1dRTxQhiDZ/B9n8/dURt2iCCE/dyIGq+/ljktlhBeY81UeVSZT3I1E9aaOnypV2G58MXtXvAooA
Yywp2/7SIvsPNJz1M0qlv+QQ/gSMD0TCQUv5y5c8Zh7u1bGqjx9z6GEUaKFJObaf6FFTNiME48MP
7lyTXrBa3aqqp/CrRFDoCa/1tL6h/7U3f9veDF2uzf+7vfnprU2wweh+DuFmWdQ/9meDU4dws0h6
AMwfZlyoYP5scFq2+4duLOquJ4vdvzBPbXJLjo1eX3nUAKL+3dvE5JZgR6RQVKuBy6r7X5nc/rye
QkNze+N2Q2wdTic2j9nPNzlp1U3PcuKfy6Eoly37a39WTBt9RrtN++UvX8x/uKl/fqLWFyOInIRL
IE/4v18Xb+FNbsFk0qUnT+lfubWNPx4zyY8h4rrkCTNw36IBEOH/46UdWsU6Kcr/G/+TGrkFzmO5
ZzxLeOlI0fob5hHBMMc//ABCxlAbxuS03Np4oUfyzy//8z6pP3lgu7So4TChTVcrmb8umbaTigog
3zkXpU4ACw3OKFsmu2w9aa1fbtLtnn9+TfvnJeTPF+VWcfFFYIr8q2COEU7cCxnZZ0ITWDaQ71/a
pU9XE+Vr9LIGRLipw4v3Vs9WknR99+5rlK0wSNXYNmgNLiRdu+nYGkrE+2UhXIHUKJY8JvymdRpk
DAKXLrWGqbAt0RxnRR/rnz/Hz/bmHx9jbbxrWFonLP58i4Zj6NC+SGyGkAAgeV/QuCt0Ty7E+faJ
uND6NOUwM//8qgwP/gKM/fmqEY8HgBovHP2y+tNIDLLJU9YZPMp6qgz6YbhKJD/MbGrOa7yY58LZ
eAHMwmY1nf/n1//7g4kFc6ilnHiGIh/45aAzRBH0Qz5ZZ39NOdIPzKxxaDH8dj//Za9ZPyvQKk+W
3vAYPfyyCMRz0FWm2VtnV7OVSIboQQ+pRWt7ZZWm3HXfBtOXr8I06TLLYORhWUEhXHD/W+yUR8Vx
MFxyQBE95293re0addSYMWIjdBMNo+64qK/trjSHTVrlvwOE/9NDosXfPJf8J/gb5WrJjExaZ7Ax
L4DIquaEPvEa1dTr4K5S6cadZlGx2OYujwjCuMVuFPAO9zJMwyx8RU+GTzCOoL+L751ph9cd4qX9
GveVJAMsUzVnPGVeWGE8E+HnVhz++V5ZKe6/8sB8ZwHDWi1c9RwCOn95RDIQ5z6cI+scY3DUHBjw
KtJ8SIyaulK+atJmS8w5697MF8jsO9oLYAG8ghlFH+UaCJbmLqTWMi4APBZhPe9ruNc/v8//sAoi
WIBbNjk3Uqb88jaNye4HP3ats7cEfCHr12xJGuSWSfIQaSm/O6nqHfSnpxhzee5q9lzsu2DAf33F
sgOjMfO5Pa/AIOMR7y2OmJTFkUNruzchyJTj0/CGzuNkD/OcYOGBk9Fj2mvLGBzPu3enRiaVmawA
gAbyNXUY/5DABAGpzAloz+QkiNcHiTcai5xRblwbeLNe2gEfiPH378jQjxP2X683mzVFByNJy7XB
RH+dRy5hHgUcRcUZi1+0nnJe1C4LjOwO06G5OwJcDSOp90PW7SB6CpqsQxknhyhh/LAp+N0mEJnE
NTDDjBhWIDgMizC6I3Lj3qJVKWYHrNCjuWQ6IDB0LUbjWRql6HZmUNeKhiiiqC1TU9o4wNQ8GRmJ
YXu2AF9uwDBrZjCyOvdY4JzCtsyu0cXVt0NGL3gX1ookMWkXxmdrDvI7q56Lbya+Z7sCmCjZ0CNc
JO9vSN5nD/wQh/Sk2qUd+/cVM9fSQVmVyfsGHqDcTgnwz8aFcNt5QRKiuQ0CQ770VUHGmBMHwWMU
NQnCtUzkPu00miGktwpFWKMf0cRDkRd+BYQlAq8q2y4/LhiZ2EzZeheHQNJkqNepTq5t0XPclkN8
RTRB9AgdwyQzoGWvzsaILysOgYCHeKHY+KQRNCLlfSBgGrdYwSTxLsxIjxPghy8y5x4J6JKQcV/P
RNcREyX2HA2ifYDpIO+OMLS3NnI5JlQhqw1HQD3u1flvbTrzY5TWEJixA4wStjFDzYn+XHBNTlXe
szNbiRVKBtM9OrUrlPnZTARA3Vwj5Q0tQgjqMsk3Mp3CS5S8yS0pg903oEWfeQeqRBqRmdpFTilu
le2qg4rwDW6orUbTXD5jVZ5e2UM47WBK7a9zV9eUf4wGA0KsDgT91l8wfvE+4zCEAaIvk3dulOm7
6ONMj41FtTN7Lg+K4q6iOSM9bP2DYcuNtSpb42qaQvS2xrwJ6+7dbUwfYjIV8snwwjTHFTRkmnJV
VUVUPgVDXJsRN0ABGLwrg5Js1U03g0ZhZ4zvbWzzvxaaU09uczc1LOzFZmP2y12YW5H8bCQ0vnm7
eVZBnjbM2w7EiXL4WRDh1PSHUKsYQ30yRchhiBUcNDocme7grSxBZjGwfyaujSu2AnklWkgS5QKd
dsU0Jr1IZ+7KTRJabKYuTptkFluBfI2wIoM1Qx5abGivoikwVbgbo5HbiyxpLn0+sGSnrjj3AcPL
7TKTMBgzMdmI1OS8SgQfq5EWEq35prQRYZXp+FzS2mThcVmHArckHFQRUUfzMmEUWULdkAPV6AEv
FQeBlGjwX3qfyJt8LutTXuX2U2PqUfVcF/RVOtyzIJsCmpmFG5ViZ1kdfyMWLZbFZMq6/ZgkokZk
thhCtb4pm52agEAi5RFLW9ktdmgsMdTV4bVYYxGDenpAOcSm/iE81WskZ7jwOkZrfFqHi7C/7XsT
6a9ynUm3mN/2HDh4t4w2GJ8hoMRfg2Onvem9dL5v1rNIXvg0QBjSMWAVNHV6+jC3a20861H8YBF7
u0IDfUq54RQg/thaAft3YJ67NRNvtvnuLeT3EG08vxmqy6F9T2tuhkz/aVDas50RtouUGCYck4ho
TyQ4rLZO+Woi0bxCPXL6ndJ2flgPCksORHu1puOs1kJYj3JpdQYvxlHZO2MARmMpx6FLXOzMW2zE
GDfXMV5Lqsjra24jrh0tdw7vdcPG06LE08Tng5mZHMLruolAI+ApETmxm0OpA+DHZH28+e3CBJwp
4VxfEgXEOx/4mUFrg2dGKYaiJbUecHp9VMkXxusfxc+alTNnEUJ3srtc/JKNvCEAEMYLKzZvZiZd
eu4bLvp6Rr0o3qC0sWHchEYFtCVLK/5a0G0D410fIQuvBKbnJHpzDGLn6XZqPIfuSAqnVtxRQYQc
7vjHSFhswJXrsbbVulTJkxIV9QxQwDJAIilX+rZqneCSj1OfHAbyBAL0uPzjP867ZYqnjowV0dPp
23Nl1U0Bu43CWGfAZQNcu8vku7+RozCSY5nE1ICWX3HX4lDBwJaGF28m9riBPxQenQVmOQ1p8JTl
uDjsu8YkYm5NvFs7Ukk58p3iwcznXxeBvHDQJqUV30qBqdu1P9P1QzPEA+frly9HcIGVKig6S75m
WjWy6is57jfHJna4qqndhruCjZzvYeQIumaikq013U+z8N9WrURuauwb+QlUvvB44pVqeSfrnegy
kWtPY8oS4FnA/PsPkMQVjWjvoym2R7hlfYGyxmVpsuu4OZaK9mfaLVMEDUx7cb/4HYciO0SDsbFx
4HtEqANUpPWRNhN+omAzyhAkDhaokE6acuzZGjas8xHKgjTSQIXkQW+YHN6vn5CdiDNy67MCoTRK
L9aCdyGp8XWhu/yEGhHZDUu3uRkpaZ9wbrCe4J+5LJ0+pS2INciz0klO67Y5LyZ3lCwMCJVwpTg8
GV1XNu4SGTj5TvU9lYz+1pQcpghzA6tYdtiE8ND7fIo8jd032Xc8r5XmpxhQ8lgtM6kugbM4hx6e
kRgBbMXem5T0sC2SXFbHpFWes0m45fFkzImYTVKdbz0idjjOqQfN40V94T1MaqwUgzudh2cotBJ/
Eisp4E010f9lQuuSMlsb9R4/2LG4Kgefn8YrxW4e0euPnNhjPDG2i6a902xd+yabAKBaEJOJI/kg
dEnudtQruE7Up0V/AR9rkS7cB606XBdWJQJ2nPXejcXEtjZ1pO1MQTp/xXUpPq/3p2v38UVGI+Bi
qBo3vwn6kFskNHuADy8frhIx48z2cUOUYxn+kCRmMDtSg5aMVNG+0A6NKPitp/Wu8Kdct7rtmIxG
QnAvrKYiiNzT3QbI/rTeMkSyYM+9lWZCULgNGpsmhPJ0UCRSA6qqta2aKrBS5Y78u5mDkNpRe1q3
lstH4JaznpAo1+POKgRPVhA37DCQaM6hltw0pKKx2jupdYc9zXL+kD2ZhgWABcShjusKiDU87dQ6
Dviyu3glXvBKxJA2GHUziA2ITCDhzONWDigzNrVQQ3wgSYc8zQrHqoUbruMxcwChHQDeeXr4iAaG
Oo/wnp45+HmCz93PQ8jdbbudsctcNRHGwlloeRysMJ2OXT9UyZ2lHWIvK5bRW7XmtXphp/mntOZu
N0F71VPn9RxChJFHL6tzZYUrKJ83iMZ7t7eDxz6cyjvsCL8lRkz4J/mmR69osOzV2WiovLIfwsHB
NoAx2Tg+JTXaHYcHeIKpw0yQHWlORxTetDwjTiiz/5JrVZGXSi5o7Y3LdGH0mXMwq3AecFusmXMP
U3mZSpndOG5rWVt2zfKSyn46alpl3jICrG7iGig4mgrOC74NjIyWnTtMtXYX7tEDd+ZVoxf/qywW
NCLxYKDQ7t2aCgaBwOUqlaroshEmVwDWPIrM5vKoUvLfTWTxJa3yvVUkGTojcVLQLCRhDJxxSn2k
W3VtJA5xwtPShr4BUVoL5ZwJw2l0Ih7VKGkYZZgEMd5DpdBssmutkYpH3um0biYxzpGvi5fW+fd6
TfXLwQ/2QD/OJZxM/BKHWoWxFobCFJW8Qp+HXYTqWNNqssTiE/00xmXQgtdpBOw9ysi6Xdk8y+ja
d3uZw53vaGaI28k5VL7N/ok8gbu1FKxWi5/aTwN5gtt13YyynMURbNYhZAx9IvgAi/qqwCpVSCpi
DDLwNE6ufMVAf9zUHeueAki77YhdvUhjI78yau/gC70yL0vNDkRtlxxtL0m/u4NvtidP9jxxnbbp
9ZDJXBsfJ4yGiEVNxZV5FZIDH4BfXlKwTWgiqG82GLmqC4xE+kOhdbbUKoCEZo4mBO8DWnZexKpE
n4evJEDZRa8ptqkk1nmVz5TviRwAf7fCetKbeB4WwWb0cWT2zPKHz9x5Q5esNA+YBxGi4s+dfeCV
kycMcqfnKfGX6wRdwjOIQ75reUJYnal2lgNkZU+2jl+a9nZ2pXGv1dTEPyxRFe4d5UxHG5DtWy8d
7z2L+uV7wanyR11M7ctoj8yCOVfZJ0KIzWuLQ9lFQXPlM6CyT2w5BrJ4CDfkUu2bGhMZD4DrNg0k
2bmZn34qZScefc74CLhKjHrz1jMv5tCbbyNHxs+Jgb1H3cz8Jq8y05aTchWJ+6UyqFgZsI3ktnRI
NjcqGvzXtTvzvwnP7yY8DBboeP7DhOd72/2fFyDrv1HsHz/5L4o9wDLS9336+6jlHaw7/j3kCW3M
58lUYeqxzlrsv0x6zD98ulP42gW4VzKcoNH7pwelE/yBwAwDA+z8mAXSkPhvKHY//LkZBlrv+IGF
aQAu+Bar669eEGJ2oTgzdGuYNPSnOqw4yqCVbU8OMcS7wtW8ct471gPzcthegUVqOqU7YiPGI0Ih
dExx3AcH1UXqkV6CgYlSwbERG/CLJDLYMVdmBuitOfQrSTNpqIZxSqAOfdbHmidx4W7w1C+8jZt7
/m6IMEPyNKLTxBT2Yd6DSc9CYbIaimerQo+EJy5ZaJGffY7G8cVa2R+cr+fnhWiGLR8JGHUwzF2n
aSGUidYVozoQoknTRGzogEWLETcPHg7b1/yIJXfKDGCQauOcxjJrkZ9k41FByt0s41xtJs0vkeYx
nHB0mJ/wJHMOs2qTe3yh/WYTLfqTg9q2CP78FOk3dJQfePBOyTiXjyLxiOPTHBUuuukuMGGr2J+e
awC0jQjhrkJ3PoQDaI7RmPVOQJuhj07d7jGHHr2Pa8s5xyvIVa9QVz33RBoWobEQ5BtHmzAY8Itn
Wd/4kH473jP2uy0Qm1tjVovAKYCsdD71eS6PtCXpBsCXWX1yR9gZTrf2bLrFLhhwknO90d1UhVhc
jL441TA99glA8ZcO4Xh3xJm8e3ZbBL70ixZrbww2yYjZDACn2srjenj99RLaxw5MLtW8XK/JORys
XuIKK+doVM8zaY8EwJvVFzVm85WVAAOVMxE+iCP3wuq8XZEJ8dC6lYNld0BiWZiVzW2xgnxRUSbB
Rpa1j0Ff69/njhHvjCQYXmMV22fyNLO9J3xycxb5HYEkuCBCZn8fNylrJsze1cS+ojLf2TohpCH2
ifQzLMDBvoKjsJzuM2b+Fdh8kF8mK644rujitGKMZA20X8yx6X+kqGTPQJreSdu2Pua+m+3Ql/Xw
Sm3jb7uh5CsbZaluYMe/sNv2t4a0UYSO5ne3Kr8E41gTokkeziWuGkgTNYE5F4HV7ko1h69IRvon
RIn1NiOYGDwF00RMwjXMaa5gZ+yTk4KGbBy/APPX5s6aKc32rdEQr5hrOhQHeXvvYTiyp/wczPOg
OdJcE6VSK1u3kzXH5wHgdPSsV5xvXk3VYwRH21EFZimPkZ/SrXFxZ1MXg4ZXQeb8TxjRPYlYfjcp
D+ZNpmFXpbFXr+BcdZcUpIpWQMLbLPHto2DNeeA3oAtx2oQcivQU+tF4OeHyzLmZHGI2PUEs/A2K
UsDbMJ6UwPBLvpYrmKs0o6vM9pBpanfQ/K7SJO+8Mr2a7v2/3J1Zc9tGFoV/EViNHaiaygM3iaLl
RI4TK/OCciwHJBZiJ5ZfP18DsC3BSyXBC2raj1RJ7ubt23c751SM+TJFh/p2P/qrdbDk31aeigAO
2jHBkSHEINydC3AV6wa17/sCBbudrSenAxmvusvSsl5btqJs1dRy3hl53JrrsjtehK3c+gB5b0KH
592zNGVveoS3rmjr/cUIKH01UfgIwLHdxkFWH52zTVWvjNeyBUqwg2AUeOLAfKAoHe5SKwSLUJ/i
jXOFdS/IYhjHQh3BHKaGbq4GIu5XNfbv66tZcwKB1M2LhHkwQVjcM62r/F77jK1Gxwraum0cFSnF
Qj8hUFb0eB+kR6ttHiG7t7YJAfSh6bxuZ/JTx8gUyb0a6RntJkNpEHFKMo3SOJKR9iGk3oenyrMH
3c31t7C6wk+P4OP2ZKqnetOmXYtEgZcgFRmF4R8doQ9IC7s+AsKCqza/gupxAqL96tSsaXzme8kD
BPbw+hqcffsXVRQE+ijA79GeNSLEC9MKQA4oVM/KwFmfGI88WRd1m8CLd/DiNqKE5eWvzlH1Xx4W
OOMR8bu9dFnNLfUSpVuXaV1Dqxmfyw9wA+nRzjbs4pURI4t19dVffVojt7oSiyOV0XSTX5zgJrKV
eM0U3m2Rkm2pPLC7i520MI0r11stv4iDaCGc89zwdLBqtEVlA/holXDmMZvh7ItUaK8qkN/H5mKf
KdRFbzyrazd24ds3BOuFs4ZB5K+K2lNCKd5h1j3F99Yg3ymbaxnlHjUmJ/TDbCukXoOabJSk0dqN
yRW9P6U+4aAA4BVGUOm0HVK7JhpMd/Dnevu6yo5NHGcIgzbFE8PjzcYHs0h7IAIToQPR7CrjdMg7
NDcY0D34Zk611K92VVj/GccooAoqZruq4rlRcwDqeeHfVjVwhdgD5QxxLEyjOvL26Nw61dV8qI1z
vM+V4rXfBm8qUSgP9Sn4peFc77wGjY9cRK99O+72jRW6PI0ggOEWvBYWaraMVBohGjJMU6KYmVPh
+M0IqcfVFef6JqvOvnVHYZGCW1sIP9kBUVLztXZukM+kpiOB2kadtGJn0ecQu5PnkgzHZ+Eqj3Wh
Ne32DEqi257NQqI2wgviX02oRui32kzZtaiqn3817dwKtt21I5RB5N2gnUG5C8JWkB3oOwGPECqo
gjZRG4QnK8SPtURTTts0yLt3elo17+JENHd2GajHKrsUN1mroHRxhcUKcvqWwge0iTWuP7pwBgwI
3rYQk9LnwmM6oWK9bwMnILeogjsgCJW+hqYhfuN01fkuFnEBLgUiP1Lzfas5/lOmVcpNUdbmL0Xr
ZHvEydS9npfoa8YX3GtIzQuFiJbRBgjy/d+ReEu3dgAzZZ5SNAGJoxu357wzrlvRmRXsrpVar3nd
OvI6mKuPeVrFp12p5SkiylpbQQbJyyX2JvItFHNauG2gBqiAQEGXcgciFnWfzimu1aEfS45OoQIv
b2YR+HmiCmkVGO7PKvrG5QYMeXbehyYV58RxaTeiGWxtQ9S2/kBwFhqFJhDBg3PKszcUj+uC9lp7
3iQMRd4UZ48MlimL2049NUxlh81VrEWb28wzIuXzLoKhbesVrvoqDpzYhGSgaR87/YxGb2He6KVX
ZWgjlzAcMoVM94/aHWK++hUwFfSrawVZ7p3eKGjztTKJJQLKok2M4tPBOBvineedgo2fCu+08Svd
ITtujQuQorAUm3Nelo84726nc0hHIHx/IpSCHKZNirnmG2X4NoKfg0wTWOOuLqugXeeVqW3KkrnR
jWGd4p8vWcFYP/Qd1a40T/epWad7t47LV3VlmwcLBgN4IKBeeiiivAoRTblEN4bUVnH50u6cqmBA
O7oY7VPjOcisEnP/hsybffQMdEWkfIv9qoAXxNp6Pgw997Ew9Y3W2o9lrBfvWpgo15ZvGshnQHai
wetwyGmhotiHRN8femrQCmbmm4lVhi14SzT3PoI096OmeCBg0Mx+jz89351rRaWEYFiPVzSoYCLI
YYTYKxnyP9tSwBrgQy8J/wd8BMxtw6dg1Zd1Qv92R3PNvWGGvNqZzfVKTeVav4Z3sn5TwMaxDi41
4+CoG68TtOHet1mNtq+WJMZePSeMmaVqykStdi03cQKmXffKbKfAP7LXrsJ+YnCpecVIUvfaQZL0
17RmZmSDPw/+AktZvHUvInr0VRH5ICkC9w6MrncHJEfcidRjzgl7PYrMtx70rqw30KQkB43C8U7p
UDtRbSPdtRdbJfYX1s40PTBnwHtCXHN82ddWat4EkXI5NAJQRepG9VuYL3S6hPmuTLPg57NPtzqQ
Q/UB4xlHnMR1ywXkstjIBBVXPJ8OfndzkqP5oRzSb/t5fVhQsnUih/jDfpz/TIwSxQKWQznsf+rn
/u0eAiDBANcyqZ8Q3wMhkEqwwLXHDdQSQvD/lf+PhQzJtbnrVSUeqo95++ZjAeVD8dN/Bo43+ekv
yflSvk3+3Q/9+BeNEPahovAhYX5B/g8ov74g+mRwc1JP6P9L/f/3R78hel+ey+oJ/lCw7SaNWFuO
ufcLRHqUQE4+fKy4zIcyHWZJbrh+DX/w2RF97xB+vL/hNH/8My928P4phj8dvob8/KF8jvB3HDmz
+qKo8p1DmPyKF4fAvCYaBjqc5P16eQi2uTIsx5KAgOFjCh78wQUdAk/7tLL0Tw/BUFcQsSJRqDMv
JRen+twSbIRKet1CWVNa1u4hUTSw21k2YGgrlYYNLK2Sp5XFeb7Yvrpixgt+PIex0WVtHxrQ4SuZ
eKav3cD3b4Cx0kgaJP5h2D2bfL57VWX7FsMsUAR/Mo6FHYIQc01Ax8LZpKZpk907MCgbfPWaYF65
X0szAYRDR7ucYQPOyiVrwAe+/O5ta2ULJEI+PwHDOS/J+/Ws0bOuv87mKQebEgrzycBfXAAh0RBQ
e1qL2z3ysNJgZ20f74ddW3QyjWH7NAdebt9emQz4y1naZd4AErzZYYCx4n1nNB1Vpn5NngAX3nMd
ySb4gYZDWtxDqAJb4JubZQqaszKljBgdpHG9NAVaTPgaHaycRLmwFnchoG7Ahc06BDpiUETRYgOt
0K9JMEQ5bwXSBTIJYzymxb0IkFz9zeTgu1GBYa+A2urMs+vfNAWGwwmMZdzwyVaWdgrgxKXc1Txb
oKeKcDbUXOxXroktwBxmQJ4NKGJ0C4u7EKphS6axWadgGCswqgJ02fhdT5wjnV5az9BIQ7O9NCsY
MZLz9s9d6OXFaJ/3axIjYmm8kBgKiKJPVsIfXFCUBPjoq/GDf5wkipWKBRAGjXnCJFZ03BV/Btgj
QMRhLc0WNFw3cKF5tkCgQAMI/NO374JjkioLSW83fj78wWXZgjM3UKB0JPcHqu+L33seM5I1kU9y
CORN/VqcXyDZnZ01ETkDMbOooI2RM472+Sm4OgU2IVHP4+fLswUQ0rNDZ4eg0ADOa49lxMkb6Tq8
HhQSKTV+9p7L8o4Q180OnXVjBfZaguWGIokMjZ/bAoN5KyC2iIs6w4EvySPIp2umXyRqpoCgOXIE
rV+TGAG/qDk29KbqmDosziNoBoMEM0/B0FeMwVIvJjEf1sQK+khh1HqWD9GSrMAlrZu5f12sGMrD
5X3OIF/u31VJsxF71ZyxlLC4lgK+QJ1dUSFS4qK7MGoMr9+komITLtug7RHLGtbiToGJFUmBMC9S
Mlc6aTRg8S9+/7lHtNwVmm+wgsC73K/FnYIOpnZwUzMqqyppMjJ6DvWZfk1fR3fFiL18PL/4zWX5
BU23JJnDLFvQqaBCJiPF/obvepJB2eQOjonnREWtX4uLlKCtkYzhs07BsLgRzGajP/xtWzDkLDaK
nVL4fmFGILsjc7dPH0lzNBd6omFNQgSbLiSabEL2mvo1vEYLeiJhpxZzjUB2msAC4P/HU/g6jabR
RlNHG1OnBV4Fc/ZVoOcCUIDscayYyGN9/jjIejvBok16MhzT8sJFFf2TuTcCoVV67rBVfTuBRG6A
+iOnDZPf4jwCsf7s/XPjqaOjejC6/akVuCuiSZvW1DiXsLi7gCiEJEaZ9ywQDlJkR0xifBy/9gjg
GOnLwDDTr+X5RVnxmnsKiHA4ZGDup+96kkDL1wE7gTx6bMss743k5Z4dLhIODmR8oy1M3khJ8meZ
REo2D6VciysmkEDNT6NpScNHacixi35NbcEkkhACaxlTh8X5BYj49NkJFB02Os6Sy3B4Aye2QDeW
TxioNb7M7y0sagRQODirGQkUqYMDoReMu8OaJlAUnqirAWAcmzPDo7SkqJFwbu4pGILCCT3pMXH4
qhFp2yt4/BxZg/1sK8uyBXJpqcc866XUKa+BFqPQOibTE7/gyFOiF8vI2nAKi/ML8hS4xrNOgXas
QU4uMbbDLifJNGezwvuQaY4p24LuAqyL4wzpLI/g4FiopI+3YRI10nwCGK3JGY3PHmNhd8FAaXmm
FdCC05lZJSIaHePkFPqxTXsUJltYNWFUZpt1C2TDQdVgXbTGWzB5HW1nJd2lydzCcEsGF7yku0Ax
YQhi//1dwBdAlK7xb+IKGdlGrw4hclpO/VpcAs2Q0uyZBMoIDO2aNOPH6unEFfIgWKSXFOO/PBh/
1xX8DUsBESJ/6kP08X3+0/8AAAD//w==</cx:binary>
              </cx:geoCache>
            </cx:geography>
          </cx:layoutPr>
          <cx:valueColors>
            <cx:minColor>
              <a:schemeClr val="accent6"/>
            </cx:minColor>
            <cx:midColor>
              <a:schemeClr val="bg1"/>
            </cx:midColor>
            <cx:maxColor>
              <a:schemeClr val="accent2"/>
            </cx:maxColor>
          </cx:valueColors>
          <cx:valueColorPositions count="3">
            <cx:midPosition>
              <cx:number val="0"/>
            </cx:midPosition>
          </cx:valueColorPositions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0">
              <a:solidFill>
                <a:schemeClr val="tx1"/>
              </a:solidFill>
            </a:defRPr>
          </a:pPr>
          <a:endParaRPr lang="en-US" sz="900" b="0" i="0" u="none" strike="noStrike" baseline="0">
            <a:solidFill>
              <a:schemeClr val="tx1"/>
            </a:solidFill>
            <a:latin typeface="Aptos Narrow" panose="0211000402020202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6" fmlaLink="$C$4" max="10" min="1" page="10" val="9"/>
</file>

<file path=xl/ctrlProps/ctrlProp2.xml><?xml version="1.0" encoding="utf-8"?>
<formControlPr xmlns="http://schemas.microsoft.com/office/spreadsheetml/2009/9/main" objectType="Radio" firstButton="1" fmlaLink="$C$5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Data Prep'!A1"/><Relationship Id="rId3" Type="http://schemas.openxmlformats.org/officeDocument/2006/relationships/chart" Target="../charts/chart3.xml"/><Relationship Id="rId7" Type="http://schemas.openxmlformats.org/officeDocument/2006/relationships/hyperlink" Target="#Data!A1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419100</xdr:colOff>
      <xdr:row>16</xdr:row>
      <xdr:rowOff>91440</xdr:rowOff>
    </xdr:from>
    <xdr:to>
      <xdr:col>8</xdr:col>
      <xdr:colOff>1371600</xdr:colOff>
      <xdr:row>33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266D78-E926-E8CA-6FB0-4890EFD49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601980</xdr:colOff>
      <xdr:row>0</xdr:row>
      <xdr:rowOff>53340</xdr:rowOff>
    </xdr:from>
    <xdr:to>
      <xdr:col>16</xdr:col>
      <xdr:colOff>541020</xdr:colOff>
      <xdr:row>4</xdr:row>
      <xdr:rowOff>22860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DA3E989-D944-06A1-0B4E-9BAD9B5B0967}"/>
            </a:ext>
          </a:extLst>
        </xdr:cNvPr>
        <xdr:cNvSpPr/>
      </xdr:nvSpPr>
      <xdr:spPr>
        <a:xfrm>
          <a:off x="1211580" y="53340"/>
          <a:ext cx="13769340" cy="70104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endParaRPr lang="en-IN" sz="1100">
            <a:solidFill>
              <a:schemeClr val="tx1"/>
            </a:solidFill>
          </a:endParaRPr>
        </a:p>
        <a:p>
          <a:pPr algn="l"/>
          <a:r>
            <a:rPr lang="en-IN" sz="1100" b="1" i="1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Figures in</a:t>
          </a:r>
          <a:r>
            <a:rPr lang="en-IN" sz="1100" b="1" i="1" baseline="0">
              <a:solidFill>
                <a:schemeClr val="bg2"/>
              </a:solidFill>
              <a:effectLst/>
              <a:latin typeface="+mn-lt"/>
              <a:ea typeface="+mn-ea"/>
              <a:cs typeface="+mn-cs"/>
            </a:rPr>
            <a:t> Dollar </a:t>
          </a:r>
          <a:endParaRPr lang="en-IN" sz="1100">
            <a:solidFill>
              <a:schemeClr val="bg2"/>
            </a:solidFill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0</xdr:rowOff>
    </xdr:from>
    <xdr:to>
      <xdr:col>12</xdr:col>
      <xdr:colOff>541020</xdr:colOff>
      <xdr:row>2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26CBD9-3D3A-3CC1-B6D3-1D4953A33B36}"/>
            </a:ext>
          </a:extLst>
        </xdr:cNvPr>
        <xdr:cNvSpPr txBox="1"/>
      </xdr:nvSpPr>
      <xdr:spPr>
        <a:xfrm>
          <a:off x="0" y="0"/>
          <a:ext cx="1254252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2500" b="1">
              <a:solidFill>
                <a:schemeClr val="bg1"/>
              </a:solidFill>
              <a:latin typeface="Book Antiqua" panose="02040602050305030304" pitchFamily="18" charset="0"/>
            </a:rPr>
            <a:t>                What do </a:t>
          </a:r>
          <a:r>
            <a:rPr lang="en-IN" sz="2500" b="1">
              <a:solidFill>
                <a:schemeClr val="accent2"/>
              </a:solidFill>
              <a:latin typeface="Book Antiqua" panose="02040602050305030304" pitchFamily="18" charset="0"/>
            </a:rPr>
            <a:t>Wage </a:t>
          </a:r>
          <a:r>
            <a:rPr lang="en-IN" sz="2500" b="1">
              <a:solidFill>
                <a:schemeClr val="bg1"/>
              </a:solidFill>
              <a:latin typeface="Book Antiqua" panose="02040602050305030304" pitchFamily="18" charset="0"/>
            </a:rPr>
            <a:t>and </a:t>
          </a:r>
          <a:r>
            <a:rPr lang="en-IN" sz="2500" b="1">
              <a:solidFill>
                <a:schemeClr val="accent6"/>
              </a:solidFill>
              <a:latin typeface="Book Antiqua" panose="02040602050305030304" pitchFamily="18" charset="0"/>
            </a:rPr>
            <a:t>Employment</a:t>
          </a:r>
          <a:r>
            <a:rPr lang="en-IN" sz="2500" b="1" baseline="0">
              <a:solidFill>
                <a:schemeClr val="accent6"/>
              </a:solidFill>
              <a:latin typeface="Book Antiqua" panose="02040602050305030304" pitchFamily="18" charset="0"/>
            </a:rPr>
            <a:t> </a:t>
          </a:r>
          <a:r>
            <a:rPr lang="en-IN" sz="2500" b="1" baseline="0">
              <a:solidFill>
                <a:schemeClr val="bg1"/>
              </a:solidFill>
              <a:latin typeface="Book Antiqua" panose="02040602050305030304" pitchFamily="18" charset="0"/>
            </a:rPr>
            <a:t>figures look like by Industry ?</a:t>
          </a:r>
        </a:p>
      </xdr:txBody>
    </xdr:sp>
    <xdr:clientData/>
  </xdr:twoCellAnchor>
  <xdr:twoCellAnchor editAs="absolute">
    <xdr:from>
      <xdr:col>0</xdr:col>
      <xdr:colOff>7620</xdr:colOff>
      <xdr:row>4</xdr:row>
      <xdr:rowOff>15240</xdr:rowOff>
    </xdr:from>
    <xdr:to>
      <xdr:col>1</xdr:col>
      <xdr:colOff>601980</xdr:colOff>
      <xdr:row>34</xdr:row>
      <xdr:rowOff>83820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81FE7B8-E298-123F-7BF0-70F7498FC1BD}"/>
            </a:ext>
          </a:extLst>
        </xdr:cNvPr>
        <xdr:cNvSpPr/>
      </xdr:nvSpPr>
      <xdr:spPr>
        <a:xfrm>
          <a:off x="7620" y="746760"/>
          <a:ext cx="1203960" cy="559308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53341</xdr:colOff>
      <xdr:row>0</xdr:row>
      <xdr:rowOff>152401</xdr:rowOff>
    </xdr:from>
    <xdr:to>
      <xdr:col>1</xdr:col>
      <xdr:colOff>569551</xdr:colOff>
      <xdr:row>3</xdr:row>
      <xdr:rowOff>38101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3A70D5A-A933-987B-3C6A-DFB3B4845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1" y="152401"/>
          <a:ext cx="1125810" cy="434340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5</xdr:row>
      <xdr:rowOff>22860</xdr:rowOff>
    </xdr:from>
    <xdr:to>
      <xdr:col>4</xdr:col>
      <xdr:colOff>1760220</xdr:colOff>
      <xdr:row>7</xdr:row>
      <xdr:rowOff>121920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5BBD3C2-1A7E-2E13-05C9-476FD9240254}"/>
            </a:ext>
          </a:extLst>
        </xdr:cNvPr>
        <xdr:cNvSpPr/>
      </xdr:nvSpPr>
      <xdr:spPr>
        <a:xfrm>
          <a:off x="2026920" y="937260"/>
          <a:ext cx="1760220" cy="46482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4</xdr:col>
      <xdr:colOff>68580</xdr:colOff>
      <xdr:row>5</xdr:row>
      <xdr:rowOff>64770</xdr:rowOff>
    </xdr:from>
    <xdr:to>
      <xdr:col>4</xdr:col>
      <xdr:colOff>1691640</xdr:colOff>
      <xdr:row>7</xdr:row>
      <xdr:rowOff>80010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3042F613-9C41-4645-EA9C-9B7F23AEF66C}"/>
            </a:ext>
          </a:extLst>
        </xdr:cNvPr>
        <xdr:cNvSpPr txBox="1"/>
      </xdr:nvSpPr>
      <xdr:spPr>
        <a:xfrm>
          <a:off x="2095500" y="979170"/>
          <a:ext cx="162306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500" b="1">
              <a:solidFill>
                <a:schemeClr val="bg1"/>
              </a:solidFill>
              <a:latin typeface="Book Antiqua" panose="02040602050305030304" pitchFamily="18" charset="0"/>
            </a:rPr>
            <a:t>Industry Filter</a:t>
          </a:r>
        </a:p>
      </xdr:txBody>
    </xdr:sp>
    <xdr:clientData/>
  </xdr:twoCellAnchor>
  <xdr:twoCellAnchor editAs="absolute">
    <xdr:from>
      <xdr:col>6</xdr:col>
      <xdr:colOff>0</xdr:colOff>
      <xdr:row>5</xdr:row>
      <xdr:rowOff>22860</xdr:rowOff>
    </xdr:from>
    <xdr:to>
      <xdr:col>6</xdr:col>
      <xdr:colOff>1760220</xdr:colOff>
      <xdr:row>7</xdr:row>
      <xdr:rowOff>121920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5A0BCA6-A371-BD10-2763-4E9EB00532C7}"/>
            </a:ext>
          </a:extLst>
        </xdr:cNvPr>
        <xdr:cNvSpPr/>
      </xdr:nvSpPr>
      <xdr:spPr>
        <a:xfrm>
          <a:off x="5151120" y="937260"/>
          <a:ext cx="1760220" cy="46482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6</xdr:col>
      <xdr:colOff>68580</xdr:colOff>
      <xdr:row>5</xdr:row>
      <xdr:rowOff>64770</xdr:rowOff>
    </xdr:from>
    <xdr:to>
      <xdr:col>6</xdr:col>
      <xdr:colOff>1691640</xdr:colOff>
      <xdr:row>7</xdr:row>
      <xdr:rowOff>80010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FB97F3-FFB1-F400-A5DB-075E659012C8}"/>
            </a:ext>
          </a:extLst>
        </xdr:cNvPr>
        <xdr:cNvSpPr txBox="1"/>
      </xdr:nvSpPr>
      <xdr:spPr>
        <a:xfrm>
          <a:off x="5219700" y="979170"/>
          <a:ext cx="162306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500" b="1">
              <a:solidFill>
                <a:schemeClr val="bg1"/>
              </a:solidFill>
              <a:latin typeface="Book Antiqua" panose="02040602050305030304" pitchFamily="18" charset="0"/>
            </a:rPr>
            <a:t>Date Filter</a:t>
          </a:r>
        </a:p>
      </xdr:txBody>
    </xdr:sp>
    <xdr:clientData/>
  </xdr:twoCellAnchor>
  <xdr:twoCellAnchor editAs="absolute">
    <xdr:from>
      <xdr:col>8</xdr:col>
      <xdr:colOff>0</xdr:colOff>
      <xdr:row>5</xdr:row>
      <xdr:rowOff>22860</xdr:rowOff>
    </xdr:from>
    <xdr:to>
      <xdr:col>8</xdr:col>
      <xdr:colOff>1874520</xdr:colOff>
      <xdr:row>7</xdr:row>
      <xdr:rowOff>121920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932EACE-59B4-DC43-BB1D-E2742AEC985E}"/>
            </a:ext>
          </a:extLst>
        </xdr:cNvPr>
        <xdr:cNvSpPr/>
      </xdr:nvSpPr>
      <xdr:spPr>
        <a:xfrm>
          <a:off x="8290560" y="937260"/>
          <a:ext cx="1874520" cy="464820"/>
        </a:xfrm>
        <a:prstGeom prst="rect">
          <a:avLst/>
        </a:prstGeom>
        <a:solidFill>
          <a:schemeClr val="tx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8</xdr:col>
      <xdr:colOff>68580</xdr:colOff>
      <xdr:row>5</xdr:row>
      <xdr:rowOff>64770</xdr:rowOff>
    </xdr:from>
    <xdr:to>
      <xdr:col>8</xdr:col>
      <xdr:colOff>1828800</xdr:colOff>
      <xdr:row>7</xdr:row>
      <xdr:rowOff>80010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D4D41FE2-1355-BCBD-7DE3-B3B182EDB345}"/>
            </a:ext>
          </a:extLst>
        </xdr:cNvPr>
        <xdr:cNvSpPr txBox="1"/>
      </xdr:nvSpPr>
      <xdr:spPr>
        <a:xfrm>
          <a:off x="8359140" y="979170"/>
          <a:ext cx="176022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500" b="1">
              <a:solidFill>
                <a:schemeClr val="bg1"/>
              </a:solidFill>
              <a:latin typeface="Book Antiqua" panose="02040602050305030304" pitchFamily="18" charset="0"/>
            </a:rPr>
            <a:t>Map Buttons</a:t>
          </a:r>
        </a:p>
      </xdr:txBody>
    </xdr:sp>
    <xdr:clientData/>
  </xdr:twoCellAnchor>
  <xdr:twoCellAnchor editAs="absolute">
    <xdr:from>
      <xdr:col>2</xdr:col>
      <xdr:colOff>91440</xdr:colOff>
      <xdr:row>9</xdr:row>
      <xdr:rowOff>114300</xdr:rowOff>
    </xdr:from>
    <xdr:to>
      <xdr:col>5</xdr:col>
      <xdr:colOff>929640</xdr:colOff>
      <xdr:row>21</xdr:row>
      <xdr:rowOff>129540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E6CFE6C-3421-40E4-84A8-0B512F02F2AC}"/>
            </a:ext>
          </a:extLst>
        </xdr:cNvPr>
        <xdr:cNvSpPr/>
      </xdr:nvSpPr>
      <xdr:spPr>
        <a:xfrm>
          <a:off x="1310640" y="1798320"/>
          <a:ext cx="3413760" cy="220980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1066800</xdr:colOff>
      <xdr:row>9</xdr:row>
      <xdr:rowOff>129540</xdr:rowOff>
    </xdr:from>
    <xdr:to>
      <xdr:col>7</xdr:col>
      <xdr:colOff>457200</xdr:colOff>
      <xdr:row>16</xdr:row>
      <xdr:rowOff>83820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B76E293A-E9AF-43FC-55D0-4BEB929CC3BC}"/>
            </a:ext>
          </a:extLst>
        </xdr:cNvPr>
        <xdr:cNvSpPr/>
      </xdr:nvSpPr>
      <xdr:spPr>
        <a:xfrm>
          <a:off x="4861560" y="1813560"/>
          <a:ext cx="2514600" cy="123444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5</xdr:col>
      <xdr:colOff>800100</xdr:colOff>
      <xdr:row>16</xdr:row>
      <xdr:rowOff>167640</xdr:rowOff>
    </xdr:from>
    <xdr:to>
      <xdr:col>7</xdr:col>
      <xdr:colOff>739140</xdr:colOff>
      <xdr:row>31</xdr:row>
      <xdr:rowOff>22860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D3B9446-55D3-F831-7304-F59459FC987D}"/>
            </a:ext>
          </a:extLst>
        </xdr:cNvPr>
        <xdr:cNvSpPr/>
      </xdr:nvSpPr>
      <xdr:spPr>
        <a:xfrm>
          <a:off x="4594860" y="3131820"/>
          <a:ext cx="3063240" cy="2598420"/>
        </a:xfrm>
        <a:prstGeom prst="ellipse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7</xdr:col>
      <xdr:colOff>906780</xdr:colOff>
      <xdr:row>9</xdr:row>
      <xdr:rowOff>129540</xdr:rowOff>
    </xdr:from>
    <xdr:to>
      <xdr:col>9</xdr:col>
      <xdr:colOff>594360</xdr:colOff>
      <xdr:row>26</xdr:row>
      <xdr:rowOff>53340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A46EEBFF-AD97-691E-5ECB-CCCE45A10818}"/>
            </a:ext>
          </a:extLst>
        </xdr:cNvPr>
        <xdr:cNvSpPr/>
      </xdr:nvSpPr>
      <xdr:spPr>
        <a:xfrm>
          <a:off x="7825740" y="1813560"/>
          <a:ext cx="2941320" cy="3032760"/>
        </a:xfrm>
        <a:prstGeom prst="roundRect">
          <a:avLst/>
        </a:prstGeom>
        <a:solidFill>
          <a:schemeClr val="bg1">
            <a:lumMod val="95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2</xdr:col>
      <xdr:colOff>121920</xdr:colOff>
      <xdr:row>9</xdr:row>
      <xdr:rowOff>99060</xdr:rowOff>
    </xdr:from>
    <xdr:to>
      <xdr:col>5</xdr:col>
      <xdr:colOff>944880</xdr:colOff>
      <xdr:row>22</xdr:row>
      <xdr:rowOff>22860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FAE286D-0EA2-4C0F-BF20-FA93FFF35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952500</xdr:colOff>
      <xdr:row>9</xdr:row>
      <xdr:rowOff>30480</xdr:rowOff>
    </xdr:from>
    <xdr:to>
      <xdr:col>7</xdr:col>
      <xdr:colOff>609600</xdr:colOff>
      <xdr:row>17</xdr:row>
      <xdr:rowOff>83820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F84D1465-7E4D-4ED2-8E1B-51B1ACDD71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5</xdr:col>
      <xdr:colOff>861060</xdr:colOff>
      <xdr:row>18</xdr:row>
      <xdr:rowOff>22860</xdr:rowOff>
    </xdr:from>
    <xdr:to>
      <xdr:col>7</xdr:col>
      <xdr:colOff>662940</xdr:colOff>
      <xdr:row>30</xdr:row>
      <xdr:rowOff>15240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2" name="Chart 21">
              <a:extLst>
                <a:ext uri="{FF2B5EF4-FFF2-40B4-BE49-F238E27FC236}">
                  <a16:creationId xmlns:a16="http://schemas.microsoft.com/office/drawing/2014/main" id="{7680991A-D747-4641-8CC0-45F4CD596F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55820" y="3352800"/>
              <a:ext cx="2926080" cy="2186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998220</xdr:colOff>
      <xdr:row>9</xdr:row>
      <xdr:rowOff>99060</xdr:rowOff>
    </xdr:from>
    <xdr:to>
      <xdr:col>9</xdr:col>
      <xdr:colOff>495300</xdr:colOff>
      <xdr:row>18</xdr:row>
      <xdr:rowOff>30480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AD1CA2-DFFF-42BB-9B5B-D86983E2C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7</xdr:col>
      <xdr:colOff>998220</xdr:colOff>
      <xdr:row>17</xdr:row>
      <xdr:rowOff>114300</xdr:rowOff>
    </xdr:from>
    <xdr:to>
      <xdr:col>9</xdr:col>
      <xdr:colOff>495300</xdr:colOff>
      <xdr:row>25</xdr:row>
      <xdr:rowOff>137160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1E4114-73AC-486E-B607-3F1548558A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22860</xdr:colOff>
      <xdr:row>4</xdr:row>
      <xdr:rowOff>68580</xdr:rowOff>
    </xdr:from>
    <xdr:to>
      <xdr:col>1</xdr:col>
      <xdr:colOff>586740</xdr:colOff>
      <xdr:row>6</xdr:row>
      <xdr:rowOff>45720</xdr:rowOff>
    </xdr:to>
    <xdr:sp macro="" textlink="">
      <xdr:nvSpPr>
        <xdr:cNvPr id="9" name="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565E6D8-9DFB-271B-E908-6778A5E69E1E}"/>
            </a:ext>
          </a:extLst>
        </xdr:cNvPr>
        <xdr:cNvSpPr/>
      </xdr:nvSpPr>
      <xdr:spPr>
        <a:xfrm>
          <a:off x="22860" y="800100"/>
          <a:ext cx="1173480" cy="342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500" b="1">
              <a:solidFill>
                <a:schemeClr val="tx1"/>
              </a:solidFill>
              <a:latin typeface="Book Antiqua" panose="02040602050305030304" pitchFamily="18" charset="0"/>
            </a:rPr>
            <a:t>Raw Data</a:t>
          </a:r>
        </a:p>
      </xdr:txBody>
    </xdr:sp>
    <xdr:clientData/>
  </xdr:twoCellAnchor>
  <xdr:twoCellAnchor editAs="absolute">
    <xdr:from>
      <xdr:col>0</xdr:col>
      <xdr:colOff>22860</xdr:colOff>
      <xdr:row>6</xdr:row>
      <xdr:rowOff>99060</xdr:rowOff>
    </xdr:from>
    <xdr:to>
      <xdr:col>1</xdr:col>
      <xdr:colOff>601980</xdr:colOff>
      <xdr:row>8</xdr:row>
      <xdr:rowOff>129540</xdr:rowOff>
    </xdr:to>
    <xdr:sp macro="" textlink="">
      <xdr:nvSpPr>
        <xdr:cNvPr id="11" name="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A66D9EE-8750-727F-F2D0-09C41AC7D0B2}"/>
            </a:ext>
          </a:extLst>
        </xdr:cNvPr>
        <xdr:cNvSpPr/>
      </xdr:nvSpPr>
      <xdr:spPr>
        <a:xfrm>
          <a:off x="22860" y="1196340"/>
          <a:ext cx="1188720" cy="3429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500" b="1">
              <a:solidFill>
                <a:schemeClr val="tx1"/>
              </a:solidFill>
              <a:latin typeface="Book Antiqua" panose="02040602050305030304" pitchFamily="18" charset="0"/>
            </a:rPr>
            <a:t>Data Prep</a:t>
          </a:r>
        </a:p>
      </xdr:txBody>
    </xdr:sp>
    <xdr:clientData/>
  </xdr:twoCellAnchor>
  <xdr:twoCellAnchor editAs="absolute">
    <xdr:from>
      <xdr:col>0</xdr:col>
      <xdr:colOff>22860</xdr:colOff>
      <xdr:row>8</xdr:row>
      <xdr:rowOff>190500</xdr:rowOff>
    </xdr:from>
    <xdr:to>
      <xdr:col>1</xdr:col>
      <xdr:colOff>594360</xdr:colOff>
      <xdr:row>10</xdr:row>
      <xdr:rowOff>167640</xdr:rowOff>
    </xdr:to>
    <xdr:sp macro="" textlink="Date_Time">
      <xdr:nvSpPr>
        <xdr:cNvPr id="23" name="Rectangle 22">
          <a:extLst>
            <a:ext uri="{FF2B5EF4-FFF2-40B4-BE49-F238E27FC236}">
              <a16:creationId xmlns:a16="http://schemas.microsoft.com/office/drawing/2014/main" id="{D863C69D-F73B-3758-FE6B-C6A7B1B5AFDE}"/>
            </a:ext>
          </a:extLst>
        </xdr:cNvPr>
        <xdr:cNvSpPr/>
      </xdr:nvSpPr>
      <xdr:spPr>
        <a:xfrm>
          <a:off x="22860" y="1600200"/>
          <a:ext cx="1181100" cy="4343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fld id="{BEF32F96-BD4C-4BAC-A26A-8455407D1186}" type="TxLink">
            <a:rPr lang="en-US" sz="1100" b="1" i="0" u="none" strike="noStrike">
              <a:solidFill>
                <a:srgbClr val="000000"/>
              </a:solidFill>
              <a:latin typeface="Aptos Narrow"/>
            </a:rPr>
            <a:pPr algn="l"/>
            <a:t>13-06-2026 21:47</a:t>
          </a:fld>
          <a:endParaRPr lang="en-IN" sz="1100" b="1">
            <a:solidFill>
              <a:schemeClr val="tx1"/>
            </a:solidFill>
            <a:latin typeface="Book Antiqua" panose="02040602050305030304" pitchFamily="18" charset="0"/>
          </a:endParaRPr>
        </a:p>
      </xdr:txBody>
    </xdr:sp>
    <xdr:clientData/>
  </xdr:twoCellAnchor>
  <xdr:twoCellAnchor>
    <xdr:from>
      <xdr:col>6</xdr:col>
      <xdr:colOff>845820</xdr:colOff>
      <xdr:row>11</xdr:row>
      <xdr:rowOff>137160</xdr:rowOff>
    </xdr:from>
    <xdr:to>
      <xdr:col>6</xdr:col>
      <xdr:colOff>1417320</xdr:colOff>
      <xdr:row>13</xdr:row>
      <xdr:rowOff>45720</xdr:rowOff>
    </xdr:to>
    <xdr:sp macro="" textlink="'Data Prep'!L5">
      <xdr:nvSpPr>
        <xdr:cNvPr id="24" name="TextBox 23">
          <a:extLst>
            <a:ext uri="{FF2B5EF4-FFF2-40B4-BE49-F238E27FC236}">
              <a16:creationId xmlns:a16="http://schemas.microsoft.com/office/drawing/2014/main" id="{5EB131A9-5FEE-D6AB-9740-F7F0DF6A1D8D}"/>
            </a:ext>
          </a:extLst>
        </xdr:cNvPr>
        <xdr:cNvSpPr txBox="1"/>
      </xdr:nvSpPr>
      <xdr:spPr>
        <a:xfrm>
          <a:off x="5996940" y="2186940"/>
          <a:ext cx="57150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6933883-6E23-4E7F-AACF-FBEA412D64CE}" type="TxLink">
            <a:rPr lang="en-US" sz="1500" b="1" i="0" u="none" strike="noStrike">
              <a:solidFill>
                <a:schemeClr val="tx1"/>
              </a:solidFill>
              <a:latin typeface="Aptos Narrow"/>
            </a:rPr>
            <a:pPr/>
            <a:t>7%</a:t>
          </a:fld>
          <a:endParaRPr lang="en-IN" sz="1500" b="1">
            <a:solidFill>
              <a:schemeClr val="tx1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30480</xdr:colOff>
          <xdr:row>7</xdr:row>
          <xdr:rowOff>129540</xdr:rowOff>
        </xdr:from>
        <xdr:to>
          <xdr:col>5</xdr:col>
          <xdr:colOff>518160</xdr:colOff>
          <xdr:row>8</xdr:row>
          <xdr:rowOff>274320</xdr:rowOff>
        </xdr:to>
        <xdr:sp macro="" textlink="">
          <xdr:nvSpPr>
            <xdr:cNvPr id="1029" name="Spinne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830580</xdr:colOff>
          <xdr:row>7</xdr:row>
          <xdr:rowOff>121920</xdr:rowOff>
        </xdr:from>
        <xdr:to>
          <xdr:col>8</xdr:col>
          <xdr:colOff>693420</xdr:colOff>
          <xdr:row>8</xdr:row>
          <xdr:rowOff>274320</xdr:rowOff>
        </xdr:to>
        <xdr:sp macro="" textlink="">
          <xdr:nvSpPr>
            <xdr:cNvPr id="1036" name="Option 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12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1440180</xdr:colOff>
          <xdr:row>7</xdr:row>
          <xdr:rowOff>121920</xdr:rowOff>
        </xdr:from>
        <xdr:to>
          <xdr:col>10</xdr:col>
          <xdr:colOff>205740</xdr:colOff>
          <xdr:row>8</xdr:row>
          <xdr:rowOff>274320</xdr:rowOff>
        </xdr:to>
        <xdr:sp macro="" textlink="">
          <xdr:nvSpPr>
            <xdr:cNvPr id="1037" name="Option 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2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Option Button 13</a:t>
              </a:r>
            </a:p>
          </xdr:txBody>
        </xdr:sp>
        <xdr:clientData/>
      </xdr:twoCellAnchor>
    </mc:Choice>
    <mc:Fallback/>
  </mc:AlternateContent>
  <xdr:twoCellAnchor editAs="absolute">
    <xdr:from>
      <xdr:col>7</xdr:col>
      <xdr:colOff>1036320</xdr:colOff>
      <xdr:row>8</xdr:row>
      <xdr:rowOff>952</xdr:rowOff>
    </xdr:from>
    <xdr:to>
      <xdr:col>8</xdr:col>
      <xdr:colOff>1432560</xdr:colOff>
      <xdr:row>8</xdr:row>
      <xdr:rowOff>267652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F2CC1A1D-EE16-1CD4-FEE2-72DDE0B88353}"/>
            </a:ext>
          </a:extLst>
        </xdr:cNvPr>
        <xdr:cNvSpPr txBox="1"/>
      </xdr:nvSpPr>
      <xdr:spPr>
        <a:xfrm>
          <a:off x="7955280" y="1410652"/>
          <a:ext cx="1767840" cy="26670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bg1"/>
              </a:solidFill>
            </a:rPr>
            <a:t>Employee Per 1000 Capita</a:t>
          </a:r>
        </a:p>
      </xdr:txBody>
    </xdr:sp>
    <xdr:clientData/>
  </xdr:twoCellAnchor>
  <xdr:twoCellAnchor>
    <xdr:from>
      <xdr:col>8</xdr:col>
      <xdr:colOff>1638300</xdr:colOff>
      <xdr:row>8</xdr:row>
      <xdr:rowOff>952</xdr:rowOff>
    </xdr:from>
    <xdr:to>
      <xdr:col>9</xdr:col>
      <xdr:colOff>579120</xdr:colOff>
      <xdr:row>8</xdr:row>
      <xdr:rowOff>267652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549F0DA-BE31-10DB-6F35-C4847367B350}"/>
            </a:ext>
          </a:extLst>
        </xdr:cNvPr>
        <xdr:cNvSpPr txBox="1"/>
      </xdr:nvSpPr>
      <xdr:spPr>
        <a:xfrm>
          <a:off x="9928860" y="1410652"/>
          <a:ext cx="822960" cy="266700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bg1"/>
              </a:solidFill>
            </a:rPr>
            <a:t>Avg Wage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09DE02-109A-472D-B7F5-7A65001A11E0}" name="Data" displayName="Data" ref="A1:F1919" totalsRowShown="0" headerRowDxfId="3">
  <tableColumns count="6">
    <tableColumn id="1" xr3:uid="{227C25E7-95AD-43C5-849C-0FCD1237B572}" name="Year"/>
    <tableColumn id="2" xr3:uid="{44C1F3A1-2CCA-4584-AC06-07A6609127AD}" name="Industry"/>
    <tableColumn id="3" xr3:uid="{1650623E-88B0-47A9-92AC-F6DDA1782599}" name="State"/>
    <tableColumn id="4" xr3:uid="{5B4653F4-4D06-4921-BA0F-808F570F7BE7}" name="Establishments" dataDxfId="2"/>
    <tableColumn id="5" xr3:uid="{F0A7C7CA-933B-4F11-ACAD-FF569D199358}" name="Employees" dataDxfId="1"/>
    <tableColumn id="6" xr3:uid="{5D36698B-0A93-4446-BFC4-36BDC2A9420E}" name="Avg Annual Wag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AB765-4C4F-4862-ADA1-AC4680EAC214}">
  <dimension ref="A1:F1919"/>
  <sheetViews>
    <sheetView workbookViewId="0"/>
  </sheetViews>
  <sheetFormatPr defaultRowHeight="14.4" x14ac:dyDescent="0.3"/>
  <cols>
    <col min="1" max="1" width="7.21875" customWidth="1"/>
    <col min="2" max="2" width="19.33203125" bestFit="1" customWidth="1"/>
    <col min="3" max="3" width="14" bestFit="1" customWidth="1"/>
    <col min="4" max="4" width="15.77734375" customWidth="1"/>
    <col min="5" max="5" width="12" customWidth="1"/>
    <col min="6" max="6" width="16.6640625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>
        <v>2020</v>
      </c>
      <c r="B2" t="s">
        <v>6</v>
      </c>
      <c r="C2" t="s">
        <v>7</v>
      </c>
      <c r="D2" s="1">
        <v>1829</v>
      </c>
      <c r="E2" s="1">
        <v>18051</v>
      </c>
      <c r="F2" s="2">
        <v>58872</v>
      </c>
    </row>
    <row r="3" spans="1:6" x14ac:dyDescent="0.3">
      <c r="A3">
        <v>2020</v>
      </c>
      <c r="B3" t="s">
        <v>6</v>
      </c>
      <c r="C3" t="s">
        <v>8</v>
      </c>
      <c r="D3" s="1">
        <v>1354</v>
      </c>
      <c r="E3" s="1">
        <v>35607</v>
      </c>
      <c r="F3" s="2">
        <v>55216</v>
      </c>
    </row>
    <row r="4" spans="1:6" x14ac:dyDescent="0.3">
      <c r="A4">
        <v>2020</v>
      </c>
      <c r="B4" t="s">
        <v>6</v>
      </c>
      <c r="C4" t="s">
        <v>9</v>
      </c>
      <c r="D4" s="1">
        <v>2565</v>
      </c>
      <c r="E4" s="1">
        <v>15961</v>
      </c>
      <c r="F4" s="2">
        <v>49909</v>
      </c>
    </row>
    <row r="5" spans="1:6" x14ac:dyDescent="0.3">
      <c r="A5">
        <v>2020</v>
      </c>
      <c r="B5" t="s">
        <v>6</v>
      </c>
      <c r="C5" t="s">
        <v>10</v>
      </c>
      <c r="D5" s="1">
        <v>17651</v>
      </c>
      <c r="E5" s="1">
        <v>425665</v>
      </c>
      <c r="F5" s="2">
        <v>42534</v>
      </c>
    </row>
    <row r="6" spans="1:6" x14ac:dyDescent="0.3">
      <c r="A6">
        <v>2020</v>
      </c>
      <c r="B6" t="s">
        <v>6</v>
      </c>
      <c r="C6" t="s">
        <v>11</v>
      </c>
      <c r="D6" s="1">
        <v>3312</v>
      </c>
      <c r="E6" s="1">
        <v>41633</v>
      </c>
      <c r="F6" s="2">
        <v>91879</v>
      </c>
    </row>
    <row r="7" spans="1:6" x14ac:dyDescent="0.3">
      <c r="A7">
        <v>2020</v>
      </c>
      <c r="B7" t="s">
        <v>6</v>
      </c>
      <c r="C7" t="s">
        <v>12</v>
      </c>
      <c r="D7">
        <v>467</v>
      </c>
      <c r="E7" s="1">
        <v>5260</v>
      </c>
      <c r="F7" s="2">
        <v>43142</v>
      </c>
    </row>
    <row r="8" spans="1:6" x14ac:dyDescent="0.3">
      <c r="A8">
        <v>2020</v>
      </c>
      <c r="B8" t="s">
        <v>6</v>
      </c>
      <c r="C8" t="s">
        <v>13</v>
      </c>
      <c r="D8">
        <v>186</v>
      </c>
      <c r="E8" s="1">
        <v>1317</v>
      </c>
      <c r="F8" s="2">
        <v>43290</v>
      </c>
    </row>
    <row r="9" spans="1:6" x14ac:dyDescent="0.3">
      <c r="A9">
        <v>2020</v>
      </c>
      <c r="B9" t="s">
        <v>6</v>
      </c>
      <c r="C9" t="s">
        <v>14</v>
      </c>
      <c r="D9" s="1">
        <v>5394</v>
      </c>
      <c r="E9" s="1">
        <v>71107</v>
      </c>
      <c r="F9" s="2">
        <v>37717</v>
      </c>
    </row>
    <row r="10" spans="1:6" x14ac:dyDescent="0.3">
      <c r="A10">
        <v>2020</v>
      </c>
      <c r="B10" t="s">
        <v>6</v>
      </c>
      <c r="C10" t="s">
        <v>15</v>
      </c>
      <c r="D10" s="1">
        <v>2794</v>
      </c>
      <c r="E10" s="1">
        <v>29309</v>
      </c>
      <c r="F10" s="2">
        <v>45978</v>
      </c>
    </row>
    <row r="11" spans="1:6" x14ac:dyDescent="0.3">
      <c r="A11">
        <v>2020</v>
      </c>
      <c r="B11" t="s">
        <v>6</v>
      </c>
      <c r="C11" t="s">
        <v>16</v>
      </c>
      <c r="D11" s="1">
        <v>2531</v>
      </c>
      <c r="E11" s="1">
        <v>27020</v>
      </c>
      <c r="F11" s="2">
        <v>42820</v>
      </c>
    </row>
    <row r="12" spans="1:6" x14ac:dyDescent="0.3">
      <c r="A12">
        <v>2020</v>
      </c>
      <c r="B12" t="s">
        <v>6</v>
      </c>
      <c r="C12" t="s">
        <v>17</v>
      </c>
      <c r="D12" s="1">
        <v>2818</v>
      </c>
      <c r="E12" s="1">
        <v>24933</v>
      </c>
      <c r="F12" s="2">
        <v>52259</v>
      </c>
    </row>
    <row r="13" spans="1:6" x14ac:dyDescent="0.3">
      <c r="A13">
        <v>2020</v>
      </c>
      <c r="B13" t="s">
        <v>6</v>
      </c>
      <c r="C13" t="s">
        <v>18</v>
      </c>
      <c r="D13" s="1">
        <v>2302</v>
      </c>
      <c r="E13" s="1">
        <v>20872</v>
      </c>
      <c r="F13" s="2">
        <v>50732</v>
      </c>
    </row>
    <row r="14" spans="1:6" x14ac:dyDescent="0.3">
      <c r="A14">
        <v>2020</v>
      </c>
      <c r="B14" t="s">
        <v>6</v>
      </c>
      <c r="C14" t="s">
        <v>19</v>
      </c>
      <c r="D14" s="1">
        <v>2911</v>
      </c>
      <c r="E14" s="1">
        <v>22868</v>
      </c>
      <c r="F14" s="2">
        <v>45588</v>
      </c>
    </row>
    <row r="15" spans="1:6" x14ac:dyDescent="0.3">
      <c r="A15">
        <v>2020</v>
      </c>
      <c r="B15" t="s">
        <v>6</v>
      </c>
      <c r="C15" t="s">
        <v>20</v>
      </c>
      <c r="D15" s="1">
        <v>2613</v>
      </c>
      <c r="E15" s="1">
        <v>18607</v>
      </c>
      <c r="F15" s="2">
        <v>47721</v>
      </c>
    </row>
    <row r="16" spans="1:6" x14ac:dyDescent="0.3">
      <c r="A16">
        <v>2020</v>
      </c>
      <c r="B16" t="s">
        <v>6</v>
      </c>
      <c r="C16" t="s">
        <v>21</v>
      </c>
      <c r="D16" s="1">
        <v>1632</v>
      </c>
      <c r="E16" s="1">
        <v>16061</v>
      </c>
      <c r="F16" s="2">
        <v>54605</v>
      </c>
    </row>
    <row r="17" spans="1:6" x14ac:dyDescent="0.3">
      <c r="A17">
        <v>2020</v>
      </c>
      <c r="B17" t="s">
        <v>6</v>
      </c>
      <c r="C17" t="s">
        <v>22</v>
      </c>
      <c r="D17" s="1">
        <v>3143</v>
      </c>
      <c r="E17" s="1">
        <v>37751</v>
      </c>
      <c r="F17" s="2">
        <v>86727</v>
      </c>
    </row>
    <row r="18" spans="1:6" x14ac:dyDescent="0.3">
      <c r="A18">
        <v>2020</v>
      </c>
      <c r="B18" t="s">
        <v>6</v>
      </c>
      <c r="C18" t="s">
        <v>23</v>
      </c>
      <c r="D18" s="1">
        <v>1581</v>
      </c>
      <c r="E18" s="1">
        <v>7787</v>
      </c>
      <c r="F18" s="2">
        <v>41422</v>
      </c>
    </row>
    <row r="19" spans="1:6" x14ac:dyDescent="0.3">
      <c r="A19">
        <v>2020</v>
      </c>
      <c r="B19" t="s">
        <v>6</v>
      </c>
      <c r="C19" t="s">
        <v>24</v>
      </c>
      <c r="D19">
        <v>720</v>
      </c>
      <c r="E19" s="1">
        <v>7112</v>
      </c>
      <c r="F19" s="2">
        <v>46887</v>
      </c>
    </row>
    <row r="20" spans="1:6" x14ac:dyDescent="0.3">
      <c r="A20">
        <v>2020</v>
      </c>
      <c r="B20" t="s">
        <v>6</v>
      </c>
      <c r="C20" t="s">
        <v>25</v>
      </c>
      <c r="D20">
        <v>999</v>
      </c>
      <c r="E20" s="1">
        <v>11134</v>
      </c>
      <c r="F20" s="2">
        <v>64628</v>
      </c>
    </row>
    <row r="21" spans="1:6" x14ac:dyDescent="0.3">
      <c r="A21">
        <v>2020</v>
      </c>
      <c r="B21" t="s">
        <v>6</v>
      </c>
      <c r="C21" t="s">
        <v>26</v>
      </c>
      <c r="D21" s="1">
        <v>3574</v>
      </c>
      <c r="E21" s="1">
        <v>34897</v>
      </c>
      <c r="F21" s="2">
        <v>43309</v>
      </c>
    </row>
    <row r="22" spans="1:6" x14ac:dyDescent="0.3">
      <c r="A22">
        <v>2020</v>
      </c>
      <c r="B22" t="s">
        <v>6</v>
      </c>
      <c r="C22" t="s">
        <v>27</v>
      </c>
      <c r="D22" s="1">
        <v>3175</v>
      </c>
      <c r="E22" s="1">
        <v>28204</v>
      </c>
      <c r="F22" s="2">
        <v>51276</v>
      </c>
    </row>
    <row r="23" spans="1:6" x14ac:dyDescent="0.3">
      <c r="A23">
        <v>2020</v>
      </c>
      <c r="B23" t="s">
        <v>6</v>
      </c>
      <c r="C23" t="s">
        <v>28</v>
      </c>
      <c r="D23" s="1">
        <v>2070</v>
      </c>
      <c r="E23" s="1">
        <v>14561</v>
      </c>
      <c r="F23" s="2">
        <v>50525</v>
      </c>
    </row>
    <row r="24" spans="1:6" x14ac:dyDescent="0.3">
      <c r="A24">
        <v>2020</v>
      </c>
      <c r="B24" t="s">
        <v>6</v>
      </c>
      <c r="C24" t="s">
        <v>29</v>
      </c>
      <c r="D24" s="1">
        <v>2123</v>
      </c>
      <c r="E24" s="1">
        <v>16963</v>
      </c>
      <c r="F24" s="2">
        <v>46677</v>
      </c>
    </row>
    <row r="25" spans="1:6" x14ac:dyDescent="0.3">
      <c r="A25">
        <v>2020</v>
      </c>
      <c r="B25" t="s">
        <v>6</v>
      </c>
      <c r="C25" t="s">
        <v>30</v>
      </c>
      <c r="D25" s="1">
        <v>1847</v>
      </c>
      <c r="E25" s="1">
        <v>12449</v>
      </c>
      <c r="F25" s="2">
        <v>65945</v>
      </c>
    </row>
    <row r="26" spans="1:6" x14ac:dyDescent="0.3">
      <c r="A26">
        <v>2020</v>
      </c>
      <c r="B26" t="s">
        <v>6</v>
      </c>
      <c r="C26" t="s">
        <v>31</v>
      </c>
      <c r="D26" s="1">
        <v>2469</v>
      </c>
      <c r="E26" s="1">
        <v>16054</v>
      </c>
      <c r="F26" s="2">
        <v>44449</v>
      </c>
    </row>
    <row r="27" spans="1:6" x14ac:dyDescent="0.3">
      <c r="A27">
        <v>2020</v>
      </c>
      <c r="B27" t="s">
        <v>6</v>
      </c>
      <c r="C27" t="s">
        <v>32</v>
      </c>
      <c r="D27">
        <v>598</v>
      </c>
      <c r="E27" s="1">
        <v>19509</v>
      </c>
      <c r="F27" s="2">
        <v>88060</v>
      </c>
    </row>
    <row r="28" spans="1:6" x14ac:dyDescent="0.3">
      <c r="A28">
        <v>2020</v>
      </c>
      <c r="B28" t="s">
        <v>6</v>
      </c>
      <c r="C28" t="s">
        <v>33</v>
      </c>
      <c r="D28">
        <v>350</v>
      </c>
      <c r="E28" s="1">
        <v>2671</v>
      </c>
      <c r="F28" s="2">
        <v>48051</v>
      </c>
    </row>
    <row r="29" spans="1:6" x14ac:dyDescent="0.3">
      <c r="A29">
        <v>2020</v>
      </c>
      <c r="B29" t="s">
        <v>6</v>
      </c>
      <c r="C29" t="s">
        <v>34</v>
      </c>
      <c r="D29">
        <v>999</v>
      </c>
      <c r="E29" s="1">
        <v>11868</v>
      </c>
      <c r="F29" s="2">
        <v>44634</v>
      </c>
    </row>
    <row r="30" spans="1:6" x14ac:dyDescent="0.3">
      <c r="A30">
        <v>2020</v>
      </c>
      <c r="B30" t="s">
        <v>6</v>
      </c>
      <c r="C30" t="s">
        <v>35</v>
      </c>
      <c r="D30" s="1">
        <v>2064</v>
      </c>
      <c r="E30" s="1">
        <v>30471</v>
      </c>
      <c r="F30" s="2">
        <v>65885</v>
      </c>
    </row>
    <row r="31" spans="1:6" x14ac:dyDescent="0.3">
      <c r="A31">
        <v>2020</v>
      </c>
      <c r="B31" t="s">
        <v>6</v>
      </c>
      <c r="C31" t="s">
        <v>36</v>
      </c>
      <c r="D31" s="1">
        <v>3335</v>
      </c>
      <c r="E31" s="1">
        <v>31214</v>
      </c>
      <c r="F31" s="2">
        <v>44384</v>
      </c>
    </row>
    <row r="32" spans="1:6" x14ac:dyDescent="0.3">
      <c r="A32">
        <v>2020</v>
      </c>
      <c r="B32" t="s">
        <v>6</v>
      </c>
      <c r="C32" t="s">
        <v>37</v>
      </c>
      <c r="D32" s="1">
        <v>3428</v>
      </c>
      <c r="E32" s="1">
        <v>29560</v>
      </c>
      <c r="F32" s="2">
        <v>42720</v>
      </c>
    </row>
    <row r="33" spans="1:6" x14ac:dyDescent="0.3">
      <c r="A33">
        <v>2020</v>
      </c>
      <c r="B33" t="s">
        <v>6</v>
      </c>
      <c r="C33" t="s">
        <v>38</v>
      </c>
      <c r="D33" s="1">
        <v>1830</v>
      </c>
      <c r="E33" s="1">
        <v>19954</v>
      </c>
      <c r="F33" s="2">
        <v>92355</v>
      </c>
    </row>
    <row r="34" spans="1:6" x14ac:dyDescent="0.3">
      <c r="A34">
        <v>2020</v>
      </c>
      <c r="B34" t="s">
        <v>6</v>
      </c>
      <c r="C34" t="s">
        <v>39</v>
      </c>
      <c r="D34" s="1">
        <v>2541</v>
      </c>
      <c r="E34" s="1">
        <v>25841</v>
      </c>
      <c r="F34" s="2">
        <v>51404</v>
      </c>
    </row>
    <row r="35" spans="1:6" x14ac:dyDescent="0.3">
      <c r="A35">
        <v>2020</v>
      </c>
      <c r="B35" t="s">
        <v>6</v>
      </c>
      <c r="C35" t="s">
        <v>40</v>
      </c>
      <c r="D35" s="1">
        <v>4355</v>
      </c>
      <c r="E35" s="1">
        <v>40722</v>
      </c>
      <c r="F35" s="2">
        <v>90660</v>
      </c>
    </row>
    <row r="36" spans="1:6" x14ac:dyDescent="0.3">
      <c r="A36">
        <v>2020</v>
      </c>
      <c r="B36" t="s">
        <v>6</v>
      </c>
      <c r="C36" t="s">
        <v>41</v>
      </c>
      <c r="D36" s="1">
        <v>4739</v>
      </c>
      <c r="E36" s="1">
        <v>54360</v>
      </c>
      <c r="F36" s="2">
        <v>40689</v>
      </c>
    </row>
    <row r="37" spans="1:6" x14ac:dyDescent="0.3">
      <c r="A37">
        <v>2020</v>
      </c>
      <c r="B37" t="s">
        <v>6</v>
      </c>
      <c r="C37" t="s">
        <v>42</v>
      </c>
      <c r="D37" s="1">
        <v>3629</v>
      </c>
      <c r="E37" s="1">
        <v>47789</v>
      </c>
      <c r="F37" s="2">
        <v>61949</v>
      </c>
    </row>
    <row r="38" spans="1:6" x14ac:dyDescent="0.3">
      <c r="A38">
        <v>2020</v>
      </c>
      <c r="B38" t="s">
        <v>6</v>
      </c>
      <c r="C38" t="s">
        <v>43</v>
      </c>
      <c r="D38">
        <v>205</v>
      </c>
      <c r="E38" s="1">
        <v>1128</v>
      </c>
      <c r="F38" s="2">
        <v>42071</v>
      </c>
    </row>
    <row r="39" spans="1:6" x14ac:dyDescent="0.3">
      <c r="A39">
        <v>2020</v>
      </c>
      <c r="B39" t="s">
        <v>6</v>
      </c>
      <c r="C39" t="s">
        <v>44</v>
      </c>
      <c r="D39" s="1">
        <v>1375</v>
      </c>
      <c r="E39" s="1">
        <v>12442</v>
      </c>
      <c r="F39" s="2">
        <v>44990</v>
      </c>
    </row>
    <row r="40" spans="1:6" x14ac:dyDescent="0.3">
      <c r="A40">
        <v>2020</v>
      </c>
      <c r="B40" t="s">
        <v>6</v>
      </c>
      <c r="C40" t="s">
        <v>45</v>
      </c>
      <c r="D40" s="1">
        <v>1099</v>
      </c>
      <c r="E40" s="1">
        <v>7137</v>
      </c>
      <c r="F40" s="2">
        <v>45582</v>
      </c>
    </row>
    <row r="41" spans="1:6" x14ac:dyDescent="0.3">
      <c r="A41">
        <v>2020</v>
      </c>
      <c r="B41" t="s">
        <v>6</v>
      </c>
      <c r="C41" t="s">
        <v>46</v>
      </c>
      <c r="D41" s="1">
        <v>1130</v>
      </c>
      <c r="E41" s="1">
        <v>11134</v>
      </c>
      <c r="F41" s="2">
        <v>48930</v>
      </c>
    </row>
    <row r="42" spans="1:6" x14ac:dyDescent="0.3">
      <c r="A42">
        <v>2020</v>
      </c>
      <c r="B42" t="s">
        <v>6</v>
      </c>
      <c r="C42" t="s">
        <v>47</v>
      </c>
      <c r="D42" s="1">
        <v>19698</v>
      </c>
      <c r="E42" s="1">
        <v>249859</v>
      </c>
      <c r="F42" s="2">
        <v>117086</v>
      </c>
    </row>
    <row r="43" spans="1:6" x14ac:dyDescent="0.3">
      <c r="A43">
        <v>2020</v>
      </c>
      <c r="B43" t="s">
        <v>6</v>
      </c>
      <c r="C43" t="s">
        <v>48</v>
      </c>
      <c r="D43" s="1">
        <v>1066</v>
      </c>
      <c r="E43" s="1">
        <v>14648</v>
      </c>
      <c r="F43" s="2">
        <v>65747</v>
      </c>
    </row>
    <row r="44" spans="1:6" x14ac:dyDescent="0.3">
      <c r="A44">
        <v>2020</v>
      </c>
      <c r="B44" t="s">
        <v>6</v>
      </c>
      <c r="C44" t="s">
        <v>49</v>
      </c>
      <c r="D44">
        <v>571</v>
      </c>
      <c r="E44" s="1">
        <v>4095</v>
      </c>
      <c r="F44" s="2">
        <v>41096</v>
      </c>
    </row>
    <row r="45" spans="1:6" x14ac:dyDescent="0.3">
      <c r="A45">
        <v>2020</v>
      </c>
      <c r="B45" t="s">
        <v>6</v>
      </c>
      <c r="C45" t="s">
        <v>50</v>
      </c>
      <c r="D45" s="1">
        <v>2073</v>
      </c>
      <c r="E45" s="1">
        <v>17603</v>
      </c>
      <c r="F45" s="2">
        <v>48671</v>
      </c>
    </row>
    <row r="46" spans="1:6" x14ac:dyDescent="0.3">
      <c r="A46">
        <v>2020</v>
      </c>
      <c r="B46" t="s">
        <v>6</v>
      </c>
      <c r="C46" t="s">
        <v>51</v>
      </c>
      <c r="D46" s="1">
        <v>6971</v>
      </c>
      <c r="E46" s="1">
        <v>101358</v>
      </c>
      <c r="F46" s="2">
        <v>36964</v>
      </c>
    </row>
    <row r="47" spans="1:6" x14ac:dyDescent="0.3">
      <c r="A47">
        <v>2020</v>
      </c>
      <c r="B47" t="s">
        <v>6</v>
      </c>
      <c r="C47" t="s">
        <v>52</v>
      </c>
      <c r="D47" s="1">
        <v>1117</v>
      </c>
      <c r="E47" s="1">
        <v>18455</v>
      </c>
      <c r="F47" s="2">
        <v>78059</v>
      </c>
    </row>
    <row r="48" spans="1:6" x14ac:dyDescent="0.3">
      <c r="A48">
        <v>2020</v>
      </c>
      <c r="B48" t="s">
        <v>6</v>
      </c>
      <c r="C48" t="s">
        <v>53</v>
      </c>
      <c r="D48" s="1">
        <v>2872</v>
      </c>
      <c r="E48" s="1">
        <v>30781</v>
      </c>
      <c r="F48" s="2">
        <v>41928</v>
      </c>
    </row>
    <row r="49" spans="1:6" x14ac:dyDescent="0.3">
      <c r="A49">
        <v>2020</v>
      </c>
      <c r="B49" t="s">
        <v>6</v>
      </c>
      <c r="C49" t="s">
        <v>54</v>
      </c>
      <c r="D49" s="1">
        <v>1440</v>
      </c>
      <c r="E49" s="1">
        <v>19091</v>
      </c>
      <c r="F49" s="2">
        <v>83063</v>
      </c>
    </row>
    <row r="50" spans="1:6" x14ac:dyDescent="0.3">
      <c r="A50">
        <v>2020</v>
      </c>
      <c r="B50" t="s">
        <v>55</v>
      </c>
      <c r="C50" t="s">
        <v>7</v>
      </c>
      <c r="D50" s="1">
        <v>10335</v>
      </c>
      <c r="E50" s="1">
        <v>92772</v>
      </c>
      <c r="F50" s="2">
        <v>59279</v>
      </c>
    </row>
    <row r="51" spans="1:6" x14ac:dyDescent="0.3">
      <c r="A51">
        <v>2020</v>
      </c>
      <c r="B51" t="s">
        <v>55</v>
      </c>
      <c r="C51" t="s">
        <v>8</v>
      </c>
      <c r="D51" s="1">
        <v>14006</v>
      </c>
      <c r="E51" s="1">
        <v>173852</v>
      </c>
      <c r="F51" s="2">
        <v>63056</v>
      </c>
    </row>
    <row r="52" spans="1:6" x14ac:dyDescent="0.3">
      <c r="A52">
        <v>2020</v>
      </c>
      <c r="B52" t="s">
        <v>55</v>
      </c>
      <c r="C52" t="s">
        <v>9</v>
      </c>
      <c r="D52" s="1">
        <v>7277</v>
      </c>
      <c r="E52" s="1">
        <v>53142</v>
      </c>
      <c r="F52" s="2">
        <v>52247</v>
      </c>
    </row>
    <row r="53" spans="1:6" x14ac:dyDescent="0.3">
      <c r="A53">
        <v>2020</v>
      </c>
      <c r="B53" t="s">
        <v>55</v>
      </c>
      <c r="C53" t="s">
        <v>10</v>
      </c>
      <c r="D53" s="1">
        <v>86322</v>
      </c>
      <c r="E53" s="1">
        <v>855879</v>
      </c>
      <c r="F53" s="2">
        <v>76740</v>
      </c>
    </row>
    <row r="54" spans="1:6" x14ac:dyDescent="0.3">
      <c r="A54">
        <v>2020</v>
      </c>
      <c r="B54" t="s">
        <v>55</v>
      </c>
      <c r="C54" t="s">
        <v>11</v>
      </c>
      <c r="D54" s="1">
        <v>21025</v>
      </c>
      <c r="E54" s="1">
        <v>174730</v>
      </c>
      <c r="F54" s="2">
        <v>68209</v>
      </c>
    </row>
    <row r="55" spans="1:6" x14ac:dyDescent="0.3">
      <c r="A55">
        <v>2020</v>
      </c>
      <c r="B55" t="s">
        <v>55</v>
      </c>
      <c r="C55" t="s">
        <v>12</v>
      </c>
      <c r="D55" s="1">
        <v>9415</v>
      </c>
      <c r="E55" s="1">
        <v>56915</v>
      </c>
      <c r="F55" s="2">
        <v>75591</v>
      </c>
    </row>
    <row r="56" spans="1:6" x14ac:dyDescent="0.3">
      <c r="A56">
        <v>2020</v>
      </c>
      <c r="B56" t="s">
        <v>55</v>
      </c>
      <c r="C56" t="s">
        <v>13</v>
      </c>
      <c r="D56" s="1">
        <v>3106</v>
      </c>
      <c r="E56" s="1">
        <v>22403</v>
      </c>
      <c r="F56" s="2">
        <v>64977</v>
      </c>
    </row>
    <row r="57" spans="1:6" x14ac:dyDescent="0.3">
      <c r="A57">
        <v>2020</v>
      </c>
      <c r="B57" t="s">
        <v>55</v>
      </c>
      <c r="C57" t="s">
        <v>14</v>
      </c>
      <c r="D57" s="1">
        <v>76308</v>
      </c>
      <c r="E57" s="1">
        <v>561991</v>
      </c>
      <c r="F57" s="2">
        <v>55910</v>
      </c>
    </row>
    <row r="58" spans="1:6" x14ac:dyDescent="0.3">
      <c r="A58">
        <v>2020</v>
      </c>
      <c r="B58" t="s">
        <v>55</v>
      </c>
      <c r="C58" t="s">
        <v>15</v>
      </c>
      <c r="D58" s="1">
        <v>22906</v>
      </c>
      <c r="E58" s="1">
        <v>200710</v>
      </c>
      <c r="F58" s="2">
        <v>66214</v>
      </c>
    </row>
    <row r="59" spans="1:6" x14ac:dyDescent="0.3">
      <c r="A59">
        <v>2020</v>
      </c>
      <c r="B59" t="s">
        <v>55</v>
      </c>
      <c r="C59" t="s">
        <v>16</v>
      </c>
      <c r="D59" s="1">
        <v>9159</v>
      </c>
      <c r="E59" s="1">
        <v>53385</v>
      </c>
      <c r="F59" s="2">
        <v>48649</v>
      </c>
    </row>
    <row r="60" spans="1:6" x14ac:dyDescent="0.3">
      <c r="A60">
        <v>2020</v>
      </c>
      <c r="B60" t="s">
        <v>55</v>
      </c>
      <c r="C60" t="s">
        <v>17</v>
      </c>
      <c r="D60" s="1">
        <v>32538</v>
      </c>
      <c r="E60" s="1">
        <v>216664</v>
      </c>
      <c r="F60" s="2">
        <v>76581</v>
      </c>
    </row>
    <row r="61" spans="1:6" x14ac:dyDescent="0.3">
      <c r="A61">
        <v>2020</v>
      </c>
      <c r="B61" t="s">
        <v>55</v>
      </c>
      <c r="C61" t="s">
        <v>18</v>
      </c>
      <c r="D61" s="1">
        <v>15617</v>
      </c>
      <c r="E61" s="1">
        <v>144001</v>
      </c>
      <c r="F61" s="2">
        <v>62619</v>
      </c>
    </row>
    <row r="62" spans="1:6" x14ac:dyDescent="0.3">
      <c r="A62">
        <v>2020</v>
      </c>
      <c r="B62" t="s">
        <v>55</v>
      </c>
      <c r="C62" t="s">
        <v>19</v>
      </c>
      <c r="D62" s="1">
        <v>9434</v>
      </c>
      <c r="E62" s="1">
        <v>76561</v>
      </c>
      <c r="F62" s="2">
        <v>61831</v>
      </c>
    </row>
    <row r="63" spans="1:6" x14ac:dyDescent="0.3">
      <c r="A63">
        <v>2020</v>
      </c>
      <c r="B63" t="s">
        <v>55</v>
      </c>
      <c r="C63" t="s">
        <v>20</v>
      </c>
      <c r="D63" s="1">
        <v>7355</v>
      </c>
      <c r="E63" s="1">
        <v>63118</v>
      </c>
      <c r="F63" s="2">
        <v>59126</v>
      </c>
    </row>
    <row r="64" spans="1:6" x14ac:dyDescent="0.3">
      <c r="A64">
        <v>2020</v>
      </c>
      <c r="B64" t="s">
        <v>55</v>
      </c>
      <c r="C64" t="s">
        <v>21</v>
      </c>
      <c r="D64" s="1">
        <v>9832</v>
      </c>
      <c r="E64" s="1">
        <v>77924</v>
      </c>
      <c r="F64" s="2">
        <v>58484</v>
      </c>
    </row>
    <row r="65" spans="1:6" x14ac:dyDescent="0.3">
      <c r="A65">
        <v>2020</v>
      </c>
      <c r="B65" t="s">
        <v>55</v>
      </c>
      <c r="C65" t="s">
        <v>22</v>
      </c>
      <c r="D65" s="1">
        <v>11349</v>
      </c>
      <c r="E65" s="1">
        <v>121521</v>
      </c>
      <c r="F65" s="2">
        <v>65354</v>
      </c>
    </row>
    <row r="66" spans="1:6" x14ac:dyDescent="0.3">
      <c r="A66">
        <v>2020</v>
      </c>
      <c r="B66" t="s">
        <v>55</v>
      </c>
      <c r="C66" t="s">
        <v>23</v>
      </c>
      <c r="D66" s="1">
        <v>5732</v>
      </c>
      <c r="E66" s="1">
        <v>30344</v>
      </c>
      <c r="F66" s="2">
        <v>55607</v>
      </c>
    </row>
    <row r="67" spans="1:6" x14ac:dyDescent="0.3">
      <c r="A67">
        <v>2020</v>
      </c>
      <c r="B67" t="s">
        <v>55</v>
      </c>
      <c r="C67" t="s">
        <v>24</v>
      </c>
      <c r="D67" s="1">
        <v>16346</v>
      </c>
      <c r="E67" s="1">
        <v>160039</v>
      </c>
      <c r="F67" s="2">
        <v>70642</v>
      </c>
    </row>
    <row r="68" spans="1:6" x14ac:dyDescent="0.3">
      <c r="A68">
        <v>2020</v>
      </c>
      <c r="B68" t="s">
        <v>55</v>
      </c>
      <c r="C68" t="s">
        <v>25</v>
      </c>
      <c r="D68" s="1">
        <v>21102</v>
      </c>
      <c r="E68" s="1">
        <v>152366</v>
      </c>
      <c r="F68" s="2">
        <v>84958</v>
      </c>
    </row>
    <row r="69" spans="1:6" x14ac:dyDescent="0.3">
      <c r="A69">
        <v>2020</v>
      </c>
      <c r="B69" t="s">
        <v>55</v>
      </c>
      <c r="C69" t="s">
        <v>26</v>
      </c>
      <c r="D69" s="1">
        <v>21646</v>
      </c>
      <c r="E69" s="1">
        <v>164028</v>
      </c>
      <c r="F69" s="2">
        <v>67631</v>
      </c>
    </row>
    <row r="70" spans="1:6" x14ac:dyDescent="0.3">
      <c r="A70">
        <v>2020</v>
      </c>
      <c r="B70" t="s">
        <v>55</v>
      </c>
      <c r="C70" t="s">
        <v>27</v>
      </c>
      <c r="D70" s="1">
        <v>16952</v>
      </c>
      <c r="E70" s="1">
        <v>123866</v>
      </c>
      <c r="F70" s="2">
        <v>72942</v>
      </c>
    </row>
    <row r="71" spans="1:6" x14ac:dyDescent="0.3">
      <c r="A71">
        <v>2020</v>
      </c>
      <c r="B71" t="s">
        <v>55</v>
      </c>
      <c r="C71" t="s">
        <v>28</v>
      </c>
      <c r="D71" s="1">
        <v>5839</v>
      </c>
      <c r="E71" s="1">
        <v>43888</v>
      </c>
      <c r="F71" s="2">
        <v>53779</v>
      </c>
    </row>
    <row r="72" spans="1:6" x14ac:dyDescent="0.3">
      <c r="A72">
        <v>2020</v>
      </c>
      <c r="B72" t="s">
        <v>55</v>
      </c>
      <c r="C72" t="s">
        <v>29</v>
      </c>
      <c r="D72" s="1">
        <v>15735</v>
      </c>
      <c r="E72" s="1">
        <v>126375</v>
      </c>
      <c r="F72" s="2">
        <v>64664</v>
      </c>
    </row>
    <row r="73" spans="1:6" x14ac:dyDescent="0.3">
      <c r="A73">
        <v>2020</v>
      </c>
      <c r="B73" t="s">
        <v>55</v>
      </c>
      <c r="C73" t="s">
        <v>30</v>
      </c>
      <c r="D73" s="1">
        <v>6813</v>
      </c>
      <c r="E73" s="1">
        <v>30793</v>
      </c>
      <c r="F73" s="2">
        <v>55897</v>
      </c>
    </row>
    <row r="74" spans="1:6" x14ac:dyDescent="0.3">
      <c r="A74">
        <v>2020</v>
      </c>
      <c r="B74" t="s">
        <v>55</v>
      </c>
      <c r="C74" t="s">
        <v>31</v>
      </c>
      <c r="D74" s="1">
        <v>7000</v>
      </c>
      <c r="E74" s="1">
        <v>55249</v>
      </c>
      <c r="F74" s="2">
        <v>56548</v>
      </c>
    </row>
    <row r="75" spans="1:6" x14ac:dyDescent="0.3">
      <c r="A75">
        <v>2020</v>
      </c>
      <c r="B75" t="s">
        <v>55</v>
      </c>
      <c r="C75" t="s">
        <v>32</v>
      </c>
      <c r="D75" s="1">
        <v>5757</v>
      </c>
      <c r="E75" s="1">
        <v>93450</v>
      </c>
      <c r="F75" s="2">
        <v>67902</v>
      </c>
    </row>
    <row r="76" spans="1:6" x14ac:dyDescent="0.3">
      <c r="A76">
        <v>2020</v>
      </c>
      <c r="B76" t="s">
        <v>55</v>
      </c>
      <c r="C76" t="s">
        <v>33</v>
      </c>
      <c r="D76" s="1">
        <v>4901</v>
      </c>
      <c r="E76" s="1">
        <v>27866</v>
      </c>
      <c r="F76" s="2">
        <v>68870</v>
      </c>
    </row>
    <row r="77" spans="1:6" x14ac:dyDescent="0.3">
      <c r="A77">
        <v>2020</v>
      </c>
      <c r="B77" t="s">
        <v>55</v>
      </c>
      <c r="C77" t="s">
        <v>34</v>
      </c>
      <c r="D77" s="1">
        <v>22711</v>
      </c>
      <c r="E77" s="1">
        <v>151469</v>
      </c>
      <c r="F77" s="2">
        <v>77924</v>
      </c>
    </row>
    <row r="78" spans="1:6" x14ac:dyDescent="0.3">
      <c r="A78">
        <v>2020</v>
      </c>
      <c r="B78" t="s">
        <v>55</v>
      </c>
      <c r="C78" t="s">
        <v>35</v>
      </c>
      <c r="D78" s="1">
        <v>5485</v>
      </c>
      <c r="E78" s="1">
        <v>48577</v>
      </c>
      <c r="F78" s="2">
        <v>53439</v>
      </c>
    </row>
    <row r="79" spans="1:6" x14ac:dyDescent="0.3">
      <c r="A79">
        <v>2020</v>
      </c>
      <c r="B79" t="s">
        <v>55</v>
      </c>
      <c r="C79" t="s">
        <v>36</v>
      </c>
      <c r="D79" s="1">
        <v>50929</v>
      </c>
      <c r="E79" s="1">
        <v>361821</v>
      </c>
      <c r="F79" s="2">
        <v>78199</v>
      </c>
    </row>
    <row r="80" spans="1:6" x14ac:dyDescent="0.3">
      <c r="A80">
        <v>2020</v>
      </c>
      <c r="B80" t="s">
        <v>55</v>
      </c>
      <c r="C80" t="s">
        <v>37</v>
      </c>
      <c r="D80" s="1">
        <v>29231</v>
      </c>
      <c r="E80" s="1">
        <v>229369</v>
      </c>
      <c r="F80" s="2">
        <v>59177</v>
      </c>
    </row>
    <row r="81" spans="1:6" x14ac:dyDescent="0.3">
      <c r="A81">
        <v>2020</v>
      </c>
      <c r="B81" t="s">
        <v>55</v>
      </c>
      <c r="C81" t="s">
        <v>38</v>
      </c>
      <c r="D81" s="1">
        <v>3669</v>
      </c>
      <c r="E81" s="1">
        <v>25364</v>
      </c>
      <c r="F81" s="2">
        <v>66729</v>
      </c>
    </row>
    <row r="82" spans="1:6" x14ac:dyDescent="0.3">
      <c r="A82">
        <v>2020</v>
      </c>
      <c r="B82" t="s">
        <v>55</v>
      </c>
      <c r="C82" t="s">
        <v>39</v>
      </c>
      <c r="D82" s="1">
        <v>23650</v>
      </c>
      <c r="E82" s="1">
        <v>218531</v>
      </c>
      <c r="F82" s="2">
        <v>65104</v>
      </c>
    </row>
    <row r="83" spans="1:6" x14ac:dyDescent="0.3">
      <c r="A83">
        <v>2020</v>
      </c>
      <c r="B83" t="s">
        <v>55</v>
      </c>
      <c r="C83" t="s">
        <v>40</v>
      </c>
      <c r="D83" s="1">
        <v>9855</v>
      </c>
      <c r="E83" s="1">
        <v>78772</v>
      </c>
      <c r="F83" s="2">
        <v>55099</v>
      </c>
    </row>
    <row r="84" spans="1:6" x14ac:dyDescent="0.3">
      <c r="A84">
        <v>2020</v>
      </c>
      <c r="B84" t="s">
        <v>55</v>
      </c>
      <c r="C84" t="s">
        <v>41</v>
      </c>
      <c r="D84" s="1">
        <v>14899</v>
      </c>
      <c r="E84" s="1">
        <v>107568</v>
      </c>
      <c r="F84" s="2">
        <v>66876</v>
      </c>
    </row>
    <row r="85" spans="1:6" x14ac:dyDescent="0.3">
      <c r="A85">
        <v>2020</v>
      </c>
      <c r="B85" t="s">
        <v>55</v>
      </c>
      <c r="C85" t="s">
        <v>42</v>
      </c>
      <c r="D85" s="1">
        <v>29345</v>
      </c>
      <c r="E85" s="1">
        <v>241570</v>
      </c>
      <c r="F85" s="2">
        <v>70639</v>
      </c>
    </row>
    <row r="86" spans="1:6" x14ac:dyDescent="0.3">
      <c r="A86">
        <v>2020</v>
      </c>
      <c r="B86" t="s">
        <v>55</v>
      </c>
      <c r="C86" t="s">
        <v>43</v>
      </c>
      <c r="D86" s="1">
        <v>3878</v>
      </c>
      <c r="E86" s="1">
        <v>18924</v>
      </c>
      <c r="F86" s="2">
        <v>66955</v>
      </c>
    </row>
    <row r="87" spans="1:6" x14ac:dyDescent="0.3">
      <c r="A87">
        <v>2020</v>
      </c>
      <c r="B87" t="s">
        <v>55</v>
      </c>
      <c r="C87" t="s">
        <v>44</v>
      </c>
      <c r="D87" s="1">
        <v>13348</v>
      </c>
      <c r="E87" s="1">
        <v>103647</v>
      </c>
      <c r="F87" s="2">
        <v>57906</v>
      </c>
    </row>
    <row r="88" spans="1:6" x14ac:dyDescent="0.3">
      <c r="A88">
        <v>2020</v>
      </c>
      <c r="B88" t="s">
        <v>55</v>
      </c>
      <c r="C88" t="s">
        <v>45</v>
      </c>
      <c r="D88" s="1">
        <v>3954</v>
      </c>
      <c r="E88" s="1">
        <v>24410</v>
      </c>
      <c r="F88" s="2">
        <v>54005</v>
      </c>
    </row>
    <row r="89" spans="1:6" x14ac:dyDescent="0.3">
      <c r="A89">
        <v>2020</v>
      </c>
      <c r="B89" t="s">
        <v>55</v>
      </c>
      <c r="C89" t="s">
        <v>46</v>
      </c>
      <c r="D89" s="1">
        <v>12894</v>
      </c>
      <c r="E89" s="1">
        <v>130050</v>
      </c>
      <c r="F89" s="2">
        <v>62259</v>
      </c>
    </row>
    <row r="90" spans="1:6" x14ac:dyDescent="0.3">
      <c r="A90">
        <v>2020</v>
      </c>
      <c r="B90" t="s">
        <v>55</v>
      </c>
      <c r="C90" t="s">
        <v>47</v>
      </c>
      <c r="D90" s="1">
        <v>55014</v>
      </c>
      <c r="E90" s="1">
        <v>737125</v>
      </c>
      <c r="F90" s="2">
        <v>68929</v>
      </c>
    </row>
    <row r="91" spans="1:6" x14ac:dyDescent="0.3">
      <c r="A91">
        <v>2020</v>
      </c>
      <c r="B91" t="s">
        <v>55</v>
      </c>
      <c r="C91" t="s">
        <v>48</v>
      </c>
      <c r="D91" s="1">
        <v>12932</v>
      </c>
      <c r="E91" s="1">
        <v>115416</v>
      </c>
      <c r="F91" s="2">
        <v>57474</v>
      </c>
    </row>
    <row r="92" spans="1:6" x14ac:dyDescent="0.3">
      <c r="A92">
        <v>2020</v>
      </c>
      <c r="B92" t="s">
        <v>55</v>
      </c>
      <c r="C92" t="s">
        <v>49</v>
      </c>
      <c r="D92" s="1">
        <v>2839</v>
      </c>
      <c r="E92" s="1">
        <v>14269</v>
      </c>
      <c r="F92" s="2">
        <v>55130</v>
      </c>
    </row>
    <row r="93" spans="1:6" x14ac:dyDescent="0.3">
      <c r="A93">
        <v>2020</v>
      </c>
      <c r="B93" t="s">
        <v>55</v>
      </c>
      <c r="C93" t="s">
        <v>50</v>
      </c>
      <c r="D93" s="1">
        <v>21412</v>
      </c>
      <c r="E93" s="1">
        <v>201137</v>
      </c>
      <c r="F93" s="2">
        <v>63521</v>
      </c>
    </row>
    <row r="94" spans="1:6" x14ac:dyDescent="0.3">
      <c r="A94">
        <v>2020</v>
      </c>
      <c r="B94" t="s">
        <v>55</v>
      </c>
      <c r="C94" t="s">
        <v>51</v>
      </c>
      <c r="D94" s="1">
        <v>27072</v>
      </c>
      <c r="E94" s="1">
        <v>199964</v>
      </c>
      <c r="F94" s="2">
        <v>69827</v>
      </c>
    </row>
    <row r="95" spans="1:6" x14ac:dyDescent="0.3">
      <c r="A95">
        <v>2020</v>
      </c>
      <c r="B95" t="s">
        <v>55</v>
      </c>
      <c r="C95" t="s">
        <v>52</v>
      </c>
      <c r="D95" s="1">
        <v>4300</v>
      </c>
      <c r="E95" s="1">
        <v>29583</v>
      </c>
      <c r="F95" s="2">
        <v>60489</v>
      </c>
    </row>
    <row r="96" spans="1:6" x14ac:dyDescent="0.3">
      <c r="A96">
        <v>2020</v>
      </c>
      <c r="B96" t="s">
        <v>55</v>
      </c>
      <c r="C96" t="s">
        <v>53</v>
      </c>
      <c r="D96" s="1">
        <v>14760</v>
      </c>
      <c r="E96" s="1">
        <v>123846</v>
      </c>
      <c r="F96" s="2">
        <v>66423</v>
      </c>
    </row>
    <row r="97" spans="1:6" x14ac:dyDescent="0.3">
      <c r="A97">
        <v>2020</v>
      </c>
      <c r="B97" t="s">
        <v>55</v>
      </c>
      <c r="C97" t="s">
        <v>54</v>
      </c>
      <c r="D97" s="1">
        <v>3478</v>
      </c>
      <c r="E97" s="1">
        <v>21200</v>
      </c>
      <c r="F97" s="2">
        <v>56640</v>
      </c>
    </row>
    <row r="98" spans="1:6" x14ac:dyDescent="0.3">
      <c r="A98">
        <v>2020</v>
      </c>
      <c r="B98" t="s">
        <v>56</v>
      </c>
      <c r="C98" t="s">
        <v>7</v>
      </c>
      <c r="D98" s="1">
        <v>5773</v>
      </c>
      <c r="E98" s="1">
        <v>258328</v>
      </c>
      <c r="F98" s="2">
        <v>60387</v>
      </c>
    </row>
    <row r="99" spans="1:6" x14ac:dyDescent="0.3">
      <c r="A99">
        <v>2020</v>
      </c>
      <c r="B99" t="s">
        <v>56</v>
      </c>
      <c r="C99" t="s">
        <v>8</v>
      </c>
      <c r="D99" s="1">
        <v>5213</v>
      </c>
      <c r="E99" s="1">
        <v>177110</v>
      </c>
      <c r="F99" s="2">
        <v>82375</v>
      </c>
    </row>
    <row r="100" spans="1:6" x14ac:dyDescent="0.3">
      <c r="A100">
        <v>2020</v>
      </c>
      <c r="B100" t="s">
        <v>56</v>
      </c>
      <c r="C100" t="s">
        <v>9</v>
      </c>
      <c r="D100" s="1">
        <v>2961</v>
      </c>
      <c r="E100" s="1">
        <v>154922</v>
      </c>
      <c r="F100" s="2">
        <v>51570</v>
      </c>
    </row>
    <row r="101" spans="1:6" x14ac:dyDescent="0.3">
      <c r="A101">
        <v>2020</v>
      </c>
      <c r="B101" t="s">
        <v>56</v>
      </c>
      <c r="C101" t="s">
        <v>10</v>
      </c>
      <c r="D101" s="1">
        <v>44156</v>
      </c>
      <c r="E101" s="1">
        <v>1263780</v>
      </c>
      <c r="F101" s="2">
        <v>109888</v>
      </c>
    </row>
    <row r="102" spans="1:6" x14ac:dyDescent="0.3">
      <c r="A102">
        <v>2020</v>
      </c>
      <c r="B102" t="s">
        <v>56</v>
      </c>
      <c r="C102" t="s">
        <v>11</v>
      </c>
      <c r="D102" s="1">
        <v>5888</v>
      </c>
      <c r="E102" s="1">
        <v>146473</v>
      </c>
      <c r="F102" s="2">
        <v>77207</v>
      </c>
    </row>
    <row r="103" spans="1:6" x14ac:dyDescent="0.3">
      <c r="A103">
        <v>2020</v>
      </c>
      <c r="B103" t="s">
        <v>56</v>
      </c>
      <c r="C103" t="s">
        <v>12</v>
      </c>
      <c r="D103" s="1">
        <v>4386</v>
      </c>
      <c r="E103" s="1">
        <v>153812</v>
      </c>
      <c r="F103" s="2">
        <v>87706</v>
      </c>
    </row>
    <row r="104" spans="1:6" x14ac:dyDescent="0.3">
      <c r="A104">
        <v>2020</v>
      </c>
      <c r="B104" t="s">
        <v>56</v>
      </c>
      <c r="C104" t="s">
        <v>13</v>
      </c>
      <c r="D104">
        <v>678</v>
      </c>
      <c r="E104" s="1">
        <v>25520</v>
      </c>
      <c r="F104" s="2">
        <v>68049</v>
      </c>
    </row>
    <row r="105" spans="1:6" x14ac:dyDescent="0.3">
      <c r="A105">
        <v>2020</v>
      </c>
      <c r="B105" t="s">
        <v>56</v>
      </c>
      <c r="C105" t="s">
        <v>14</v>
      </c>
      <c r="D105" s="1">
        <v>21275</v>
      </c>
      <c r="E105" s="1">
        <v>376070</v>
      </c>
      <c r="F105" s="2">
        <v>66758</v>
      </c>
    </row>
    <row r="106" spans="1:6" x14ac:dyDescent="0.3">
      <c r="A106">
        <v>2020</v>
      </c>
      <c r="B106" t="s">
        <v>56</v>
      </c>
      <c r="C106" t="s">
        <v>15</v>
      </c>
      <c r="D106" s="1">
        <v>10646</v>
      </c>
      <c r="E106" s="1">
        <v>382938</v>
      </c>
      <c r="F106" s="2">
        <v>60184</v>
      </c>
    </row>
    <row r="107" spans="1:6" x14ac:dyDescent="0.3">
      <c r="A107">
        <v>2020</v>
      </c>
      <c r="B107" t="s">
        <v>56</v>
      </c>
      <c r="C107" t="s">
        <v>16</v>
      </c>
      <c r="D107" s="1">
        <v>2886</v>
      </c>
      <c r="E107" s="1">
        <v>67700</v>
      </c>
      <c r="F107" s="2">
        <v>65603</v>
      </c>
    </row>
    <row r="108" spans="1:6" x14ac:dyDescent="0.3">
      <c r="A108">
        <v>2020</v>
      </c>
      <c r="B108" t="s">
        <v>56</v>
      </c>
      <c r="C108" t="s">
        <v>17</v>
      </c>
      <c r="D108" s="1">
        <v>18033</v>
      </c>
      <c r="E108" s="1">
        <v>554712</v>
      </c>
      <c r="F108" s="2">
        <v>74855</v>
      </c>
    </row>
    <row r="109" spans="1:6" x14ac:dyDescent="0.3">
      <c r="A109">
        <v>2020</v>
      </c>
      <c r="B109" t="s">
        <v>56</v>
      </c>
      <c r="C109" t="s">
        <v>18</v>
      </c>
      <c r="D109" s="1">
        <v>9255</v>
      </c>
      <c r="E109" s="1">
        <v>504460</v>
      </c>
      <c r="F109" s="2">
        <v>65092</v>
      </c>
    </row>
    <row r="110" spans="1:6" x14ac:dyDescent="0.3">
      <c r="A110">
        <v>2020</v>
      </c>
      <c r="B110" t="s">
        <v>56</v>
      </c>
      <c r="C110" t="s">
        <v>19</v>
      </c>
      <c r="D110" s="1">
        <v>4099</v>
      </c>
      <c r="E110" s="1">
        <v>216615</v>
      </c>
      <c r="F110" s="2">
        <v>63103</v>
      </c>
    </row>
    <row r="111" spans="1:6" x14ac:dyDescent="0.3">
      <c r="A111">
        <v>2020</v>
      </c>
      <c r="B111" t="s">
        <v>56</v>
      </c>
      <c r="C111" t="s">
        <v>20</v>
      </c>
      <c r="D111" s="1">
        <v>3109</v>
      </c>
      <c r="E111" s="1">
        <v>158784</v>
      </c>
      <c r="F111" s="2">
        <v>62958</v>
      </c>
    </row>
    <row r="112" spans="1:6" x14ac:dyDescent="0.3">
      <c r="A112">
        <v>2020</v>
      </c>
      <c r="B112" t="s">
        <v>56</v>
      </c>
      <c r="C112" t="s">
        <v>21</v>
      </c>
      <c r="D112" s="1">
        <v>4978</v>
      </c>
      <c r="E112" s="1">
        <v>235564</v>
      </c>
      <c r="F112" s="2">
        <v>62902</v>
      </c>
    </row>
    <row r="113" spans="1:6" x14ac:dyDescent="0.3">
      <c r="A113">
        <v>2020</v>
      </c>
      <c r="B113" t="s">
        <v>56</v>
      </c>
      <c r="C113" t="s">
        <v>22</v>
      </c>
      <c r="D113" s="1">
        <v>4501</v>
      </c>
      <c r="E113" s="1">
        <v>131430</v>
      </c>
      <c r="F113" s="2">
        <v>78183</v>
      </c>
    </row>
    <row r="114" spans="1:6" x14ac:dyDescent="0.3">
      <c r="A114">
        <v>2020</v>
      </c>
      <c r="B114" t="s">
        <v>56</v>
      </c>
      <c r="C114" t="s">
        <v>23</v>
      </c>
      <c r="D114" s="1">
        <v>1863</v>
      </c>
      <c r="E114" s="1">
        <v>50166</v>
      </c>
      <c r="F114" s="2">
        <v>61682</v>
      </c>
    </row>
    <row r="115" spans="1:6" x14ac:dyDescent="0.3">
      <c r="A115">
        <v>2020</v>
      </c>
      <c r="B115" t="s">
        <v>56</v>
      </c>
      <c r="C115" t="s">
        <v>24</v>
      </c>
      <c r="D115" s="1">
        <v>4168</v>
      </c>
      <c r="E115" s="1">
        <v>108500</v>
      </c>
      <c r="F115" s="2">
        <v>85426</v>
      </c>
    </row>
    <row r="116" spans="1:6" x14ac:dyDescent="0.3">
      <c r="A116">
        <v>2020</v>
      </c>
      <c r="B116" t="s">
        <v>56</v>
      </c>
      <c r="C116" t="s">
        <v>25</v>
      </c>
      <c r="D116" s="1">
        <v>6616</v>
      </c>
      <c r="E116" s="1">
        <v>229741</v>
      </c>
      <c r="F116" s="2">
        <v>96190</v>
      </c>
    </row>
    <row r="117" spans="1:6" x14ac:dyDescent="0.3">
      <c r="A117">
        <v>2020</v>
      </c>
      <c r="B117" t="s">
        <v>56</v>
      </c>
      <c r="C117" t="s">
        <v>26</v>
      </c>
      <c r="D117" s="1">
        <v>17437</v>
      </c>
      <c r="E117" s="1">
        <v>554767</v>
      </c>
      <c r="F117" s="2">
        <v>70769</v>
      </c>
    </row>
    <row r="118" spans="1:6" x14ac:dyDescent="0.3">
      <c r="A118">
        <v>2020</v>
      </c>
      <c r="B118" t="s">
        <v>56</v>
      </c>
      <c r="C118" t="s">
        <v>27</v>
      </c>
      <c r="D118" s="1">
        <v>8284</v>
      </c>
      <c r="E118" s="1">
        <v>309006</v>
      </c>
      <c r="F118" s="2">
        <v>70870</v>
      </c>
    </row>
    <row r="119" spans="1:6" x14ac:dyDescent="0.3">
      <c r="A119">
        <v>2020</v>
      </c>
      <c r="B119" t="s">
        <v>56</v>
      </c>
      <c r="C119" t="s">
        <v>28</v>
      </c>
      <c r="D119" s="1">
        <v>2375</v>
      </c>
      <c r="E119" s="1">
        <v>139480</v>
      </c>
      <c r="F119" s="2">
        <v>51918</v>
      </c>
    </row>
    <row r="120" spans="1:6" x14ac:dyDescent="0.3">
      <c r="A120">
        <v>2020</v>
      </c>
      <c r="B120" t="s">
        <v>56</v>
      </c>
      <c r="C120" t="s">
        <v>29</v>
      </c>
      <c r="D120" s="1">
        <v>6859</v>
      </c>
      <c r="E120" s="1">
        <v>266452</v>
      </c>
      <c r="F120" s="2">
        <v>61836</v>
      </c>
    </row>
    <row r="121" spans="1:6" x14ac:dyDescent="0.3">
      <c r="A121">
        <v>2020</v>
      </c>
      <c r="B121" t="s">
        <v>56</v>
      </c>
      <c r="C121" t="s">
        <v>30</v>
      </c>
      <c r="D121" s="1">
        <v>1672</v>
      </c>
      <c r="E121" s="1">
        <v>20421</v>
      </c>
      <c r="F121" s="2">
        <v>54178</v>
      </c>
    </row>
    <row r="122" spans="1:6" x14ac:dyDescent="0.3">
      <c r="A122">
        <v>2020</v>
      </c>
      <c r="B122" t="s">
        <v>56</v>
      </c>
      <c r="C122" t="s">
        <v>31</v>
      </c>
      <c r="D122" s="1">
        <v>1949</v>
      </c>
      <c r="E122" s="1">
        <v>97530</v>
      </c>
      <c r="F122" s="2">
        <v>56492</v>
      </c>
    </row>
    <row r="123" spans="1:6" x14ac:dyDescent="0.3">
      <c r="A123">
        <v>2020</v>
      </c>
      <c r="B123" t="s">
        <v>56</v>
      </c>
      <c r="C123" t="s">
        <v>32</v>
      </c>
      <c r="D123" s="1">
        <v>2054</v>
      </c>
      <c r="E123" s="1">
        <v>55673</v>
      </c>
      <c r="F123" s="2">
        <v>66821</v>
      </c>
    </row>
    <row r="124" spans="1:6" x14ac:dyDescent="0.3">
      <c r="A124">
        <v>2020</v>
      </c>
      <c r="B124" t="s">
        <v>56</v>
      </c>
      <c r="C124" t="s">
        <v>33</v>
      </c>
      <c r="D124" s="1">
        <v>2001</v>
      </c>
      <c r="E124" s="1">
        <v>67282</v>
      </c>
      <c r="F124" s="2">
        <v>77769</v>
      </c>
    </row>
    <row r="125" spans="1:6" x14ac:dyDescent="0.3">
      <c r="A125">
        <v>2020</v>
      </c>
      <c r="B125" t="s">
        <v>56</v>
      </c>
      <c r="C125" t="s">
        <v>34</v>
      </c>
      <c r="D125" s="1">
        <v>8964</v>
      </c>
      <c r="E125" s="1">
        <v>235850</v>
      </c>
      <c r="F125" s="2">
        <v>86277</v>
      </c>
    </row>
    <row r="126" spans="1:6" x14ac:dyDescent="0.3">
      <c r="A126">
        <v>2020</v>
      </c>
      <c r="B126" t="s">
        <v>56</v>
      </c>
      <c r="C126" t="s">
        <v>35</v>
      </c>
      <c r="D126" s="1">
        <v>1776</v>
      </c>
      <c r="E126" s="1">
        <v>27201</v>
      </c>
      <c r="F126" s="2">
        <v>58794</v>
      </c>
    </row>
    <row r="127" spans="1:6" x14ac:dyDescent="0.3">
      <c r="A127">
        <v>2020</v>
      </c>
      <c r="B127" t="s">
        <v>56</v>
      </c>
      <c r="C127" t="s">
        <v>36</v>
      </c>
      <c r="D127" s="1">
        <v>16292</v>
      </c>
      <c r="E127" s="1">
        <v>399337</v>
      </c>
      <c r="F127" s="2">
        <v>73103</v>
      </c>
    </row>
    <row r="128" spans="1:6" x14ac:dyDescent="0.3">
      <c r="A128">
        <v>2020</v>
      </c>
      <c r="B128" t="s">
        <v>56</v>
      </c>
      <c r="C128" t="s">
        <v>37</v>
      </c>
      <c r="D128" s="1">
        <v>10303</v>
      </c>
      <c r="E128" s="1">
        <v>452637</v>
      </c>
      <c r="F128" s="2">
        <v>63281</v>
      </c>
    </row>
    <row r="129" spans="1:6" x14ac:dyDescent="0.3">
      <c r="A129">
        <v>2020</v>
      </c>
      <c r="B129" t="s">
        <v>56</v>
      </c>
      <c r="C129" t="s">
        <v>38</v>
      </c>
      <c r="D129">
        <v>799</v>
      </c>
      <c r="E129" s="1">
        <v>25259</v>
      </c>
      <c r="F129" s="2">
        <v>57695</v>
      </c>
    </row>
    <row r="130" spans="1:6" x14ac:dyDescent="0.3">
      <c r="A130">
        <v>2020</v>
      </c>
      <c r="B130" t="s">
        <v>56</v>
      </c>
      <c r="C130" t="s">
        <v>39</v>
      </c>
      <c r="D130" s="1">
        <v>15453</v>
      </c>
      <c r="E130" s="1">
        <v>653028</v>
      </c>
      <c r="F130" s="2">
        <v>64995</v>
      </c>
    </row>
    <row r="131" spans="1:6" x14ac:dyDescent="0.3">
      <c r="A131">
        <v>2020</v>
      </c>
      <c r="B131" t="s">
        <v>56</v>
      </c>
      <c r="C131" t="s">
        <v>40</v>
      </c>
      <c r="D131" s="1">
        <v>4178</v>
      </c>
      <c r="E131" s="1">
        <v>131206</v>
      </c>
      <c r="F131" s="2">
        <v>60915</v>
      </c>
    </row>
    <row r="132" spans="1:6" x14ac:dyDescent="0.3">
      <c r="A132">
        <v>2020</v>
      </c>
      <c r="B132" t="s">
        <v>56</v>
      </c>
      <c r="C132" t="s">
        <v>41</v>
      </c>
      <c r="D132" s="1">
        <v>6354</v>
      </c>
      <c r="E132" s="1">
        <v>184947</v>
      </c>
      <c r="F132" s="2">
        <v>74927</v>
      </c>
    </row>
    <row r="133" spans="1:6" x14ac:dyDescent="0.3">
      <c r="A133">
        <v>2020</v>
      </c>
      <c r="B133" t="s">
        <v>56</v>
      </c>
      <c r="C133" t="s">
        <v>42</v>
      </c>
      <c r="D133" s="1">
        <v>14363</v>
      </c>
      <c r="E133" s="1">
        <v>537402</v>
      </c>
      <c r="F133" s="2">
        <v>66931</v>
      </c>
    </row>
    <row r="134" spans="1:6" x14ac:dyDescent="0.3">
      <c r="A134">
        <v>2020</v>
      </c>
      <c r="B134" t="s">
        <v>56</v>
      </c>
      <c r="C134" t="s">
        <v>43</v>
      </c>
      <c r="D134" s="1">
        <v>1516</v>
      </c>
      <c r="E134" s="1">
        <v>37411</v>
      </c>
      <c r="F134" s="2">
        <v>63645</v>
      </c>
    </row>
    <row r="135" spans="1:6" x14ac:dyDescent="0.3">
      <c r="A135">
        <v>2020</v>
      </c>
      <c r="B135" t="s">
        <v>56</v>
      </c>
      <c r="C135" t="s">
        <v>44</v>
      </c>
      <c r="D135" s="1">
        <v>6655</v>
      </c>
      <c r="E135" s="1">
        <v>244395</v>
      </c>
      <c r="F135" s="2">
        <v>61779</v>
      </c>
    </row>
    <row r="136" spans="1:6" x14ac:dyDescent="0.3">
      <c r="A136">
        <v>2020</v>
      </c>
      <c r="B136" t="s">
        <v>56</v>
      </c>
      <c r="C136" t="s">
        <v>45</v>
      </c>
      <c r="D136" s="1">
        <v>1072</v>
      </c>
      <c r="E136" s="1">
        <v>43135</v>
      </c>
      <c r="F136" s="2">
        <v>53285</v>
      </c>
    </row>
    <row r="137" spans="1:6" x14ac:dyDescent="0.3">
      <c r="A137">
        <v>2020</v>
      </c>
      <c r="B137" t="s">
        <v>56</v>
      </c>
      <c r="C137" t="s">
        <v>46</v>
      </c>
      <c r="D137" s="1">
        <v>7620</v>
      </c>
      <c r="E137" s="1">
        <v>334972</v>
      </c>
      <c r="F137" s="2">
        <v>63122</v>
      </c>
    </row>
    <row r="138" spans="1:6" x14ac:dyDescent="0.3">
      <c r="A138">
        <v>2020</v>
      </c>
      <c r="B138" t="s">
        <v>56</v>
      </c>
      <c r="C138" t="s">
        <v>47</v>
      </c>
      <c r="D138" s="1">
        <v>26257</v>
      </c>
      <c r="E138" s="1">
        <v>867807</v>
      </c>
      <c r="F138" s="2">
        <v>81206</v>
      </c>
    </row>
    <row r="139" spans="1:6" x14ac:dyDescent="0.3">
      <c r="A139">
        <v>2020</v>
      </c>
      <c r="B139" t="s">
        <v>56</v>
      </c>
      <c r="C139" t="s">
        <v>48</v>
      </c>
      <c r="D139" s="1">
        <v>4616</v>
      </c>
      <c r="E139" s="1">
        <v>135571</v>
      </c>
      <c r="F139" s="2">
        <v>61796</v>
      </c>
    </row>
    <row r="140" spans="1:6" x14ac:dyDescent="0.3">
      <c r="A140">
        <v>2020</v>
      </c>
      <c r="B140" t="s">
        <v>56</v>
      </c>
      <c r="C140" t="s">
        <v>49</v>
      </c>
      <c r="D140" s="1">
        <v>1107</v>
      </c>
      <c r="E140" s="1">
        <v>28176</v>
      </c>
      <c r="F140" s="2">
        <v>62352</v>
      </c>
    </row>
    <row r="141" spans="1:6" x14ac:dyDescent="0.3">
      <c r="A141">
        <v>2020</v>
      </c>
      <c r="B141" t="s">
        <v>56</v>
      </c>
      <c r="C141" t="s">
        <v>50</v>
      </c>
      <c r="D141" s="1">
        <v>7023</v>
      </c>
      <c r="E141" s="1">
        <v>232300</v>
      </c>
      <c r="F141" s="2">
        <v>63958</v>
      </c>
    </row>
    <row r="142" spans="1:6" x14ac:dyDescent="0.3">
      <c r="A142">
        <v>2020</v>
      </c>
      <c r="B142" t="s">
        <v>56</v>
      </c>
      <c r="C142" t="s">
        <v>51</v>
      </c>
      <c r="D142" s="1">
        <v>7882</v>
      </c>
      <c r="E142" s="1">
        <v>268553</v>
      </c>
      <c r="F142" s="2">
        <v>82000</v>
      </c>
    </row>
    <row r="143" spans="1:6" x14ac:dyDescent="0.3">
      <c r="A143">
        <v>2020</v>
      </c>
      <c r="B143" t="s">
        <v>56</v>
      </c>
      <c r="C143" t="s">
        <v>52</v>
      </c>
      <c r="D143" s="1">
        <v>1261</v>
      </c>
      <c r="E143" s="1">
        <v>44429</v>
      </c>
      <c r="F143" s="2">
        <v>62359</v>
      </c>
    </row>
    <row r="144" spans="1:6" x14ac:dyDescent="0.3">
      <c r="A144">
        <v>2020</v>
      </c>
      <c r="B144" t="s">
        <v>56</v>
      </c>
      <c r="C144" t="s">
        <v>53</v>
      </c>
      <c r="D144" s="1">
        <v>9214</v>
      </c>
      <c r="E144" s="1">
        <v>458262</v>
      </c>
      <c r="F144" s="2">
        <v>61039</v>
      </c>
    </row>
    <row r="145" spans="1:6" x14ac:dyDescent="0.3">
      <c r="A145">
        <v>2020</v>
      </c>
      <c r="B145" t="s">
        <v>56</v>
      </c>
      <c r="C145" t="s">
        <v>54</v>
      </c>
      <c r="D145">
        <v>620</v>
      </c>
      <c r="E145" s="1">
        <v>9580</v>
      </c>
      <c r="F145" s="2">
        <v>70308</v>
      </c>
    </row>
    <row r="146" spans="1:6" x14ac:dyDescent="0.3">
      <c r="A146">
        <v>2020</v>
      </c>
      <c r="B146" t="s">
        <v>57</v>
      </c>
      <c r="C146" t="s">
        <v>7</v>
      </c>
      <c r="D146" s="1">
        <v>32424</v>
      </c>
      <c r="E146" s="1">
        <v>372620</v>
      </c>
      <c r="F146" s="2">
        <v>45853</v>
      </c>
    </row>
    <row r="147" spans="1:6" x14ac:dyDescent="0.3">
      <c r="A147">
        <v>2020</v>
      </c>
      <c r="B147" t="s">
        <v>57</v>
      </c>
      <c r="C147" t="s">
        <v>8</v>
      </c>
      <c r="D147" s="1">
        <v>33859</v>
      </c>
      <c r="E147" s="1">
        <v>546143</v>
      </c>
      <c r="F147" s="2">
        <v>51498</v>
      </c>
    </row>
    <row r="148" spans="1:6" x14ac:dyDescent="0.3">
      <c r="A148">
        <v>2020</v>
      </c>
      <c r="B148" t="s">
        <v>57</v>
      </c>
      <c r="C148" t="s">
        <v>9</v>
      </c>
      <c r="D148" s="1">
        <v>21836</v>
      </c>
      <c r="E148" s="1">
        <v>244074</v>
      </c>
      <c r="F148" s="2">
        <v>45673</v>
      </c>
    </row>
    <row r="149" spans="1:6" x14ac:dyDescent="0.3">
      <c r="A149">
        <v>2020</v>
      </c>
      <c r="B149" t="s">
        <v>57</v>
      </c>
      <c r="C149" t="s">
        <v>10</v>
      </c>
      <c r="D149" s="1">
        <v>200632</v>
      </c>
      <c r="E149" s="1">
        <v>2888684</v>
      </c>
      <c r="F149" s="2">
        <v>58800</v>
      </c>
    </row>
    <row r="150" spans="1:6" x14ac:dyDescent="0.3">
      <c r="A150">
        <v>2020</v>
      </c>
      <c r="B150" t="s">
        <v>57</v>
      </c>
      <c r="C150" t="s">
        <v>11</v>
      </c>
      <c r="D150" s="1">
        <v>36421</v>
      </c>
      <c r="E150" s="1">
        <v>465887</v>
      </c>
      <c r="F150" s="2">
        <v>55719</v>
      </c>
    </row>
    <row r="151" spans="1:6" x14ac:dyDescent="0.3">
      <c r="A151">
        <v>2020</v>
      </c>
      <c r="B151" t="s">
        <v>57</v>
      </c>
      <c r="C151" t="s">
        <v>12</v>
      </c>
      <c r="D151" s="1">
        <v>24725</v>
      </c>
      <c r="E151" s="1">
        <v>276491</v>
      </c>
      <c r="F151" s="2">
        <v>55859</v>
      </c>
    </row>
    <row r="152" spans="1:6" x14ac:dyDescent="0.3">
      <c r="A152">
        <v>2020</v>
      </c>
      <c r="B152" t="s">
        <v>57</v>
      </c>
      <c r="C152" t="s">
        <v>13</v>
      </c>
      <c r="D152" s="1">
        <v>7050</v>
      </c>
      <c r="E152" s="1">
        <v>76267</v>
      </c>
      <c r="F152" s="2">
        <v>45667</v>
      </c>
    </row>
    <row r="153" spans="1:6" x14ac:dyDescent="0.3">
      <c r="A153">
        <v>2020</v>
      </c>
      <c r="B153" t="s">
        <v>57</v>
      </c>
      <c r="C153" t="s">
        <v>14</v>
      </c>
      <c r="D153" s="1">
        <v>142700</v>
      </c>
      <c r="E153" s="1">
        <v>1739110</v>
      </c>
      <c r="F153" s="2">
        <v>49391</v>
      </c>
    </row>
    <row r="154" spans="1:6" x14ac:dyDescent="0.3">
      <c r="A154">
        <v>2020</v>
      </c>
      <c r="B154" t="s">
        <v>57</v>
      </c>
      <c r="C154" t="s">
        <v>15</v>
      </c>
      <c r="D154" s="1">
        <v>64380</v>
      </c>
      <c r="E154" s="1">
        <v>913981</v>
      </c>
      <c r="F154" s="2">
        <v>52104</v>
      </c>
    </row>
    <row r="155" spans="1:6" x14ac:dyDescent="0.3">
      <c r="A155">
        <v>2020</v>
      </c>
      <c r="B155" t="s">
        <v>57</v>
      </c>
      <c r="C155" t="s">
        <v>16</v>
      </c>
      <c r="D155" s="1">
        <v>12742</v>
      </c>
      <c r="E155" s="1">
        <v>143264</v>
      </c>
      <c r="F155" s="2">
        <v>44610</v>
      </c>
    </row>
    <row r="156" spans="1:6" x14ac:dyDescent="0.3">
      <c r="A156">
        <v>2020</v>
      </c>
      <c r="B156" t="s">
        <v>57</v>
      </c>
      <c r="C156" t="s">
        <v>17</v>
      </c>
      <c r="D156" s="1">
        <v>78196</v>
      </c>
      <c r="E156" s="1">
        <v>1140749</v>
      </c>
      <c r="F156" s="2">
        <v>55780</v>
      </c>
    </row>
    <row r="157" spans="1:6" x14ac:dyDescent="0.3">
      <c r="A157">
        <v>2020</v>
      </c>
      <c r="B157" t="s">
        <v>57</v>
      </c>
      <c r="C157" t="s">
        <v>18</v>
      </c>
      <c r="D157" s="1">
        <v>40846</v>
      </c>
      <c r="E157" s="1">
        <v>583686</v>
      </c>
      <c r="F157" s="2">
        <v>45931</v>
      </c>
    </row>
    <row r="158" spans="1:6" x14ac:dyDescent="0.3">
      <c r="A158">
        <v>2020</v>
      </c>
      <c r="B158" t="s">
        <v>57</v>
      </c>
      <c r="C158" t="s">
        <v>19</v>
      </c>
      <c r="D158" s="1">
        <v>23479</v>
      </c>
      <c r="E158" s="1">
        <v>298376</v>
      </c>
      <c r="F158" s="2">
        <v>44146</v>
      </c>
    </row>
    <row r="159" spans="1:6" x14ac:dyDescent="0.3">
      <c r="A159">
        <v>2020</v>
      </c>
      <c r="B159" t="s">
        <v>57</v>
      </c>
      <c r="C159" t="s">
        <v>20</v>
      </c>
      <c r="D159" s="1">
        <v>19497</v>
      </c>
      <c r="E159" s="1">
        <v>255575</v>
      </c>
      <c r="F159" s="2">
        <v>46012</v>
      </c>
    </row>
    <row r="160" spans="1:6" x14ac:dyDescent="0.3">
      <c r="A160">
        <v>2020</v>
      </c>
      <c r="B160" t="s">
        <v>57</v>
      </c>
      <c r="C160" t="s">
        <v>21</v>
      </c>
      <c r="D160" s="1">
        <v>28266</v>
      </c>
      <c r="E160" s="1">
        <v>393361</v>
      </c>
      <c r="F160" s="2">
        <v>46839</v>
      </c>
    </row>
    <row r="161" spans="1:6" x14ac:dyDescent="0.3">
      <c r="A161">
        <v>2020</v>
      </c>
      <c r="B161" t="s">
        <v>57</v>
      </c>
      <c r="C161" t="s">
        <v>22</v>
      </c>
      <c r="D161" s="1">
        <v>31210</v>
      </c>
      <c r="E161" s="1">
        <v>358336</v>
      </c>
      <c r="F161" s="2">
        <v>46029</v>
      </c>
    </row>
    <row r="162" spans="1:6" x14ac:dyDescent="0.3">
      <c r="A162">
        <v>2020</v>
      </c>
      <c r="B162" t="s">
        <v>57</v>
      </c>
      <c r="C162" t="s">
        <v>23</v>
      </c>
      <c r="D162" s="1">
        <v>10546</v>
      </c>
      <c r="E162" s="1">
        <v>111483</v>
      </c>
      <c r="F162" s="2">
        <v>43084</v>
      </c>
    </row>
    <row r="163" spans="1:6" x14ac:dyDescent="0.3">
      <c r="A163">
        <v>2020</v>
      </c>
      <c r="B163" t="s">
        <v>57</v>
      </c>
      <c r="C163" t="s">
        <v>24</v>
      </c>
      <c r="D163" s="1">
        <v>31685</v>
      </c>
      <c r="E163" s="1">
        <v>441680</v>
      </c>
      <c r="F163" s="2">
        <v>50800</v>
      </c>
    </row>
    <row r="164" spans="1:6" x14ac:dyDescent="0.3">
      <c r="A164">
        <v>2020</v>
      </c>
      <c r="B164" t="s">
        <v>57</v>
      </c>
      <c r="C164" t="s">
        <v>25</v>
      </c>
      <c r="D164" s="1">
        <v>40751</v>
      </c>
      <c r="E164" s="1">
        <v>526726</v>
      </c>
      <c r="F164" s="2">
        <v>61082</v>
      </c>
    </row>
    <row r="165" spans="1:6" x14ac:dyDescent="0.3">
      <c r="A165">
        <v>2020</v>
      </c>
      <c r="B165" t="s">
        <v>57</v>
      </c>
      <c r="C165" t="s">
        <v>26</v>
      </c>
      <c r="D165" s="1">
        <v>55149</v>
      </c>
      <c r="E165" s="1">
        <v>745824</v>
      </c>
      <c r="F165" s="2">
        <v>51869</v>
      </c>
    </row>
    <row r="166" spans="1:6" x14ac:dyDescent="0.3">
      <c r="A166">
        <v>2020</v>
      </c>
      <c r="B166" t="s">
        <v>57</v>
      </c>
      <c r="C166" t="s">
        <v>27</v>
      </c>
      <c r="D166" s="1">
        <v>37255</v>
      </c>
      <c r="E166" s="1">
        <v>499190</v>
      </c>
      <c r="F166" s="2">
        <v>53843</v>
      </c>
    </row>
    <row r="167" spans="1:6" x14ac:dyDescent="0.3">
      <c r="A167">
        <v>2020</v>
      </c>
      <c r="B167" t="s">
        <v>57</v>
      </c>
      <c r="C167" t="s">
        <v>28</v>
      </c>
      <c r="D167" s="1">
        <v>19589</v>
      </c>
      <c r="E167" s="1">
        <v>226629</v>
      </c>
      <c r="F167" s="2">
        <v>40176</v>
      </c>
    </row>
    <row r="168" spans="1:6" x14ac:dyDescent="0.3">
      <c r="A168">
        <v>2020</v>
      </c>
      <c r="B168" t="s">
        <v>57</v>
      </c>
      <c r="C168" t="s">
        <v>29</v>
      </c>
      <c r="D168" s="1">
        <v>39646</v>
      </c>
      <c r="E168" s="1">
        <v>519916</v>
      </c>
      <c r="F168" s="2">
        <v>46520</v>
      </c>
    </row>
    <row r="169" spans="1:6" x14ac:dyDescent="0.3">
      <c r="A169">
        <v>2020</v>
      </c>
      <c r="B169" t="s">
        <v>57</v>
      </c>
      <c r="C169" t="s">
        <v>30</v>
      </c>
      <c r="D169" s="1">
        <v>9323</v>
      </c>
      <c r="E169" s="1">
        <v>89315</v>
      </c>
      <c r="F169" s="2">
        <v>43996</v>
      </c>
    </row>
    <row r="170" spans="1:6" x14ac:dyDescent="0.3">
      <c r="A170">
        <v>2020</v>
      </c>
      <c r="B170" t="s">
        <v>57</v>
      </c>
      <c r="C170" t="s">
        <v>31</v>
      </c>
      <c r="D170" s="1">
        <v>14748</v>
      </c>
      <c r="E170" s="1">
        <v>182745</v>
      </c>
      <c r="F170" s="2">
        <v>44095</v>
      </c>
    </row>
    <row r="171" spans="1:6" x14ac:dyDescent="0.3">
      <c r="A171">
        <v>2020</v>
      </c>
      <c r="B171" t="s">
        <v>57</v>
      </c>
      <c r="C171" t="s">
        <v>32</v>
      </c>
      <c r="D171" s="1">
        <v>15481</v>
      </c>
      <c r="E171" s="1">
        <v>252623</v>
      </c>
      <c r="F171" s="2">
        <v>48334</v>
      </c>
    </row>
    <row r="172" spans="1:6" x14ac:dyDescent="0.3">
      <c r="A172">
        <v>2020</v>
      </c>
      <c r="B172" t="s">
        <v>57</v>
      </c>
      <c r="C172" t="s">
        <v>33</v>
      </c>
      <c r="D172" s="1">
        <v>12460</v>
      </c>
      <c r="E172" s="1">
        <v>133196</v>
      </c>
      <c r="F172" s="2">
        <v>54425</v>
      </c>
    </row>
    <row r="173" spans="1:6" x14ac:dyDescent="0.3">
      <c r="A173">
        <v>2020</v>
      </c>
      <c r="B173" t="s">
        <v>57</v>
      </c>
      <c r="C173" t="s">
        <v>34</v>
      </c>
      <c r="D173" s="1">
        <v>54606</v>
      </c>
      <c r="E173" s="1">
        <v>820259</v>
      </c>
      <c r="F173" s="2">
        <v>58675</v>
      </c>
    </row>
    <row r="174" spans="1:6" x14ac:dyDescent="0.3">
      <c r="A174">
        <v>2020</v>
      </c>
      <c r="B174" t="s">
        <v>57</v>
      </c>
      <c r="C174" t="s">
        <v>35</v>
      </c>
      <c r="D174" s="1">
        <v>10949</v>
      </c>
      <c r="E174" s="1">
        <v>130261</v>
      </c>
      <c r="F174" s="2">
        <v>41086</v>
      </c>
    </row>
    <row r="175" spans="1:6" x14ac:dyDescent="0.3">
      <c r="A175">
        <v>2020</v>
      </c>
      <c r="B175" t="s">
        <v>57</v>
      </c>
      <c r="C175" t="s">
        <v>36</v>
      </c>
      <c r="D175" s="1">
        <v>118946</v>
      </c>
      <c r="E175" s="1">
        <v>1366746</v>
      </c>
      <c r="F175" s="2">
        <v>57939</v>
      </c>
    </row>
    <row r="176" spans="1:6" x14ac:dyDescent="0.3">
      <c r="A176">
        <v>2020</v>
      </c>
      <c r="B176" t="s">
        <v>57</v>
      </c>
      <c r="C176" t="s">
        <v>37</v>
      </c>
      <c r="D176" s="1">
        <v>63455</v>
      </c>
      <c r="E176" s="1">
        <v>844765</v>
      </c>
      <c r="F176" s="2">
        <v>47171</v>
      </c>
    </row>
    <row r="177" spans="1:6" x14ac:dyDescent="0.3">
      <c r="A177">
        <v>2020</v>
      </c>
      <c r="B177" t="s">
        <v>57</v>
      </c>
      <c r="C177" t="s">
        <v>38</v>
      </c>
      <c r="D177" s="1">
        <v>7745</v>
      </c>
      <c r="E177" s="1">
        <v>86570</v>
      </c>
      <c r="F177" s="2">
        <v>52657</v>
      </c>
    </row>
    <row r="178" spans="1:6" x14ac:dyDescent="0.3">
      <c r="A178">
        <v>2020</v>
      </c>
      <c r="B178" t="s">
        <v>57</v>
      </c>
      <c r="C178" t="s">
        <v>39</v>
      </c>
      <c r="D178" s="1">
        <v>68987</v>
      </c>
      <c r="E178" s="1">
        <v>998325</v>
      </c>
      <c r="F178" s="2">
        <v>48088</v>
      </c>
    </row>
    <row r="179" spans="1:6" x14ac:dyDescent="0.3">
      <c r="A179">
        <v>2020</v>
      </c>
      <c r="B179" t="s">
        <v>57</v>
      </c>
      <c r="C179" t="s">
        <v>40</v>
      </c>
      <c r="D179" s="1">
        <v>23912</v>
      </c>
      <c r="E179" s="1">
        <v>301828</v>
      </c>
      <c r="F179" s="2">
        <v>43388</v>
      </c>
    </row>
    <row r="180" spans="1:6" x14ac:dyDescent="0.3">
      <c r="A180">
        <v>2020</v>
      </c>
      <c r="B180" t="s">
        <v>57</v>
      </c>
      <c r="C180" t="s">
        <v>41</v>
      </c>
      <c r="D180" s="1">
        <v>26241</v>
      </c>
      <c r="E180" s="1">
        <v>346783</v>
      </c>
      <c r="F180" s="2">
        <v>49251</v>
      </c>
    </row>
    <row r="181" spans="1:6" x14ac:dyDescent="0.3">
      <c r="A181">
        <v>2020</v>
      </c>
      <c r="B181" t="s">
        <v>57</v>
      </c>
      <c r="C181" t="s">
        <v>42</v>
      </c>
      <c r="D181" s="1">
        <v>73985</v>
      </c>
      <c r="E181" s="1">
        <v>1054388</v>
      </c>
      <c r="F181" s="2">
        <v>49535</v>
      </c>
    </row>
    <row r="182" spans="1:6" x14ac:dyDescent="0.3">
      <c r="A182">
        <v>2020</v>
      </c>
      <c r="B182" t="s">
        <v>57</v>
      </c>
      <c r="C182" t="s">
        <v>43</v>
      </c>
      <c r="D182" s="1">
        <v>7816</v>
      </c>
      <c r="E182" s="1">
        <v>70764</v>
      </c>
      <c r="F182" s="2">
        <v>49493</v>
      </c>
    </row>
    <row r="183" spans="1:6" x14ac:dyDescent="0.3">
      <c r="A183">
        <v>2020</v>
      </c>
      <c r="B183" t="s">
        <v>57</v>
      </c>
      <c r="C183" t="s">
        <v>44</v>
      </c>
      <c r="D183" s="1">
        <v>31674</v>
      </c>
      <c r="E183" s="1">
        <v>400537</v>
      </c>
      <c r="F183" s="2">
        <v>43717</v>
      </c>
    </row>
    <row r="184" spans="1:6" x14ac:dyDescent="0.3">
      <c r="A184">
        <v>2020</v>
      </c>
      <c r="B184" t="s">
        <v>57</v>
      </c>
      <c r="C184" t="s">
        <v>45</v>
      </c>
      <c r="D184" s="1">
        <v>8068</v>
      </c>
      <c r="E184" s="1">
        <v>83179</v>
      </c>
      <c r="F184" s="2">
        <v>44162</v>
      </c>
    </row>
    <row r="185" spans="1:6" x14ac:dyDescent="0.3">
      <c r="A185">
        <v>2020</v>
      </c>
      <c r="B185" t="s">
        <v>57</v>
      </c>
      <c r="C185" t="s">
        <v>46</v>
      </c>
      <c r="D185" s="1">
        <v>40806</v>
      </c>
      <c r="E185" s="1">
        <v>627005</v>
      </c>
      <c r="F185" s="2">
        <v>50111</v>
      </c>
    </row>
    <row r="186" spans="1:6" x14ac:dyDescent="0.3">
      <c r="A186">
        <v>2020</v>
      </c>
      <c r="B186" t="s">
        <v>57</v>
      </c>
      <c r="C186" t="s">
        <v>47</v>
      </c>
      <c r="D186" s="1">
        <v>152438</v>
      </c>
      <c r="E186" s="1">
        <v>2453267</v>
      </c>
      <c r="F186" s="2">
        <v>56485</v>
      </c>
    </row>
    <row r="187" spans="1:6" x14ac:dyDescent="0.3">
      <c r="A187">
        <v>2020</v>
      </c>
      <c r="B187" t="s">
        <v>57</v>
      </c>
      <c r="C187" t="s">
        <v>48</v>
      </c>
      <c r="D187" s="1">
        <v>20535</v>
      </c>
      <c r="E187" s="1">
        <v>288623</v>
      </c>
      <c r="F187" s="2">
        <v>49353</v>
      </c>
    </row>
    <row r="188" spans="1:6" x14ac:dyDescent="0.3">
      <c r="A188">
        <v>2020</v>
      </c>
      <c r="B188" t="s">
        <v>57</v>
      </c>
      <c r="C188" t="s">
        <v>49</v>
      </c>
      <c r="D188" s="1">
        <v>5003</v>
      </c>
      <c r="E188" s="1">
        <v>49851</v>
      </c>
      <c r="F188" s="2">
        <v>45701</v>
      </c>
    </row>
    <row r="189" spans="1:6" x14ac:dyDescent="0.3">
      <c r="A189">
        <v>2020</v>
      </c>
      <c r="B189" t="s">
        <v>57</v>
      </c>
      <c r="C189" t="s">
        <v>50</v>
      </c>
      <c r="D189" s="1">
        <v>42564</v>
      </c>
      <c r="E189" s="1">
        <v>627729</v>
      </c>
      <c r="F189" s="2">
        <v>48371</v>
      </c>
    </row>
    <row r="190" spans="1:6" x14ac:dyDescent="0.3">
      <c r="A190">
        <v>2020</v>
      </c>
      <c r="B190" t="s">
        <v>57</v>
      </c>
      <c r="C190" t="s">
        <v>51</v>
      </c>
      <c r="D190" s="1">
        <v>38688</v>
      </c>
      <c r="E190" s="1">
        <v>615415</v>
      </c>
      <c r="F190" s="2">
        <v>74160</v>
      </c>
    </row>
    <row r="191" spans="1:6" x14ac:dyDescent="0.3">
      <c r="A191">
        <v>2020</v>
      </c>
      <c r="B191" t="s">
        <v>57</v>
      </c>
      <c r="C191" t="s">
        <v>52</v>
      </c>
      <c r="D191" s="1">
        <v>10611</v>
      </c>
      <c r="E191" s="1">
        <v>118677</v>
      </c>
      <c r="F191" s="2">
        <v>42085</v>
      </c>
    </row>
    <row r="192" spans="1:6" x14ac:dyDescent="0.3">
      <c r="A192">
        <v>2020</v>
      </c>
      <c r="B192" t="s">
        <v>57</v>
      </c>
      <c r="C192" t="s">
        <v>53</v>
      </c>
      <c r="D192" s="1">
        <v>35812</v>
      </c>
      <c r="E192" s="1">
        <v>517930</v>
      </c>
      <c r="F192" s="2">
        <v>45165</v>
      </c>
    </row>
    <row r="193" spans="1:6" x14ac:dyDescent="0.3">
      <c r="A193">
        <v>2020</v>
      </c>
      <c r="B193" t="s">
        <v>57</v>
      </c>
      <c r="C193" t="s">
        <v>54</v>
      </c>
      <c r="D193" s="1">
        <v>4840</v>
      </c>
      <c r="E193" s="1">
        <v>48509</v>
      </c>
      <c r="F193" s="2">
        <v>44879</v>
      </c>
    </row>
    <row r="194" spans="1:6" x14ac:dyDescent="0.3">
      <c r="A194">
        <v>2020</v>
      </c>
      <c r="B194" t="s">
        <v>58</v>
      </c>
      <c r="C194" t="s">
        <v>7</v>
      </c>
      <c r="D194" s="1">
        <v>2566</v>
      </c>
      <c r="E194" s="1">
        <v>19310</v>
      </c>
      <c r="F194" s="2">
        <v>69393</v>
      </c>
    </row>
    <row r="195" spans="1:6" x14ac:dyDescent="0.3">
      <c r="A195">
        <v>2020</v>
      </c>
      <c r="B195" t="s">
        <v>58</v>
      </c>
      <c r="C195" t="s">
        <v>8</v>
      </c>
      <c r="D195" s="1">
        <v>4017</v>
      </c>
      <c r="E195" s="1">
        <v>45513</v>
      </c>
      <c r="F195" s="2">
        <v>90871</v>
      </c>
    </row>
    <row r="196" spans="1:6" x14ac:dyDescent="0.3">
      <c r="A196">
        <v>2020</v>
      </c>
      <c r="B196" t="s">
        <v>58</v>
      </c>
      <c r="C196" t="s">
        <v>9</v>
      </c>
      <c r="D196" s="1">
        <v>1536</v>
      </c>
      <c r="E196" s="1">
        <v>11509</v>
      </c>
      <c r="F196" s="2">
        <v>69820</v>
      </c>
    </row>
    <row r="197" spans="1:6" x14ac:dyDescent="0.3">
      <c r="A197">
        <v>2020</v>
      </c>
      <c r="B197" t="s">
        <v>58</v>
      </c>
      <c r="C197" t="s">
        <v>10</v>
      </c>
      <c r="D197" s="1">
        <v>29491</v>
      </c>
      <c r="E197" s="1">
        <v>527549</v>
      </c>
      <c r="F197" s="2">
        <v>217892</v>
      </c>
    </row>
    <row r="198" spans="1:6" x14ac:dyDescent="0.3">
      <c r="A198">
        <v>2020</v>
      </c>
      <c r="B198" t="s">
        <v>58</v>
      </c>
      <c r="C198" t="s">
        <v>11</v>
      </c>
      <c r="D198" s="1">
        <v>4548</v>
      </c>
      <c r="E198" s="1">
        <v>74867</v>
      </c>
      <c r="F198" s="2">
        <v>123495</v>
      </c>
    </row>
    <row r="199" spans="1:6" x14ac:dyDescent="0.3">
      <c r="A199">
        <v>2020</v>
      </c>
      <c r="B199" t="s">
        <v>58</v>
      </c>
      <c r="C199" t="s">
        <v>12</v>
      </c>
      <c r="D199" s="1">
        <v>2880</v>
      </c>
      <c r="E199" s="1">
        <v>29237</v>
      </c>
      <c r="F199" s="2">
        <v>138917</v>
      </c>
    </row>
    <row r="200" spans="1:6" x14ac:dyDescent="0.3">
      <c r="A200">
        <v>2020</v>
      </c>
      <c r="B200" t="s">
        <v>58</v>
      </c>
      <c r="C200" t="s">
        <v>13</v>
      </c>
      <c r="D200">
        <v>549</v>
      </c>
      <c r="E200" s="1">
        <v>3622</v>
      </c>
      <c r="F200" s="2">
        <v>78966</v>
      </c>
    </row>
    <row r="201" spans="1:6" x14ac:dyDescent="0.3">
      <c r="A201">
        <v>2020</v>
      </c>
      <c r="B201" t="s">
        <v>58</v>
      </c>
      <c r="C201" t="s">
        <v>14</v>
      </c>
      <c r="D201" s="1">
        <v>12659</v>
      </c>
      <c r="E201" s="1">
        <v>130298</v>
      </c>
      <c r="F201" s="2">
        <v>93350</v>
      </c>
    </row>
    <row r="202" spans="1:6" x14ac:dyDescent="0.3">
      <c r="A202">
        <v>2020</v>
      </c>
      <c r="B202" t="s">
        <v>58</v>
      </c>
      <c r="C202" t="s">
        <v>15</v>
      </c>
      <c r="D202" s="1">
        <v>6010</v>
      </c>
      <c r="E202" s="1">
        <v>109190</v>
      </c>
      <c r="F202" s="2">
        <v>108735</v>
      </c>
    </row>
    <row r="203" spans="1:6" x14ac:dyDescent="0.3">
      <c r="A203">
        <v>2020</v>
      </c>
      <c r="B203" t="s">
        <v>58</v>
      </c>
      <c r="C203" t="s">
        <v>16</v>
      </c>
      <c r="D203" s="1">
        <v>1385</v>
      </c>
      <c r="E203" s="1">
        <v>7346</v>
      </c>
      <c r="F203" s="2">
        <v>64408</v>
      </c>
    </row>
    <row r="204" spans="1:6" x14ac:dyDescent="0.3">
      <c r="A204">
        <v>2020</v>
      </c>
      <c r="B204" t="s">
        <v>58</v>
      </c>
      <c r="C204" t="s">
        <v>17</v>
      </c>
      <c r="D204" s="1">
        <v>7162</v>
      </c>
      <c r="E204" s="1">
        <v>87520</v>
      </c>
      <c r="F204" s="2">
        <v>110059</v>
      </c>
    </row>
    <row r="205" spans="1:6" x14ac:dyDescent="0.3">
      <c r="A205">
        <v>2020</v>
      </c>
      <c r="B205" t="s">
        <v>58</v>
      </c>
      <c r="C205" t="s">
        <v>18</v>
      </c>
      <c r="D205" s="1">
        <v>2521</v>
      </c>
      <c r="E205" s="1">
        <v>26075</v>
      </c>
      <c r="F205" s="2">
        <v>67191</v>
      </c>
    </row>
    <row r="206" spans="1:6" x14ac:dyDescent="0.3">
      <c r="A206">
        <v>2020</v>
      </c>
      <c r="B206" t="s">
        <v>58</v>
      </c>
      <c r="C206" t="s">
        <v>19</v>
      </c>
      <c r="D206" s="1">
        <v>1811</v>
      </c>
      <c r="E206" s="1">
        <v>19135</v>
      </c>
      <c r="F206" s="2">
        <v>66858</v>
      </c>
    </row>
    <row r="207" spans="1:6" x14ac:dyDescent="0.3">
      <c r="A207">
        <v>2020</v>
      </c>
      <c r="B207" t="s">
        <v>58</v>
      </c>
      <c r="C207" t="s">
        <v>20</v>
      </c>
      <c r="D207" s="1">
        <v>1561</v>
      </c>
      <c r="E207" s="1">
        <v>16734</v>
      </c>
      <c r="F207" s="2">
        <v>73749</v>
      </c>
    </row>
    <row r="208" spans="1:6" x14ac:dyDescent="0.3">
      <c r="A208">
        <v>2020</v>
      </c>
      <c r="B208" t="s">
        <v>58</v>
      </c>
      <c r="C208" t="s">
        <v>21</v>
      </c>
      <c r="D208" s="1">
        <v>2111</v>
      </c>
      <c r="E208" s="1">
        <v>20268</v>
      </c>
      <c r="F208" s="2">
        <v>63462</v>
      </c>
    </row>
    <row r="209" spans="1:6" x14ac:dyDescent="0.3">
      <c r="A209">
        <v>2020</v>
      </c>
      <c r="B209" t="s">
        <v>58</v>
      </c>
      <c r="C209" t="s">
        <v>22</v>
      </c>
      <c r="D209" s="1">
        <v>1935</v>
      </c>
      <c r="E209" s="1">
        <v>18712</v>
      </c>
      <c r="F209" s="2">
        <v>65700</v>
      </c>
    </row>
    <row r="210" spans="1:6" x14ac:dyDescent="0.3">
      <c r="A210">
        <v>2020</v>
      </c>
      <c r="B210" t="s">
        <v>58</v>
      </c>
      <c r="C210" t="s">
        <v>23</v>
      </c>
      <c r="D210">
        <v>916</v>
      </c>
      <c r="E210" s="1">
        <v>6415</v>
      </c>
      <c r="F210" s="2">
        <v>64265</v>
      </c>
    </row>
    <row r="211" spans="1:6" x14ac:dyDescent="0.3">
      <c r="A211">
        <v>2020</v>
      </c>
      <c r="B211" t="s">
        <v>58</v>
      </c>
      <c r="C211" t="s">
        <v>24</v>
      </c>
      <c r="D211" s="1">
        <v>2855</v>
      </c>
      <c r="E211" s="1">
        <v>33029</v>
      </c>
      <c r="F211" s="2">
        <v>110569</v>
      </c>
    </row>
    <row r="212" spans="1:6" x14ac:dyDescent="0.3">
      <c r="A212">
        <v>2020</v>
      </c>
      <c r="B212" t="s">
        <v>58</v>
      </c>
      <c r="C212" t="s">
        <v>25</v>
      </c>
      <c r="D212" s="1">
        <v>6073</v>
      </c>
      <c r="E212" s="1">
        <v>89231</v>
      </c>
      <c r="F212" s="2">
        <v>146746</v>
      </c>
    </row>
    <row r="213" spans="1:6" x14ac:dyDescent="0.3">
      <c r="A213">
        <v>2020</v>
      </c>
      <c r="B213" t="s">
        <v>58</v>
      </c>
      <c r="C213" t="s">
        <v>26</v>
      </c>
      <c r="D213" s="1">
        <v>7671</v>
      </c>
      <c r="E213" s="1">
        <v>50511</v>
      </c>
      <c r="F213" s="2">
        <v>88745</v>
      </c>
    </row>
    <row r="214" spans="1:6" x14ac:dyDescent="0.3">
      <c r="A214">
        <v>2020</v>
      </c>
      <c r="B214" t="s">
        <v>58</v>
      </c>
      <c r="C214" t="s">
        <v>27</v>
      </c>
      <c r="D214" s="1">
        <v>4304</v>
      </c>
      <c r="E214" s="1">
        <v>43145</v>
      </c>
      <c r="F214" s="2">
        <v>92292</v>
      </c>
    </row>
    <row r="215" spans="1:6" x14ac:dyDescent="0.3">
      <c r="A215">
        <v>2020</v>
      </c>
      <c r="B215" t="s">
        <v>58</v>
      </c>
      <c r="C215" t="s">
        <v>28</v>
      </c>
      <c r="D215">
        <v>964</v>
      </c>
      <c r="E215" s="1">
        <v>9629</v>
      </c>
      <c r="F215" s="2">
        <v>54301</v>
      </c>
    </row>
    <row r="216" spans="1:6" x14ac:dyDescent="0.3">
      <c r="A216">
        <v>2020</v>
      </c>
      <c r="B216" t="s">
        <v>58</v>
      </c>
      <c r="C216" t="s">
        <v>29</v>
      </c>
      <c r="D216" s="1">
        <v>3562</v>
      </c>
      <c r="E216" s="1">
        <v>43675</v>
      </c>
      <c r="F216" s="2">
        <v>89327</v>
      </c>
    </row>
    <row r="217" spans="1:6" x14ac:dyDescent="0.3">
      <c r="A217">
        <v>2020</v>
      </c>
      <c r="B217" t="s">
        <v>58</v>
      </c>
      <c r="C217" t="s">
        <v>30</v>
      </c>
      <c r="D217">
        <v>856</v>
      </c>
      <c r="E217" s="1">
        <v>5797</v>
      </c>
      <c r="F217" s="2">
        <v>65673</v>
      </c>
    </row>
    <row r="218" spans="1:6" x14ac:dyDescent="0.3">
      <c r="A218">
        <v>2020</v>
      </c>
      <c r="B218" t="s">
        <v>58</v>
      </c>
      <c r="C218" t="s">
        <v>31</v>
      </c>
      <c r="D218" s="1">
        <v>1071</v>
      </c>
      <c r="E218" s="1">
        <v>16165</v>
      </c>
      <c r="F218" s="2">
        <v>76361</v>
      </c>
    </row>
    <row r="219" spans="1:6" x14ac:dyDescent="0.3">
      <c r="A219">
        <v>2020</v>
      </c>
      <c r="B219" t="s">
        <v>58</v>
      </c>
      <c r="C219" t="s">
        <v>32</v>
      </c>
      <c r="D219" s="1">
        <v>1609</v>
      </c>
      <c r="E219" s="1">
        <v>13306</v>
      </c>
      <c r="F219" s="2">
        <v>88353</v>
      </c>
    </row>
    <row r="220" spans="1:6" x14ac:dyDescent="0.3">
      <c r="A220">
        <v>2020</v>
      </c>
      <c r="B220" t="s">
        <v>58</v>
      </c>
      <c r="C220" t="s">
        <v>33</v>
      </c>
      <c r="D220" s="1">
        <v>1168</v>
      </c>
      <c r="E220" s="1">
        <v>11735</v>
      </c>
      <c r="F220" s="2">
        <v>107194</v>
      </c>
    </row>
    <row r="221" spans="1:6" x14ac:dyDescent="0.3">
      <c r="A221">
        <v>2020</v>
      </c>
      <c r="B221" t="s">
        <v>58</v>
      </c>
      <c r="C221" t="s">
        <v>34</v>
      </c>
      <c r="D221" s="1">
        <v>3965</v>
      </c>
      <c r="E221" s="1">
        <v>67885</v>
      </c>
      <c r="F221" s="2">
        <v>130541</v>
      </c>
    </row>
    <row r="222" spans="1:6" x14ac:dyDescent="0.3">
      <c r="A222">
        <v>2020</v>
      </c>
      <c r="B222" t="s">
        <v>58</v>
      </c>
      <c r="C222" t="s">
        <v>35</v>
      </c>
      <c r="D222" s="1">
        <v>1108</v>
      </c>
      <c r="E222" s="1">
        <v>9076</v>
      </c>
      <c r="F222" s="2">
        <v>62393</v>
      </c>
    </row>
    <row r="223" spans="1:6" x14ac:dyDescent="0.3">
      <c r="A223">
        <v>2020</v>
      </c>
      <c r="B223" t="s">
        <v>58</v>
      </c>
      <c r="C223" t="s">
        <v>36</v>
      </c>
      <c r="D223" s="1">
        <v>14380</v>
      </c>
      <c r="E223" s="1">
        <v>267749</v>
      </c>
      <c r="F223" s="2">
        <v>154357</v>
      </c>
    </row>
    <row r="224" spans="1:6" x14ac:dyDescent="0.3">
      <c r="A224">
        <v>2020</v>
      </c>
      <c r="B224" t="s">
        <v>58</v>
      </c>
      <c r="C224" t="s">
        <v>37</v>
      </c>
      <c r="D224" s="1">
        <v>6302</v>
      </c>
      <c r="E224" s="1">
        <v>73440</v>
      </c>
      <c r="F224" s="2">
        <v>96207</v>
      </c>
    </row>
    <row r="225" spans="1:6" x14ac:dyDescent="0.3">
      <c r="A225">
        <v>2020</v>
      </c>
      <c r="B225" t="s">
        <v>58</v>
      </c>
      <c r="C225" t="s">
        <v>38</v>
      </c>
      <c r="D225">
        <v>417</v>
      </c>
      <c r="E225" s="1">
        <v>5780</v>
      </c>
      <c r="F225" s="2">
        <v>79624</v>
      </c>
    </row>
    <row r="226" spans="1:6" x14ac:dyDescent="0.3">
      <c r="A226">
        <v>2020</v>
      </c>
      <c r="B226" t="s">
        <v>58</v>
      </c>
      <c r="C226" t="s">
        <v>39</v>
      </c>
      <c r="D226" s="1">
        <v>5303</v>
      </c>
      <c r="E226" s="1">
        <v>63865</v>
      </c>
      <c r="F226" s="2">
        <v>80052</v>
      </c>
    </row>
    <row r="227" spans="1:6" x14ac:dyDescent="0.3">
      <c r="A227">
        <v>2020</v>
      </c>
      <c r="B227" t="s">
        <v>58</v>
      </c>
      <c r="C227" t="s">
        <v>40</v>
      </c>
      <c r="D227" s="1">
        <v>1572</v>
      </c>
      <c r="E227" s="1">
        <v>18256</v>
      </c>
      <c r="F227" s="2">
        <v>63710</v>
      </c>
    </row>
    <row r="228" spans="1:6" x14ac:dyDescent="0.3">
      <c r="A228">
        <v>2020</v>
      </c>
      <c r="B228" t="s">
        <v>58</v>
      </c>
      <c r="C228" t="s">
        <v>41</v>
      </c>
      <c r="D228" s="1">
        <v>4605</v>
      </c>
      <c r="E228" s="1">
        <v>33218</v>
      </c>
      <c r="F228" s="2">
        <v>101737</v>
      </c>
    </row>
    <row r="229" spans="1:6" x14ac:dyDescent="0.3">
      <c r="A229">
        <v>2020</v>
      </c>
      <c r="B229" t="s">
        <v>58</v>
      </c>
      <c r="C229" t="s">
        <v>42</v>
      </c>
      <c r="D229" s="1">
        <v>5891</v>
      </c>
      <c r="E229" s="1">
        <v>82872</v>
      </c>
      <c r="F229" s="2">
        <v>107388</v>
      </c>
    </row>
    <row r="230" spans="1:6" x14ac:dyDescent="0.3">
      <c r="A230">
        <v>2020</v>
      </c>
      <c r="B230" t="s">
        <v>58</v>
      </c>
      <c r="C230" t="s">
        <v>43</v>
      </c>
      <c r="D230">
        <v>762</v>
      </c>
      <c r="E230" s="1">
        <v>5243</v>
      </c>
      <c r="F230" s="2">
        <v>87286</v>
      </c>
    </row>
    <row r="231" spans="1:6" x14ac:dyDescent="0.3">
      <c r="A231">
        <v>2020</v>
      </c>
      <c r="B231" t="s">
        <v>58</v>
      </c>
      <c r="C231" t="s">
        <v>44</v>
      </c>
      <c r="D231" s="1">
        <v>3216</v>
      </c>
      <c r="E231" s="1">
        <v>24744</v>
      </c>
      <c r="F231" s="2">
        <v>73562</v>
      </c>
    </row>
    <row r="232" spans="1:6" x14ac:dyDescent="0.3">
      <c r="A232">
        <v>2020</v>
      </c>
      <c r="B232" t="s">
        <v>58</v>
      </c>
      <c r="C232" t="s">
        <v>45</v>
      </c>
      <c r="D232">
        <v>606</v>
      </c>
      <c r="E232" s="1">
        <v>5074</v>
      </c>
      <c r="F232" s="2">
        <v>58069</v>
      </c>
    </row>
    <row r="233" spans="1:6" x14ac:dyDescent="0.3">
      <c r="A233">
        <v>2020</v>
      </c>
      <c r="B233" t="s">
        <v>58</v>
      </c>
      <c r="C233" t="s">
        <v>46</v>
      </c>
      <c r="D233" s="1">
        <v>4525</v>
      </c>
      <c r="E233" s="1">
        <v>42929</v>
      </c>
      <c r="F233" s="2">
        <v>81293</v>
      </c>
    </row>
    <row r="234" spans="1:6" x14ac:dyDescent="0.3">
      <c r="A234">
        <v>2020</v>
      </c>
      <c r="B234" t="s">
        <v>58</v>
      </c>
      <c r="C234" t="s">
        <v>47</v>
      </c>
      <c r="D234" s="1">
        <v>11822</v>
      </c>
      <c r="E234" s="1">
        <v>198521</v>
      </c>
      <c r="F234" s="2">
        <v>102835</v>
      </c>
    </row>
    <row r="235" spans="1:6" x14ac:dyDescent="0.3">
      <c r="A235">
        <v>2020</v>
      </c>
      <c r="B235" t="s">
        <v>58</v>
      </c>
      <c r="C235" t="s">
        <v>48</v>
      </c>
      <c r="D235" s="1">
        <v>3177</v>
      </c>
      <c r="E235" s="1">
        <v>37222</v>
      </c>
      <c r="F235" s="2">
        <v>96974</v>
      </c>
    </row>
    <row r="236" spans="1:6" x14ac:dyDescent="0.3">
      <c r="A236">
        <v>2020</v>
      </c>
      <c r="B236" t="s">
        <v>58</v>
      </c>
      <c r="C236" t="s">
        <v>49</v>
      </c>
      <c r="D236">
        <v>584</v>
      </c>
      <c r="E236" s="1">
        <v>3961</v>
      </c>
      <c r="F236" s="2">
        <v>68605</v>
      </c>
    </row>
    <row r="237" spans="1:6" x14ac:dyDescent="0.3">
      <c r="A237">
        <v>2020</v>
      </c>
      <c r="B237" t="s">
        <v>58</v>
      </c>
      <c r="C237" t="s">
        <v>50</v>
      </c>
      <c r="D237" s="1">
        <v>4875</v>
      </c>
      <c r="E237" s="1">
        <v>64840</v>
      </c>
      <c r="F237" s="2">
        <v>117848</v>
      </c>
    </row>
    <row r="238" spans="1:6" x14ac:dyDescent="0.3">
      <c r="A238">
        <v>2020</v>
      </c>
      <c r="B238" t="s">
        <v>58</v>
      </c>
      <c r="C238" t="s">
        <v>51</v>
      </c>
      <c r="D238" s="1">
        <v>5419</v>
      </c>
      <c r="E238" s="1">
        <v>148556</v>
      </c>
      <c r="F238" s="2">
        <v>242273</v>
      </c>
    </row>
    <row r="239" spans="1:6" x14ac:dyDescent="0.3">
      <c r="A239">
        <v>2020</v>
      </c>
      <c r="B239" t="s">
        <v>58</v>
      </c>
      <c r="C239" t="s">
        <v>52</v>
      </c>
      <c r="D239">
        <v>825</v>
      </c>
      <c r="E239" s="1">
        <v>7215</v>
      </c>
      <c r="F239" s="2">
        <v>58063</v>
      </c>
    </row>
    <row r="240" spans="1:6" x14ac:dyDescent="0.3">
      <c r="A240">
        <v>2020</v>
      </c>
      <c r="B240" t="s">
        <v>58</v>
      </c>
      <c r="C240" t="s">
        <v>53</v>
      </c>
      <c r="D240" s="1">
        <v>2400</v>
      </c>
      <c r="E240" s="1">
        <v>44846</v>
      </c>
      <c r="F240" s="2">
        <v>88336</v>
      </c>
    </row>
    <row r="241" spans="1:6" x14ac:dyDescent="0.3">
      <c r="A241">
        <v>2020</v>
      </c>
      <c r="B241" t="s">
        <v>58</v>
      </c>
      <c r="C241" t="s">
        <v>54</v>
      </c>
      <c r="D241">
        <v>428</v>
      </c>
      <c r="E241" s="1">
        <v>3000</v>
      </c>
      <c r="F241" s="2">
        <v>54299</v>
      </c>
    </row>
    <row r="242" spans="1:6" x14ac:dyDescent="0.3">
      <c r="A242">
        <v>2020</v>
      </c>
      <c r="B242" t="s">
        <v>59</v>
      </c>
      <c r="C242" t="s">
        <v>7</v>
      </c>
      <c r="D242" s="1">
        <v>13880</v>
      </c>
      <c r="E242" s="1">
        <v>94715</v>
      </c>
      <c r="F242" s="2">
        <v>75982</v>
      </c>
    </row>
    <row r="243" spans="1:6" x14ac:dyDescent="0.3">
      <c r="A243">
        <v>2020</v>
      </c>
      <c r="B243" t="s">
        <v>59</v>
      </c>
      <c r="C243" t="s">
        <v>8</v>
      </c>
      <c r="D243" s="1">
        <v>20707</v>
      </c>
      <c r="E243" s="1">
        <v>225922</v>
      </c>
      <c r="F243" s="2">
        <v>82956</v>
      </c>
    </row>
    <row r="244" spans="1:6" x14ac:dyDescent="0.3">
      <c r="A244">
        <v>2020</v>
      </c>
      <c r="B244" t="s">
        <v>59</v>
      </c>
      <c r="C244" t="s">
        <v>9</v>
      </c>
      <c r="D244" s="1">
        <v>8906</v>
      </c>
      <c r="E244" s="1">
        <v>51950</v>
      </c>
      <c r="F244" s="2">
        <v>65321</v>
      </c>
    </row>
    <row r="245" spans="1:6" x14ac:dyDescent="0.3">
      <c r="A245">
        <v>2020</v>
      </c>
      <c r="B245" t="s">
        <v>59</v>
      </c>
      <c r="C245" t="s">
        <v>10</v>
      </c>
      <c r="D245" s="1">
        <v>112775</v>
      </c>
      <c r="E245" s="1">
        <v>817007</v>
      </c>
      <c r="F245" s="2">
        <v>124107</v>
      </c>
    </row>
    <row r="246" spans="1:6" x14ac:dyDescent="0.3">
      <c r="A246">
        <v>2020</v>
      </c>
      <c r="B246" t="s">
        <v>59</v>
      </c>
      <c r="C246" t="s">
        <v>11</v>
      </c>
      <c r="D246" s="1">
        <v>25139</v>
      </c>
      <c r="E246" s="1">
        <v>165271</v>
      </c>
      <c r="F246" s="2">
        <v>97276</v>
      </c>
    </row>
    <row r="247" spans="1:6" x14ac:dyDescent="0.3">
      <c r="A247">
        <v>2020</v>
      </c>
      <c r="B247" t="s">
        <v>59</v>
      </c>
      <c r="C247" t="s">
        <v>12</v>
      </c>
      <c r="D247" s="1">
        <v>11223</v>
      </c>
      <c r="E247" s="1">
        <v>118168</v>
      </c>
      <c r="F247" s="2">
        <v>165086</v>
      </c>
    </row>
    <row r="248" spans="1:6" x14ac:dyDescent="0.3">
      <c r="A248">
        <v>2020</v>
      </c>
      <c r="B248" t="s">
        <v>59</v>
      </c>
      <c r="C248" t="s">
        <v>13</v>
      </c>
      <c r="D248" s="1">
        <v>3005</v>
      </c>
      <c r="E248" s="1">
        <v>47390</v>
      </c>
      <c r="F248" s="2">
        <v>103154</v>
      </c>
    </row>
    <row r="249" spans="1:6" x14ac:dyDescent="0.3">
      <c r="A249">
        <v>2020</v>
      </c>
      <c r="B249" t="s">
        <v>59</v>
      </c>
      <c r="C249" t="s">
        <v>14</v>
      </c>
      <c r="D249" s="1">
        <v>80956</v>
      </c>
      <c r="E249" s="1">
        <v>586706</v>
      </c>
      <c r="F249" s="2">
        <v>84307</v>
      </c>
    </row>
    <row r="250" spans="1:6" x14ac:dyDescent="0.3">
      <c r="A250">
        <v>2020</v>
      </c>
      <c r="B250" t="s">
        <v>59</v>
      </c>
      <c r="C250" t="s">
        <v>15</v>
      </c>
      <c r="D250" s="1">
        <v>28810</v>
      </c>
      <c r="E250" s="1">
        <v>242175</v>
      </c>
      <c r="F250" s="2">
        <v>93145</v>
      </c>
    </row>
    <row r="251" spans="1:6" x14ac:dyDescent="0.3">
      <c r="A251">
        <v>2020</v>
      </c>
      <c r="B251" t="s">
        <v>59</v>
      </c>
      <c r="C251" t="s">
        <v>16</v>
      </c>
      <c r="D251" s="1">
        <v>6508</v>
      </c>
      <c r="E251" s="1">
        <v>34249</v>
      </c>
      <c r="F251" s="2">
        <v>68833</v>
      </c>
    </row>
    <row r="252" spans="1:6" x14ac:dyDescent="0.3">
      <c r="A252">
        <v>2020</v>
      </c>
      <c r="B252" t="s">
        <v>59</v>
      </c>
      <c r="C252" t="s">
        <v>17</v>
      </c>
      <c r="D252" s="1">
        <v>33063</v>
      </c>
      <c r="E252" s="1">
        <v>376539</v>
      </c>
      <c r="F252" s="2">
        <v>121634</v>
      </c>
    </row>
    <row r="253" spans="1:6" x14ac:dyDescent="0.3">
      <c r="A253">
        <v>2020</v>
      </c>
      <c r="B253" t="s">
        <v>59</v>
      </c>
      <c r="C253" t="s">
        <v>18</v>
      </c>
      <c r="D253" s="1">
        <v>17574</v>
      </c>
      <c r="E253" s="1">
        <v>133449</v>
      </c>
      <c r="F253" s="2">
        <v>72283</v>
      </c>
    </row>
    <row r="254" spans="1:6" x14ac:dyDescent="0.3">
      <c r="A254">
        <v>2020</v>
      </c>
      <c r="B254" t="s">
        <v>59</v>
      </c>
      <c r="C254" t="s">
        <v>19</v>
      </c>
      <c r="D254" s="1">
        <v>10731</v>
      </c>
      <c r="E254" s="1">
        <v>109283</v>
      </c>
      <c r="F254" s="2">
        <v>81131</v>
      </c>
    </row>
    <row r="255" spans="1:6" x14ac:dyDescent="0.3">
      <c r="A255">
        <v>2020</v>
      </c>
      <c r="B255" t="s">
        <v>59</v>
      </c>
      <c r="C255" t="s">
        <v>20</v>
      </c>
      <c r="D255" s="1">
        <v>8752</v>
      </c>
      <c r="E255" s="1">
        <v>73310</v>
      </c>
      <c r="F255" s="2">
        <v>75889</v>
      </c>
    </row>
    <row r="256" spans="1:6" x14ac:dyDescent="0.3">
      <c r="A256">
        <v>2020</v>
      </c>
      <c r="B256" t="s">
        <v>59</v>
      </c>
      <c r="C256" t="s">
        <v>21</v>
      </c>
      <c r="D256" s="1">
        <v>11729</v>
      </c>
      <c r="E256" s="1">
        <v>92079</v>
      </c>
      <c r="F256" s="2">
        <v>75177</v>
      </c>
    </row>
    <row r="257" spans="1:6" x14ac:dyDescent="0.3">
      <c r="A257">
        <v>2020</v>
      </c>
      <c r="B257" t="s">
        <v>59</v>
      </c>
      <c r="C257" t="s">
        <v>22</v>
      </c>
      <c r="D257" s="1">
        <v>14229</v>
      </c>
      <c r="E257" s="1">
        <v>81149</v>
      </c>
      <c r="F257" s="2">
        <v>69409</v>
      </c>
    </row>
    <row r="258" spans="1:6" x14ac:dyDescent="0.3">
      <c r="A258">
        <v>2020</v>
      </c>
      <c r="B258" t="s">
        <v>59</v>
      </c>
      <c r="C258" t="s">
        <v>23</v>
      </c>
      <c r="D258" s="1">
        <v>3926</v>
      </c>
      <c r="E258" s="1">
        <v>30107</v>
      </c>
      <c r="F258" s="2">
        <v>75870</v>
      </c>
    </row>
    <row r="259" spans="1:6" x14ac:dyDescent="0.3">
      <c r="A259">
        <v>2020</v>
      </c>
      <c r="B259" t="s">
        <v>59</v>
      </c>
      <c r="C259" t="s">
        <v>24</v>
      </c>
      <c r="D259" s="1">
        <v>15692</v>
      </c>
      <c r="E259" s="1">
        <v>129771</v>
      </c>
      <c r="F259" s="2">
        <v>110159</v>
      </c>
    </row>
    <row r="260" spans="1:6" x14ac:dyDescent="0.3">
      <c r="A260">
        <v>2020</v>
      </c>
      <c r="B260" t="s">
        <v>59</v>
      </c>
      <c r="C260" t="s">
        <v>25</v>
      </c>
      <c r="D260" s="1">
        <v>18137</v>
      </c>
      <c r="E260" s="1">
        <v>212062</v>
      </c>
      <c r="F260" s="2">
        <v>159120</v>
      </c>
    </row>
    <row r="261" spans="1:6" x14ac:dyDescent="0.3">
      <c r="A261">
        <v>2020</v>
      </c>
      <c r="B261" t="s">
        <v>59</v>
      </c>
      <c r="C261" t="s">
        <v>26</v>
      </c>
      <c r="D261" s="1">
        <v>20626</v>
      </c>
      <c r="E261" s="1">
        <v>207448</v>
      </c>
      <c r="F261" s="2">
        <v>81720</v>
      </c>
    </row>
    <row r="262" spans="1:6" x14ac:dyDescent="0.3">
      <c r="A262">
        <v>2020</v>
      </c>
      <c r="B262" t="s">
        <v>59</v>
      </c>
      <c r="C262" t="s">
        <v>27</v>
      </c>
      <c r="D262" s="1">
        <v>16134</v>
      </c>
      <c r="E262" s="1">
        <v>179728</v>
      </c>
      <c r="F262" s="2">
        <v>104989</v>
      </c>
    </row>
    <row r="263" spans="1:6" x14ac:dyDescent="0.3">
      <c r="A263">
        <v>2020</v>
      </c>
      <c r="B263" t="s">
        <v>59</v>
      </c>
      <c r="C263" t="s">
        <v>28</v>
      </c>
      <c r="D263" s="1">
        <v>7984</v>
      </c>
      <c r="E263" s="1">
        <v>41912</v>
      </c>
      <c r="F263" s="2">
        <v>59263</v>
      </c>
    </row>
    <row r="264" spans="1:6" x14ac:dyDescent="0.3">
      <c r="A264">
        <v>2020</v>
      </c>
      <c r="B264" t="s">
        <v>59</v>
      </c>
      <c r="C264" t="s">
        <v>29</v>
      </c>
      <c r="D264" s="1">
        <v>18815</v>
      </c>
      <c r="E264" s="1">
        <v>165564</v>
      </c>
      <c r="F264" s="2">
        <v>82664</v>
      </c>
    </row>
    <row r="265" spans="1:6" x14ac:dyDescent="0.3">
      <c r="A265">
        <v>2020</v>
      </c>
      <c r="B265" t="s">
        <v>59</v>
      </c>
      <c r="C265" t="s">
        <v>30</v>
      </c>
      <c r="D265" s="1">
        <v>4557</v>
      </c>
      <c r="E265" s="1">
        <v>21986</v>
      </c>
      <c r="F265" s="2">
        <v>67330</v>
      </c>
    </row>
    <row r="266" spans="1:6" x14ac:dyDescent="0.3">
      <c r="A266">
        <v>2020</v>
      </c>
      <c r="B266" t="s">
        <v>59</v>
      </c>
      <c r="C266" t="s">
        <v>31</v>
      </c>
      <c r="D266" s="1">
        <v>7000</v>
      </c>
      <c r="E266" s="1">
        <v>66588</v>
      </c>
      <c r="F266" s="2">
        <v>74942</v>
      </c>
    </row>
    <row r="267" spans="1:6" x14ac:dyDescent="0.3">
      <c r="A267">
        <v>2020</v>
      </c>
      <c r="B267" t="s">
        <v>59</v>
      </c>
      <c r="C267" t="s">
        <v>32</v>
      </c>
      <c r="D267" s="1">
        <v>9293</v>
      </c>
      <c r="E267" s="1">
        <v>62325</v>
      </c>
      <c r="F267" s="2">
        <v>79236</v>
      </c>
    </row>
    <row r="268" spans="1:6" x14ac:dyDescent="0.3">
      <c r="A268">
        <v>2020</v>
      </c>
      <c r="B268" t="s">
        <v>59</v>
      </c>
      <c r="C268" t="s">
        <v>33</v>
      </c>
      <c r="D268" s="1">
        <v>3946</v>
      </c>
      <c r="E268" s="1">
        <v>33027</v>
      </c>
      <c r="F268" s="2">
        <v>109751</v>
      </c>
    </row>
    <row r="269" spans="1:6" x14ac:dyDescent="0.3">
      <c r="A269">
        <v>2020</v>
      </c>
      <c r="B269" t="s">
        <v>59</v>
      </c>
      <c r="C269" t="s">
        <v>34</v>
      </c>
      <c r="D269" s="1">
        <v>20469</v>
      </c>
      <c r="E269" s="1">
        <v>235676</v>
      </c>
      <c r="F269" s="2">
        <v>127870</v>
      </c>
    </row>
    <row r="270" spans="1:6" x14ac:dyDescent="0.3">
      <c r="A270">
        <v>2020</v>
      </c>
      <c r="B270" t="s">
        <v>59</v>
      </c>
      <c r="C270" t="s">
        <v>35</v>
      </c>
      <c r="D270" s="1">
        <v>5600</v>
      </c>
      <c r="E270" s="1">
        <v>32608</v>
      </c>
      <c r="F270" s="2">
        <v>62343</v>
      </c>
    </row>
    <row r="271" spans="1:6" x14ac:dyDescent="0.3">
      <c r="A271">
        <v>2020</v>
      </c>
      <c r="B271" t="s">
        <v>59</v>
      </c>
      <c r="C271" t="s">
        <v>36</v>
      </c>
      <c r="D271" s="1">
        <v>63948</v>
      </c>
      <c r="E271" s="1">
        <v>700031</v>
      </c>
      <c r="F271" s="2">
        <v>207014</v>
      </c>
    </row>
    <row r="272" spans="1:6" x14ac:dyDescent="0.3">
      <c r="A272">
        <v>2020</v>
      </c>
      <c r="B272" t="s">
        <v>59</v>
      </c>
      <c r="C272" t="s">
        <v>37</v>
      </c>
      <c r="D272" s="1">
        <v>30275</v>
      </c>
      <c r="E272" s="1">
        <v>251672</v>
      </c>
      <c r="F272" s="2">
        <v>97234</v>
      </c>
    </row>
    <row r="273" spans="1:6" x14ac:dyDescent="0.3">
      <c r="A273">
        <v>2020</v>
      </c>
      <c r="B273" t="s">
        <v>59</v>
      </c>
      <c r="C273" t="s">
        <v>38</v>
      </c>
      <c r="D273" s="1">
        <v>3042</v>
      </c>
      <c r="E273" s="1">
        <v>22496</v>
      </c>
      <c r="F273" s="2">
        <v>69243</v>
      </c>
    </row>
    <row r="274" spans="1:6" x14ac:dyDescent="0.3">
      <c r="A274">
        <v>2020</v>
      </c>
      <c r="B274" t="s">
        <v>59</v>
      </c>
      <c r="C274" t="s">
        <v>39</v>
      </c>
      <c r="D274" s="1">
        <v>29307</v>
      </c>
      <c r="E274" s="1">
        <v>287990</v>
      </c>
      <c r="F274" s="2">
        <v>82336</v>
      </c>
    </row>
    <row r="275" spans="1:6" x14ac:dyDescent="0.3">
      <c r="A275">
        <v>2020</v>
      </c>
      <c r="B275" t="s">
        <v>59</v>
      </c>
      <c r="C275" t="s">
        <v>40</v>
      </c>
      <c r="D275" s="1">
        <v>11701</v>
      </c>
      <c r="E275" s="1">
        <v>74614</v>
      </c>
      <c r="F275" s="2">
        <v>64030</v>
      </c>
    </row>
    <row r="276" spans="1:6" x14ac:dyDescent="0.3">
      <c r="A276">
        <v>2020</v>
      </c>
      <c r="B276" t="s">
        <v>59</v>
      </c>
      <c r="C276" t="s">
        <v>41</v>
      </c>
      <c r="D276" s="1">
        <v>13352</v>
      </c>
      <c r="E276" s="1">
        <v>83937</v>
      </c>
      <c r="F276" s="2">
        <v>80727</v>
      </c>
    </row>
    <row r="277" spans="1:6" x14ac:dyDescent="0.3">
      <c r="A277">
        <v>2020</v>
      </c>
      <c r="B277" t="s">
        <v>59</v>
      </c>
      <c r="C277" t="s">
        <v>42</v>
      </c>
      <c r="D277" s="1">
        <v>29714</v>
      </c>
      <c r="E277" s="1">
        <v>325571</v>
      </c>
      <c r="F277" s="2">
        <v>97231</v>
      </c>
    </row>
    <row r="278" spans="1:6" x14ac:dyDescent="0.3">
      <c r="A278">
        <v>2020</v>
      </c>
      <c r="B278" t="s">
        <v>59</v>
      </c>
      <c r="C278" t="s">
        <v>43</v>
      </c>
      <c r="D278" s="1">
        <v>3038</v>
      </c>
      <c r="E278" s="1">
        <v>31304</v>
      </c>
      <c r="F278" s="2">
        <v>100316</v>
      </c>
    </row>
    <row r="279" spans="1:6" x14ac:dyDescent="0.3">
      <c r="A279">
        <v>2020</v>
      </c>
      <c r="B279" t="s">
        <v>59</v>
      </c>
      <c r="C279" t="s">
        <v>44</v>
      </c>
      <c r="D279" s="1">
        <v>15078</v>
      </c>
      <c r="E279" s="1">
        <v>101637</v>
      </c>
      <c r="F279" s="2">
        <v>71361</v>
      </c>
    </row>
    <row r="280" spans="1:6" x14ac:dyDescent="0.3">
      <c r="A280">
        <v>2020</v>
      </c>
      <c r="B280" t="s">
        <v>59</v>
      </c>
      <c r="C280" t="s">
        <v>45</v>
      </c>
      <c r="D280" s="1">
        <v>3397</v>
      </c>
      <c r="E280" s="1">
        <v>27809</v>
      </c>
      <c r="F280" s="2">
        <v>69345</v>
      </c>
    </row>
    <row r="281" spans="1:6" x14ac:dyDescent="0.3">
      <c r="A281">
        <v>2020</v>
      </c>
      <c r="B281" t="s">
        <v>59</v>
      </c>
      <c r="C281" t="s">
        <v>46</v>
      </c>
      <c r="D281" s="1">
        <v>16893</v>
      </c>
      <c r="E281" s="1">
        <v>155926</v>
      </c>
      <c r="F281" s="2">
        <v>85116</v>
      </c>
    </row>
    <row r="282" spans="1:6" x14ac:dyDescent="0.3">
      <c r="A282">
        <v>2020</v>
      </c>
      <c r="B282" t="s">
        <v>59</v>
      </c>
      <c r="C282" t="s">
        <v>47</v>
      </c>
      <c r="D282" s="1">
        <v>78940</v>
      </c>
      <c r="E282" s="1">
        <v>778554</v>
      </c>
      <c r="F282" s="2">
        <v>92477</v>
      </c>
    </row>
    <row r="283" spans="1:6" x14ac:dyDescent="0.3">
      <c r="A283">
        <v>2020</v>
      </c>
      <c r="B283" t="s">
        <v>59</v>
      </c>
      <c r="C283" t="s">
        <v>48</v>
      </c>
      <c r="D283" s="1">
        <v>12580</v>
      </c>
      <c r="E283" s="1">
        <v>93379</v>
      </c>
      <c r="F283" s="2">
        <v>79806</v>
      </c>
    </row>
    <row r="284" spans="1:6" x14ac:dyDescent="0.3">
      <c r="A284">
        <v>2020</v>
      </c>
      <c r="B284" t="s">
        <v>59</v>
      </c>
      <c r="C284" t="s">
        <v>49</v>
      </c>
      <c r="D284" s="1">
        <v>1719</v>
      </c>
      <c r="E284" s="1">
        <v>11578</v>
      </c>
      <c r="F284" s="2">
        <v>80135</v>
      </c>
    </row>
    <row r="285" spans="1:6" x14ac:dyDescent="0.3">
      <c r="A285">
        <v>2020</v>
      </c>
      <c r="B285" t="s">
        <v>59</v>
      </c>
      <c r="C285" t="s">
        <v>50</v>
      </c>
      <c r="D285" s="1">
        <v>22750</v>
      </c>
      <c r="E285" s="1">
        <v>195671</v>
      </c>
      <c r="F285" s="2">
        <v>97246</v>
      </c>
    </row>
    <row r="286" spans="1:6" x14ac:dyDescent="0.3">
      <c r="A286">
        <v>2020</v>
      </c>
      <c r="B286" t="s">
        <v>59</v>
      </c>
      <c r="C286" t="s">
        <v>51</v>
      </c>
      <c r="D286" s="1">
        <v>18828</v>
      </c>
      <c r="E286" s="1">
        <v>147772</v>
      </c>
      <c r="F286" s="2">
        <v>95674</v>
      </c>
    </row>
    <row r="287" spans="1:6" x14ac:dyDescent="0.3">
      <c r="A287">
        <v>2020</v>
      </c>
      <c r="B287" t="s">
        <v>59</v>
      </c>
      <c r="C287" t="s">
        <v>52</v>
      </c>
      <c r="D287" s="1">
        <v>4042</v>
      </c>
      <c r="E287" s="1">
        <v>24190</v>
      </c>
      <c r="F287" s="2">
        <v>56764</v>
      </c>
    </row>
    <row r="288" spans="1:6" x14ac:dyDescent="0.3">
      <c r="A288">
        <v>2020</v>
      </c>
      <c r="B288" t="s">
        <v>59</v>
      </c>
      <c r="C288" t="s">
        <v>53</v>
      </c>
      <c r="D288" s="1">
        <v>14688</v>
      </c>
      <c r="E288" s="1">
        <v>148829</v>
      </c>
      <c r="F288" s="2">
        <v>80470</v>
      </c>
    </row>
    <row r="289" spans="1:6" x14ac:dyDescent="0.3">
      <c r="A289">
        <v>2020</v>
      </c>
      <c r="B289" t="s">
        <v>59</v>
      </c>
      <c r="C289" t="s">
        <v>54</v>
      </c>
      <c r="D289" s="1">
        <v>2353</v>
      </c>
      <c r="E289" s="1">
        <v>10919</v>
      </c>
      <c r="F289" s="2">
        <v>64480</v>
      </c>
    </row>
    <row r="290" spans="1:6" x14ac:dyDescent="0.3">
      <c r="A290">
        <v>2020</v>
      </c>
      <c r="B290" t="s">
        <v>60</v>
      </c>
      <c r="C290" t="s">
        <v>7</v>
      </c>
      <c r="D290" s="1">
        <v>22875</v>
      </c>
      <c r="E290" s="1">
        <v>242419</v>
      </c>
      <c r="F290" s="2">
        <v>62111</v>
      </c>
    </row>
    <row r="291" spans="1:6" x14ac:dyDescent="0.3">
      <c r="A291">
        <v>2020</v>
      </c>
      <c r="B291" t="s">
        <v>60</v>
      </c>
      <c r="C291" t="s">
        <v>8</v>
      </c>
      <c r="D291" s="1">
        <v>40867</v>
      </c>
      <c r="E291" s="1">
        <v>431379</v>
      </c>
      <c r="F291" s="2">
        <v>63180</v>
      </c>
    </row>
    <row r="292" spans="1:6" x14ac:dyDescent="0.3">
      <c r="A292">
        <v>2020</v>
      </c>
      <c r="B292" t="s">
        <v>60</v>
      </c>
      <c r="C292" t="s">
        <v>9</v>
      </c>
      <c r="D292" s="1">
        <v>15490</v>
      </c>
      <c r="E292" s="1">
        <v>139300</v>
      </c>
      <c r="F292" s="2">
        <v>68067</v>
      </c>
    </row>
    <row r="293" spans="1:6" x14ac:dyDescent="0.3">
      <c r="A293">
        <v>2020</v>
      </c>
      <c r="B293" t="s">
        <v>60</v>
      </c>
      <c r="C293" t="s">
        <v>10</v>
      </c>
      <c r="D293" s="1">
        <v>221985</v>
      </c>
      <c r="E293" s="1">
        <v>2600604</v>
      </c>
      <c r="F293" s="2">
        <v>106486</v>
      </c>
    </row>
    <row r="294" spans="1:6" x14ac:dyDescent="0.3">
      <c r="A294">
        <v>2020</v>
      </c>
      <c r="B294" t="s">
        <v>60</v>
      </c>
      <c r="C294" t="s">
        <v>11</v>
      </c>
      <c r="D294" s="1">
        <v>58286</v>
      </c>
      <c r="E294" s="1">
        <v>430367</v>
      </c>
      <c r="F294" s="2">
        <v>90744</v>
      </c>
    </row>
    <row r="295" spans="1:6" x14ac:dyDescent="0.3">
      <c r="A295">
        <v>2020</v>
      </c>
      <c r="B295" t="s">
        <v>60</v>
      </c>
      <c r="C295" t="s">
        <v>12</v>
      </c>
      <c r="D295" s="1">
        <v>24131</v>
      </c>
      <c r="E295" s="1">
        <v>206629</v>
      </c>
      <c r="F295" s="2">
        <v>95714</v>
      </c>
    </row>
    <row r="296" spans="1:6" x14ac:dyDescent="0.3">
      <c r="A296">
        <v>2020</v>
      </c>
      <c r="B296" t="s">
        <v>60</v>
      </c>
      <c r="C296" t="s">
        <v>13</v>
      </c>
      <c r="D296" s="1">
        <v>9766</v>
      </c>
      <c r="E296" s="1">
        <v>61669</v>
      </c>
      <c r="F296" s="2">
        <v>85651</v>
      </c>
    </row>
    <row r="297" spans="1:6" x14ac:dyDescent="0.3">
      <c r="A297">
        <v>2020</v>
      </c>
      <c r="B297" t="s">
        <v>60</v>
      </c>
      <c r="C297" t="s">
        <v>14</v>
      </c>
      <c r="D297" s="1">
        <v>179893</v>
      </c>
      <c r="E297" s="1">
        <v>1358317</v>
      </c>
      <c r="F297" s="2">
        <v>68223</v>
      </c>
    </row>
    <row r="298" spans="1:6" x14ac:dyDescent="0.3">
      <c r="A298">
        <v>2020</v>
      </c>
      <c r="B298" t="s">
        <v>60</v>
      </c>
      <c r="C298" t="s">
        <v>15</v>
      </c>
      <c r="D298" s="1">
        <v>60683</v>
      </c>
      <c r="E298" s="1">
        <v>692452</v>
      </c>
      <c r="F298" s="2">
        <v>76331</v>
      </c>
    </row>
    <row r="299" spans="1:6" x14ac:dyDescent="0.3">
      <c r="A299">
        <v>2020</v>
      </c>
      <c r="B299" t="s">
        <v>60</v>
      </c>
      <c r="C299" t="s">
        <v>16</v>
      </c>
      <c r="D299" s="1">
        <v>12911</v>
      </c>
      <c r="E299" s="1">
        <v>97097</v>
      </c>
      <c r="F299" s="2">
        <v>59743</v>
      </c>
    </row>
    <row r="300" spans="1:6" x14ac:dyDescent="0.3">
      <c r="A300">
        <v>2020</v>
      </c>
      <c r="B300" t="s">
        <v>60</v>
      </c>
      <c r="C300" t="s">
        <v>17</v>
      </c>
      <c r="D300" s="1">
        <v>75904</v>
      </c>
      <c r="E300" s="1">
        <v>892150</v>
      </c>
      <c r="F300" s="2">
        <v>83889</v>
      </c>
    </row>
    <row r="301" spans="1:6" x14ac:dyDescent="0.3">
      <c r="A301">
        <v>2020</v>
      </c>
      <c r="B301" t="s">
        <v>60</v>
      </c>
      <c r="C301" t="s">
        <v>18</v>
      </c>
      <c r="D301" s="1">
        <v>32143</v>
      </c>
      <c r="E301" s="1">
        <v>326745</v>
      </c>
      <c r="F301" s="2">
        <v>58578</v>
      </c>
    </row>
    <row r="302" spans="1:6" x14ac:dyDescent="0.3">
      <c r="A302">
        <v>2020</v>
      </c>
      <c r="B302" t="s">
        <v>60</v>
      </c>
      <c r="C302" t="s">
        <v>19</v>
      </c>
      <c r="D302" s="1">
        <v>16706</v>
      </c>
      <c r="E302" s="1">
        <v>134822</v>
      </c>
      <c r="F302" s="2">
        <v>61793</v>
      </c>
    </row>
    <row r="303" spans="1:6" x14ac:dyDescent="0.3">
      <c r="A303">
        <v>2020</v>
      </c>
      <c r="B303" t="s">
        <v>60</v>
      </c>
      <c r="C303" t="s">
        <v>20</v>
      </c>
      <c r="D303" s="1">
        <v>16823</v>
      </c>
      <c r="E303" s="1">
        <v>168813</v>
      </c>
      <c r="F303" s="2">
        <v>69538</v>
      </c>
    </row>
    <row r="304" spans="1:6" x14ac:dyDescent="0.3">
      <c r="A304">
        <v>2020</v>
      </c>
      <c r="B304" t="s">
        <v>60</v>
      </c>
      <c r="C304" t="s">
        <v>21</v>
      </c>
      <c r="D304" s="1">
        <v>22329</v>
      </c>
      <c r="E304" s="1">
        <v>207575</v>
      </c>
      <c r="F304" s="2">
        <v>55987</v>
      </c>
    </row>
    <row r="305" spans="1:6" x14ac:dyDescent="0.3">
      <c r="A305">
        <v>2020</v>
      </c>
      <c r="B305" t="s">
        <v>60</v>
      </c>
      <c r="C305" t="s">
        <v>22</v>
      </c>
      <c r="D305" s="1">
        <v>26262</v>
      </c>
      <c r="E305" s="1">
        <v>204729</v>
      </c>
      <c r="F305" s="2">
        <v>60136</v>
      </c>
    </row>
    <row r="306" spans="1:6" x14ac:dyDescent="0.3">
      <c r="A306">
        <v>2020</v>
      </c>
      <c r="B306" t="s">
        <v>60</v>
      </c>
      <c r="C306" t="s">
        <v>23</v>
      </c>
      <c r="D306" s="1">
        <v>11267</v>
      </c>
      <c r="E306" s="1">
        <v>68952</v>
      </c>
      <c r="F306" s="2">
        <v>66178</v>
      </c>
    </row>
    <row r="307" spans="1:6" x14ac:dyDescent="0.3">
      <c r="A307">
        <v>2020</v>
      </c>
      <c r="B307" t="s">
        <v>60</v>
      </c>
      <c r="C307" t="s">
        <v>24</v>
      </c>
      <c r="D307" s="1">
        <v>44172</v>
      </c>
      <c r="E307" s="1">
        <v>441860</v>
      </c>
      <c r="F307" s="2">
        <v>88391</v>
      </c>
    </row>
    <row r="308" spans="1:6" x14ac:dyDescent="0.3">
      <c r="A308">
        <v>2020</v>
      </c>
      <c r="B308" t="s">
        <v>60</v>
      </c>
      <c r="C308" t="s">
        <v>25</v>
      </c>
      <c r="D308" s="1">
        <v>48428</v>
      </c>
      <c r="E308" s="1">
        <v>583792</v>
      </c>
      <c r="F308" s="2">
        <v>124638</v>
      </c>
    </row>
    <row r="309" spans="1:6" x14ac:dyDescent="0.3">
      <c r="A309">
        <v>2020</v>
      </c>
      <c r="B309" t="s">
        <v>60</v>
      </c>
      <c r="C309" t="s">
        <v>26</v>
      </c>
      <c r="D309" s="1">
        <v>46269</v>
      </c>
      <c r="E309" s="1">
        <v>599657</v>
      </c>
      <c r="F309" s="2">
        <v>76432</v>
      </c>
    </row>
    <row r="310" spans="1:6" x14ac:dyDescent="0.3">
      <c r="A310">
        <v>2020</v>
      </c>
      <c r="B310" t="s">
        <v>60</v>
      </c>
      <c r="C310" t="s">
        <v>27</v>
      </c>
      <c r="D310" s="1">
        <v>33603</v>
      </c>
      <c r="E310" s="1">
        <v>361183</v>
      </c>
      <c r="F310" s="2">
        <v>91033</v>
      </c>
    </row>
    <row r="311" spans="1:6" x14ac:dyDescent="0.3">
      <c r="A311">
        <v>2020</v>
      </c>
      <c r="B311" t="s">
        <v>60</v>
      </c>
      <c r="C311" t="s">
        <v>28</v>
      </c>
      <c r="D311" s="1">
        <v>12692</v>
      </c>
      <c r="E311" s="1">
        <v>107758</v>
      </c>
      <c r="F311" s="2">
        <v>45573</v>
      </c>
    </row>
    <row r="312" spans="1:6" x14ac:dyDescent="0.3">
      <c r="A312">
        <v>2020</v>
      </c>
      <c r="B312" t="s">
        <v>60</v>
      </c>
      <c r="C312" t="s">
        <v>29</v>
      </c>
      <c r="D312" s="1">
        <v>36089</v>
      </c>
      <c r="E312" s="1">
        <v>365657</v>
      </c>
      <c r="F312" s="2">
        <v>72666</v>
      </c>
    </row>
    <row r="313" spans="1:6" x14ac:dyDescent="0.3">
      <c r="A313">
        <v>2020</v>
      </c>
      <c r="B313" t="s">
        <v>60</v>
      </c>
      <c r="C313" t="s">
        <v>30</v>
      </c>
      <c r="D313" s="1">
        <v>10331</v>
      </c>
      <c r="E313" s="1">
        <v>43549</v>
      </c>
      <c r="F313" s="2">
        <v>59785</v>
      </c>
    </row>
    <row r="314" spans="1:6" x14ac:dyDescent="0.3">
      <c r="A314">
        <v>2020</v>
      </c>
      <c r="B314" t="s">
        <v>60</v>
      </c>
      <c r="C314" t="s">
        <v>31</v>
      </c>
      <c r="D314" s="1">
        <v>11809</v>
      </c>
      <c r="E314" s="1">
        <v>117288</v>
      </c>
      <c r="F314" s="2">
        <v>65292</v>
      </c>
    </row>
    <row r="315" spans="1:6" x14ac:dyDescent="0.3">
      <c r="A315">
        <v>2020</v>
      </c>
      <c r="B315" t="s">
        <v>60</v>
      </c>
      <c r="C315" t="s">
        <v>32</v>
      </c>
      <c r="D315" s="1">
        <v>20046</v>
      </c>
      <c r="E315" s="1">
        <v>179092</v>
      </c>
      <c r="F315" s="2">
        <v>67081</v>
      </c>
    </row>
    <row r="316" spans="1:6" x14ac:dyDescent="0.3">
      <c r="A316">
        <v>2020</v>
      </c>
      <c r="B316" t="s">
        <v>60</v>
      </c>
      <c r="C316" t="s">
        <v>33</v>
      </c>
      <c r="D316" s="1">
        <v>13616</v>
      </c>
      <c r="E316" s="1">
        <v>81639</v>
      </c>
      <c r="F316" s="2">
        <v>88167</v>
      </c>
    </row>
    <row r="317" spans="1:6" x14ac:dyDescent="0.3">
      <c r="A317">
        <v>2020</v>
      </c>
      <c r="B317" t="s">
        <v>60</v>
      </c>
      <c r="C317" t="s">
        <v>34</v>
      </c>
      <c r="D317" s="1">
        <v>53304</v>
      </c>
      <c r="E317" s="1">
        <v>643507</v>
      </c>
      <c r="F317" s="2">
        <v>102666</v>
      </c>
    </row>
    <row r="318" spans="1:6" x14ac:dyDescent="0.3">
      <c r="A318">
        <v>2020</v>
      </c>
      <c r="B318" t="s">
        <v>60</v>
      </c>
      <c r="C318" t="s">
        <v>35</v>
      </c>
      <c r="D318" s="1">
        <v>11550</v>
      </c>
      <c r="E318" s="1">
        <v>107707</v>
      </c>
      <c r="F318" s="2">
        <v>69938</v>
      </c>
    </row>
    <row r="319" spans="1:6" x14ac:dyDescent="0.3">
      <c r="A319">
        <v>2020</v>
      </c>
      <c r="B319" t="s">
        <v>60</v>
      </c>
      <c r="C319" t="s">
        <v>36</v>
      </c>
      <c r="D319" s="1">
        <v>117347</v>
      </c>
      <c r="E319" s="1">
        <v>1242471</v>
      </c>
      <c r="F319" s="2">
        <v>109413</v>
      </c>
    </row>
    <row r="320" spans="1:6" x14ac:dyDescent="0.3">
      <c r="A320">
        <v>2020</v>
      </c>
      <c r="B320" t="s">
        <v>60</v>
      </c>
      <c r="C320" t="s">
        <v>37</v>
      </c>
      <c r="D320" s="1">
        <v>64843</v>
      </c>
      <c r="E320" s="1">
        <v>637719</v>
      </c>
      <c r="F320" s="2">
        <v>72078</v>
      </c>
    </row>
    <row r="321" spans="1:6" x14ac:dyDescent="0.3">
      <c r="A321">
        <v>2020</v>
      </c>
      <c r="B321" t="s">
        <v>60</v>
      </c>
      <c r="C321" t="s">
        <v>38</v>
      </c>
      <c r="D321" s="1">
        <v>5337</v>
      </c>
      <c r="E321" s="1">
        <v>31642</v>
      </c>
      <c r="F321" s="2">
        <v>65877</v>
      </c>
    </row>
    <row r="322" spans="1:6" x14ac:dyDescent="0.3">
      <c r="A322">
        <v>2020</v>
      </c>
      <c r="B322" t="s">
        <v>60</v>
      </c>
      <c r="C322" t="s">
        <v>39</v>
      </c>
      <c r="D322" s="1">
        <v>55987</v>
      </c>
      <c r="E322" s="1">
        <v>697244</v>
      </c>
      <c r="F322" s="2">
        <v>71920</v>
      </c>
    </row>
    <row r="323" spans="1:6" x14ac:dyDescent="0.3">
      <c r="A323">
        <v>2020</v>
      </c>
      <c r="B323" t="s">
        <v>60</v>
      </c>
      <c r="C323" t="s">
        <v>40</v>
      </c>
      <c r="D323" s="1">
        <v>21652</v>
      </c>
      <c r="E323" s="1">
        <v>185307</v>
      </c>
      <c r="F323" s="2">
        <v>58539</v>
      </c>
    </row>
    <row r="324" spans="1:6" x14ac:dyDescent="0.3">
      <c r="A324">
        <v>2020</v>
      </c>
      <c r="B324" t="s">
        <v>60</v>
      </c>
      <c r="C324" t="s">
        <v>41</v>
      </c>
      <c r="D324" s="1">
        <v>27033</v>
      </c>
      <c r="E324" s="1">
        <v>242218</v>
      </c>
      <c r="F324" s="2">
        <v>81224</v>
      </c>
    </row>
    <row r="325" spans="1:6" x14ac:dyDescent="0.3">
      <c r="A325">
        <v>2020</v>
      </c>
      <c r="B325" t="s">
        <v>60</v>
      </c>
      <c r="C325" t="s">
        <v>42</v>
      </c>
      <c r="D325" s="1">
        <v>66210</v>
      </c>
      <c r="E325" s="1">
        <v>766122</v>
      </c>
      <c r="F325" s="2">
        <v>86971</v>
      </c>
    </row>
    <row r="326" spans="1:6" x14ac:dyDescent="0.3">
      <c r="A326">
        <v>2020</v>
      </c>
      <c r="B326" t="s">
        <v>60</v>
      </c>
      <c r="C326" t="s">
        <v>43</v>
      </c>
      <c r="D326" s="1">
        <v>9567</v>
      </c>
      <c r="E326" s="1">
        <v>65232</v>
      </c>
      <c r="F326" s="2">
        <v>75829</v>
      </c>
    </row>
    <row r="327" spans="1:6" x14ac:dyDescent="0.3">
      <c r="A327">
        <v>2020</v>
      </c>
      <c r="B327" t="s">
        <v>60</v>
      </c>
      <c r="C327" t="s">
        <v>44</v>
      </c>
      <c r="D327" s="1">
        <v>30793</v>
      </c>
      <c r="E327" s="1">
        <v>281874</v>
      </c>
      <c r="F327" s="2">
        <v>56907</v>
      </c>
    </row>
    <row r="328" spans="1:6" x14ac:dyDescent="0.3">
      <c r="A328">
        <v>2020</v>
      </c>
      <c r="B328" t="s">
        <v>60</v>
      </c>
      <c r="C328" t="s">
        <v>45</v>
      </c>
      <c r="D328" s="1">
        <v>5876</v>
      </c>
      <c r="E328" s="1">
        <v>32771</v>
      </c>
      <c r="F328" s="2">
        <v>63709</v>
      </c>
    </row>
    <row r="329" spans="1:6" x14ac:dyDescent="0.3">
      <c r="A329">
        <v>2020</v>
      </c>
      <c r="B329" t="s">
        <v>60</v>
      </c>
      <c r="C329" t="s">
        <v>46</v>
      </c>
      <c r="D329" s="1">
        <v>32595</v>
      </c>
      <c r="E329" s="1">
        <v>414644</v>
      </c>
      <c r="F329" s="2">
        <v>66460</v>
      </c>
    </row>
    <row r="330" spans="1:6" x14ac:dyDescent="0.3">
      <c r="A330">
        <v>2020</v>
      </c>
      <c r="B330" t="s">
        <v>60</v>
      </c>
      <c r="C330" t="s">
        <v>47</v>
      </c>
      <c r="D330" s="1">
        <v>146639</v>
      </c>
      <c r="E330" s="1">
        <v>1758991</v>
      </c>
      <c r="F330" s="2">
        <v>81123</v>
      </c>
    </row>
    <row r="331" spans="1:6" x14ac:dyDescent="0.3">
      <c r="A331">
        <v>2020</v>
      </c>
      <c r="B331" t="s">
        <v>60</v>
      </c>
      <c r="C331" t="s">
        <v>48</v>
      </c>
      <c r="D331" s="1">
        <v>25941</v>
      </c>
      <c r="E331" s="1">
        <v>223284</v>
      </c>
      <c r="F331" s="2">
        <v>68355</v>
      </c>
    </row>
    <row r="332" spans="1:6" x14ac:dyDescent="0.3">
      <c r="A332">
        <v>2020</v>
      </c>
      <c r="B332" t="s">
        <v>60</v>
      </c>
      <c r="C332" t="s">
        <v>49</v>
      </c>
      <c r="D332" s="1">
        <v>6346</v>
      </c>
      <c r="E332" s="1">
        <v>28512</v>
      </c>
      <c r="F332" s="2">
        <v>74442</v>
      </c>
    </row>
    <row r="333" spans="1:6" x14ac:dyDescent="0.3">
      <c r="A333">
        <v>2020</v>
      </c>
      <c r="B333" t="s">
        <v>60</v>
      </c>
      <c r="C333" t="s">
        <v>50</v>
      </c>
      <c r="D333" s="1">
        <v>60099</v>
      </c>
      <c r="E333" s="1">
        <v>752090</v>
      </c>
      <c r="F333" s="2">
        <v>96046</v>
      </c>
    </row>
    <row r="334" spans="1:6" x14ac:dyDescent="0.3">
      <c r="A334">
        <v>2020</v>
      </c>
      <c r="B334" t="s">
        <v>60</v>
      </c>
      <c r="C334" t="s">
        <v>51</v>
      </c>
      <c r="D334" s="1">
        <v>43094</v>
      </c>
      <c r="E334" s="1">
        <v>415190</v>
      </c>
      <c r="F334" s="2">
        <v>92279</v>
      </c>
    </row>
    <row r="335" spans="1:6" x14ac:dyDescent="0.3">
      <c r="A335">
        <v>2020</v>
      </c>
      <c r="B335" t="s">
        <v>60</v>
      </c>
      <c r="C335" t="s">
        <v>52</v>
      </c>
      <c r="D335" s="1">
        <v>8599</v>
      </c>
      <c r="E335" s="1">
        <v>65715</v>
      </c>
      <c r="F335" s="2">
        <v>53557</v>
      </c>
    </row>
    <row r="336" spans="1:6" x14ac:dyDescent="0.3">
      <c r="A336">
        <v>2020</v>
      </c>
      <c r="B336" t="s">
        <v>60</v>
      </c>
      <c r="C336" t="s">
        <v>53</v>
      </c>
      <c r="D336" s="1">
        <v>27048</v>
      </c>
      <c r="E336" s="1">
        <v>309780</v>
      </c>
      <c r="F336" s="2">
        <v>67254</v>
      </c>
    </row>
    <row r="337" spans="1:6" x14ac:dyDescent="0.3">
      <c r="A337">
        <v>2020</v>
      </c>
      <c r="B337" t="s">
        <v>60</v>
      </c>
      <c r="C337" t="s">
        <v>54</v>
      </c>
      <c r="D337" s="1">
        <v>4986</v>
      </c>
      <c r="E337" s="1">
        <v>18382</v>
      </c>
      <c r="F337" s="2">
        <v>60233</v>
      </c>
    </row>
    <row r="338" spans="1:6" x14ac:dyDescent="0.3">
      <c r="A338">
        <v>2020</v>
      </c>
      <c r="B338" t="s">
        <v>61</v>
      </c>
      <c r="C338" t="s">
        <v>7</v>
      </c>
      <c r="D338" s="1">
        <v>15859</v>
      </c>
      <c r="E338" s="1">
        <v>228486</v>
      </c>
      <c r="F338" s="2">
        <v>51193</v>
      </c>
    </row>
    <row r="339" spans="1:6" x14ac:dyDescent="0.3">
      <c r="A339">
        <v>2020</v>
      </c>
      <c r="B339" t="s">
        <v>61</v>
      </c>
      <c r="C339" t="s">
        <v>8</v>
      </c>
      <c r="D339" s="1">
        <v>20727</v>
      </c>
      <c r="E339" s="1">
        <v>455356</v>
      </c>
      <c r="F339" s="2">
        <v>56159</v>
      </c>
    </row>
    <row r="340" spans="1:6" x14ac:dyDescent="0.3">
      <c r="A340">
        <v>2020</v>
      </c>
      <c r="B340" t="s">
        <v>61</v>
      </c>
      <c r="C340" t="s">
        <v>9</v>
      </c>
      <c r="D340" s="1">
        <v>15656</v>
      </c>
      <c r="E340" s="1">
        <v>181169</v>
      </c>
      <c r="F340" s="2">
        <v>47435</v>
      </c>
    </row>
    <row r="341" spans="1:6" x14ac:dyDescent="0.3">
      <c r="A341">
        <v>2020</v>
      </c>
      <c r="B341" t="s">
        <v>61</v>
      </c>
      <c r="C341" t="s">
        <v>10</v>
      </c>
      <c r="D341" s="1">
        <v>656765</v>
      </c>
      <c r="E341" s="1">
        <v>2651781</v>
      </c>
      <c r="F341" s="2">
        <v>57668</v>
      </c>
    </row>
    <row r="342" spans="1:6" x14ac:dyDescent="0.3">
      <c r="A342">
        <v>2020</v>
      </c>
      <c r="B342" t="s">
        <v>61</v>
      </c>
      <c r="C342" t="s">
        <v>11</v>
      </c>
      <c r="D342" s="1">
        <v>23475</v>
      </c>
      <c r="E342" s="1">
        <v>332209</v>
      </c>
      <c r="F342" s="2">
        <v>55198</v>
      </c>
    </row>
    <row r="343" spans="1:6" x14ac:dyDescent="0.3">
      <c r="A343">
        <v>2020</v>
      </c>
      <c r="B343" t="s">
        <v>61</v>
      </c>
      <c r="C343" t="s">
        <v>12</v>
      </c>
      <c r="D343" s="1">
        <v>19964</v>
      </c>
      <c r="E343" s="1">
        <v>319881</v>
      </c>
      <c r="F343" s="2">
        <v>61215</v>
      </c>
    </row>
    <row r="344" spans="1:6" x14ac:dyDescent="0.3">
      <c r="A344">
        <v>2020</v>
      </c>
      <c r="B344" t="s">
        <v>61</v>
      </c>
      <c r="C344" t="s">
        <v>13</v>
      </c>
      <c r="D344" s="1">
        <v>5522</v>
      </c>
      <c r="E344" s="1">
        <v>74184</v>
      </c>
      <c r="F344" s="2">
        <v>57470</v>
      </c>
    </row>
    <row r="345" spans="1:6" x14ac:dyDescent="0.3">
      <c r="A345">
        <v>2020</v>
      </c>
      <c r="B345" t="s">
        <v>61</v>
      </c>
      <c r="C345" t="s">
        <v>14</v>
      </c>
      <c r="D345" s="1">
        <v>85058</v>
      </c>
      <c r="E345" s="1">
        <v>1293582</v>
      </c>
      <c r="F345" s="2">
        <v>55114</v>
      </c>
    </row>
    <row r="346" spans="1:6" x14ac:dyDescent="0.3">
      <c r="A346">
        <v>2020</v>
      </c>
      <c r="B346" t="s">
        <v>61</v>
      </c>
      <c r="C346" t="s">
        <v>15</v>
      </c>
      <c r="D346" s="1">
        <v>31842</v>
      </c>
      <c r="E346" s="1">
        <v>561390</v>
      </c>
      <c r="F346" s="2">
        <v>57141</v>
      </c>
    </row>
    <row r="347" spans="1:6" x14ac:dyDescent="0.3">
      <c r="A347">
        <v>2020</v>
      </c>
      <c r="B347" t="s">
        <v>61</v>
      </c>
      <c r="C347" t="s">
        <v>16</v>
      </c>
      <c r="D347" s="1">
        <v>9128</v>
      </c>
      <c r="E347" s="1">
        <v>106752</v>
      </c>
      <c r="F347" s="2">
        <v>45479</v>
      </c>
    </row>
    <row r="348" spans="1:6" x14ac:dyDescent="0.3">
      <c r="A348">
        <v>2020</v>
      </c>
      <c r="B348" t="s">
        <v>61</v>
      </c>
      <c r="C348" t="s">
        <v>17</v>
      </c>
      <c r="D348" s="1">
        <v>39684</v>
      </c>
      <c r="E348" s="1">
        <v>882088</v>
      </c>
      <c r="F348" s="2">
        <v>55678</v>
      </c>
    </row>
    <row r="349" spans="1:6" x14ac:dyDescent="0.3">
      <c r="A349">
        <v>2020</v>
      </c>
      <c r="B349" t="s">
        <v>61</v>
      </c>
      <c r="C349" t="s">
        <v>18</v>
      </c>
      <c r="D349" s="1">
        <v>16899</v>
      </c>
      <c r="E349" s="1">
        <v>451743</v>
      </c>
      <c r="F349" s="2">
        <v>52802</v>
      </c>
    </row>
    <row r="350" spans="1:6" x14ac:dyDescent="0.3">
      <c r="A350">
        <v>2020</v>
      </c>
      <c r="B350" t="s">
        <v>61</v>
      </c>
      <c r="C350" t="s">
        <v>19</v>
      </c>
      <c r="D350" s="1">
        <v>13294</v>
      </c>
      <c r="E350" s="1">
        <v>209301</v>
      </c>
      <c r="F350" s="2">
        <v>47222</v>
      </c>
    </row>
    <row r="351" spans="1:6" x14ac:dyDescent="0.3">
      <c r="A351">
        <v>2020</v>
      </c>
      <c r="B351" t="s">
        <v>61</v>
      </c>
      <c r="C351" t="s">
        <v>20</v>
      </c>
      <c r="D351" s="1">
        <v>10330</v>
      </c>
      <c r="E351" s="1">
        <v>194569</v>
      </c>
      <c r="F351" s="2">
        <v>48486</v>
      </c>
    </row>
    <row r="352" spans="1:6" x14ac:dyDescent="0.3">
      <c r="A352">
        <v>2020</v>
      </c>
      <c r="B352" t="s">
        <v>61</v>
      </c>
      <c r="C352" t="s">
        <v>21</v>
      </c>
      <c r="D352" s="1">
        <v>20809</v>
      </c>
      <c r="E352" s="1">
        <v>263195</v>
      </c>
      <c r="F352" s="2">
        <v>52098</v>
      </c>
    </row>
    <row r="353" spans="1:6" x14ac:dyDescent="0.3">
      <c r="A353">
        <v>2020</v>
      </c>
      <c r="B353" t="s">
        <v>61</v>
      </c>
      <c r="C353" t="s">
        <v>22</v>
      </c>
      <c r="D353" s="1">
        <v>16834</v>
      </c>
      <c r="E353" s="1">
        <v>296324</v>
      </c>
      <c r="F353" s="2">
        <v>48222</v>
      </c>
    </row>
    <row r="354" spans="1:6" x14ac:dyDescent="0.3">
      <c r="A354">
        <v>2020</v>
      </c>
      <c r="B354" t="s">
        <v>61</v>
      </c>
      <c r="C354" t="s">
        <v>23</v>
      </c>
      <c r="D354" s="1">
        <v>5591</v>
      </c>
      <c r="E354" s="1">
        <v>115511</v>
      </c>
      <c r="F354" s="2">
        <v>53739</v>
      </c>
    </row>
    <row r="355" spans="1:6" x14ac:dyDescent="0.3">
      <c r="A355">
        <v>2020</v>
      </c>
      <c r="B355" t="s">
        <v>61</v>
      </c>
      <c r="C355" t="s">
        <v>24</v>
      </c>
      <c r="D355" s="1">
        <v>21505</v>
      </c>
      <c r="E355" s="1">
        <v>420463</v>
      </c>
      <c r="F355" s="2">
        <v>59854</v>
      </c>
    </row>
    <row r="356" spans="1:6" x14ac:dyDescent="0.3">
      <c r="A356">
        <v>2020</v>
      </c>
      <c r="B356" t="s">
        <v>61</v>
      </c>
      <c r="C356" t="s">
        <v>25</v>
      </c>
      <c r="D356" s="1">
        <v>71270</v>
      </c>
      <c r="E356" s="1">
        <v>742606</v>
      </c>
      <c r="F356" s="2">
        <v>64556</v>
      </c>
    </row>
    <row r="357" spans="1:6" x14ac:dyDescent="0.3">
      <c r="A357">
        <v>2020</v>
      </c>
      <c r="B357" t="s">
        <v>61</v>
      </c>
      <c r="C357" t="s">
        <v>26</v>
      </c>
      <c r="D357" s="1">
        <v>32965</v>
      </c>
      <c r="E357" s="1">
        <v>622119</v>
      </c>
      <c r="F357" s="2">
        <v>54163</v>
      </c>
    </row>
    <row r="358" spans="1:6" x14ac:dyDescent="0.3">
      <c r="A358">
        <v>2020</v>
      </c>
      <c r="B358" t="s">
        <v>61</v>
      </c>
      <c r="C358" t="s">
        <v>27</v>
      </c>
      <c r="D358" s="1">
        <v>22985</v>
      </c>
      <c r="E358" s="1">
        <v>513228</v>
      </c>
      <c r="F358" s="2">
        <v>55127</v>
      </c>
    </row>
    <row r="359" spans="1:6" x14ac:dyDescent="0.3">
      <c r="A359">
        <v>2020</v>
      </c>
      <c r="B359" t="s">
        <v>61</v>
      </c>
      <c r="C359" t="s">
        <v>28</v>
      </c>
      <c r="D359" s="1">
        <v>7693</v>
      </c>
      <c r="E359" s="1">
        <v>138876</v>
      </c>
      <c r="F359" s="2">
        <v>45670</v>
      </c>
    </row>
    <row r="360" spans="1:6" x14ac:dyDescent="0.3">
      <c r="A360">
        <v>2020</v>
      </c>
      <c r="B360" t="s">
        <v>61</v>
      </c>
      <c r="C360" t="s">
        <v>29</v>
      </c>
      <c r="D360" s="1">
        <v>56134</v>
      </c>
      <c r="E360" s="1">
        <v>448355</v>
      </c>
      <c r="F360" s="2">
        <v>50460</v>
      </c>
    </row>
    <row r="361" spans="1:6" x14ac:dyDescent="0.3">
      <c r="A361">
        <v>2020</v>
      </c>
      <c r="B361" t="s">
        <v>61</v>
      </c>
      <c r="C361" t="s">
        <v>30</v>
      </c>
      <c r="D361" s="1">
        <v>5112</v>
      </c>
      <c r="E361" s="1">
        <v>73374</v>
      </c>
      <c r="F361" s="2">
        <v>52612</v>
      </c>
    </row>
    <row r="362" spans="1:6" x14ac:dyDescent="0.3">
      <c r="A362">
        <v>2020</v>
      </c>
      <c r="B362" t="s">
        <v>61</v>
      </c>
      <c r="C362" t="s">
        <v>31</v>
      </c>
      <c r="D362" s="1">
        <v>10522</v>
      </c>
      <c r="E362" s="1">
        <v>135205</v>
      </c>
      <c r="F362" s="2">
        <v>51740</v>
      </c>
    </row>
    <row r="363" spans="1:6" x14ac:dyDescent="0.3">
      <c r="A363">
        <v>2020</v>
      </c>
      <c r="B363" t="s">
        <v>61</v>
      </c>
      <c r="C363" t="s">
        <v>32</v>
      </c>
      <c r="D363" s="1">
        <v>9126</v>
      </c>
      <c r="E363" s="1">
        <v>139696</v>
      </c>
      <c r="F363" s="2">
        <v>58047</v>
      </c>
    </row>
    <row r="364" spans="1:6" x14ac:dyDescent="0.3">
      <c r="A364">
        <v>2020</v>
      </c>
      <c r="B364" t="s">
        <v>61</v>
      </c>
      <c r="C364" t="s">
        <v>33</v>
      </c>
      <c r="D364" s="1">
        <v>4900</v>
      </c>
      <c r="E364" s="1">
        <v>108757</v>
      </c>
      <c r="F364" s="2">
        <v>63675</v>
      </c>
    </row>
    <row r="365" spans="1:6" x14ac:dyDescent="0.3">
      <c r="A365">
        <v>2020</v>
      </c>
      <c r="B365" t="s">
        <v>61</v>
      </c>
      <c r="C365" t="s">
        <v>34</v>
      </c>
      <c r="D365" s="1">
        <v>43568</v>
      </c>
      <c r="E365" s="1">
        <v>622420</v>
      </c>
      <c r="F365" s="2">
        <v>60044</v>
      </c>
    </row>
    <row r="366" spans="1:6" x14ac:dyDescent="0.3">
      <c r="A366">
        <v>2020</v>
      </c>
      <c r="B366" t="s">
        <v>61</v>
      </c>
      <c r="C366" t="s">
        <v>35</v>
      </c>
      <c r="D366" s="1">
        <v>11448</v>
      </c>
      <c r="E366" s="1">
        <v>126459</v>
      </c>
      <c r="F366" s="2">
        <v>45191</v>
      </c>
    </row>
    <row r="367" spans="1:6" x14ac:dyDescent="0.3">
      <c r="A367">
        <v>2020</v>
      </c>
      <c r="B367" t="s">
        <v>61</v>
      </c>
      <c r="C367" t="s">
        <v>36</v>
      </c>
      <c r="D367" s="1">
        <v>67893</v>
      </c>
      <c r="E367" s="1">
        <v>1872526</v>
      </c>
      <c r="F367" s="2">
        <v>58936</v>
      </c>
    </row>
    <row r="368" spans="1:6" x14ac:dyDescent="0.3">
      <c r="A368">
        <v>2020</v>
      </c>
      <c r="B368" t="s">
        <v>61</v>
      </c>
      <c r="C368" t="s">
        <v>37</v>
      </c>
      <c r="D368" s="1">
        <v>29514</v>
      </c>
      <c r="E368" s="1">
        <v>584896</v>
      </c>
      <c r="F368" s="2">
        <v>53252</v>
      </c>
    </row>
    <row r="369" spans="1:6" x14ac:dyDescent="0.3">
      <c r="A369">
        <v>2020</v>
      </c>
      <c r="B369" t="s">
        <v>61</v>
      </c>
      <c r="C369" t="s">
        <v>38</v>
      </c>
      <c r="D369" s="1">
        <v>2737</v>
      </c>
      <c r="E369" s="1">
        <v>64418</v>
      </c>
      <c r="F369" s="2">
        <v>55234</v>
      </c>
    </row>
    <row r="370" spans="1:6" x14ac:dyDescent="0.3">
      <c r="A370">
        <v>2020</v>
      </c>
      <c r="B370" t="s">
        <v>61</v>
      </c>
      <c r="C370" t="s">
        <v>39</v>
      </c>
      <c r="D370" s="1">
        <v>35930</v>
      </c>
      <c r="E370" s="1">
        <v>868191</v>
      </c>
      <c r="F370" s="2">
        <v>51366</v>
      </c>
    </row>
    <row r="371" spans="1:6" x14ac:dyDescent="0.3">
      <c r="A371">
        <v>2020</v>
      </c>
      <c r="B371" t="s">
        <v>61</v>
      </c>
      <c r="C371" t="s">
        <v>40</v>
      </c>
      <c r="D371" s="1">
        <v>13656</v>
      </c>
      <c r="E371" s="1">
        <v>209679</v>
      </c>
      <c r="F371" s="2">
        <v>49095</v>
      </c>
    </row>
    <row r="372" spans="1:6" x14ac:dyDescent="0.3">
      <c r="A372">
        <v>2020</v>
      </c>
      <c r="B372" t="s">
        <v>61</v>
      </c>
      <c r="C372" t="s">
        <v>41</v>
      </c>
      <c r="D372" s="1">
        <v>28106</v>
      </c>
      <c r="E372" s="1">
        <v>292631</v>
      </c>
      <c r="F372" s="2">
        <v>54216</v>
      </c>
    </row>
    <row r="373" spans="1:6" x14ac:dyDescent="0.3">
      <c r="A373">
        <v>2020</v>
      </c>
      <c r="B373" t="s">
        <v>61</v>
      </c>
      <c r="C373" t="s">
        <v>42</v>
      </c>
      <c r="D373" s="1">
        <v>57935</v>
      </c>
      <c r="E373" s="1">
        <v>1179840</v>
      </c>
      <c r="F373" s="2">
        <v>57087</v>
      </c>
    </row>
    <row r="374" spans="1:6" x14ac:dyDescent="0.3">
      <c r="A374">
        <v>2020</v>
      </c>
      <c r="B374" t="s">
        <v>61</v>
      </c>
      <c r="C374" t="s">
        <v>43</v>
      </c>
      <c r="D374" s="1">
        <v>4907</v>
      </c>
      <c r="E374" s="1">
        <v>95079</v>
      </c>
      <c r="F374" s="2">
        <v>54510</v>
      </c>
    </row>
    <row r="375" spans="1:6" x14ac:dyDescent="0.3">
      <c r="A375">
        <v>2020</v>
      </c>
      <c r="B375" t="s">
        <v>61</v>
      </c>
      <c r="C375" t="s">
        <v>44</v>
      </c>
      <c r="D375" s="1">
        <v>15612</v>
      </c>
      <c r="E375" s="1">
        <v>231072</v>
      </c>
      <c r="F375" s="2">
        <v>50055</v>
      </c>
    </row>
    <row r="376" spans="1:6" x14ac:dyDescent="0.3">
      <c r="A376">
        <v>2020</v>
      </c>
      <c r="B376" t="s">
        <v>61</v>
      </c>
      <c r="C376" t="s">
        <v>45</v>
      </c>
      <c r="D376" s="1">
        <v>2934</v>
      </c>
      <c r="E376" s="1">
        <v>68990</v>
      </c>
      <c r="F376" s="2">
        <v>57054</v>
      </c>
    </row>
    <row r="377" spans="1:6" x14ac:dyDescent="0.3">
      <c r="A377">
        <v>2020</v>
      </c>
      <c r="B377" t="s">
        <v>61</v>
      </c>
      <c r="C377" t="s">
        <v>46</v>
      </c>
      <c r="D377" s="1">
        <v>21213</v>
      </c>
      <c r="E377" s="1">
        <v>421097</v>
      </c>
      <c r="F377" s="2">
        <v>56401</v>
      </c>
    </row>
    <row r="378" spans="1:6" x14ac:dyDescent="0.3">
      <c r="A378">
        <v>2020</v>
      </c>
      <c r="B378" t="s">
        <v>61</v>
      </c>
      <c r="C378" t="s">
        <v>47</v>
      </c>
      <c r="D378" s="1">
        <v>98681</v>
      </c>
      <c r="E378" s="1">
        <v>1646144</v>
      </c>
      <c r="F378" s="2">
        <v>51856</v>
      </c>
    </row>
    <row r="379" spans="1:6" x14ac:dyDescent="0.3">
      <c r="A379">
        <v>2020</v>
      </c>
      <c r="B379" t="s">
        <v>61</v>
      </c>
      <c r="C379" t="s">
        <v>48</v>
      </c>
      <c r="D379" s="1">
        <v>13463</v>
      </c>
      <c r="E379" s="1">
        <v>193157</v>
      </c>
      <c r="F379" s="2">
        <v>48260</v>
      </c>
    </row>
    <row r="380" spans="1:6" x14ac:dyDescent="0.3">
      <c r="A380">
        <v>2020</v>
      </c>
      <c r="B380" t="s">
        <v>61</v>
      </c>
      <c r="C380" t="s">
        <v>49</v>
      </c>
      <c r="D380" s="1">
        <v>2516</v>
      </c>
      <c r="E380" s="1">
        <v>58443</v>
      </c>
      <c r="F380" s="2">
        <v>52779</v>
      </c>
    </row>
    <row r="381" spans="1:6" x14ac:dyDescent="0.3">
      <c r="A381">
        <v>2020</v>
      </c>
      <c r="B381" t="s">
        <v>61</v>
      </c>
      <c r="C381" t="s">
        <v>50</v>
      </c>
      <c r="D381" s="1">
        <v>49705</v>
      </c>
      <c r="E381" s="1">
        <v>492598</v>
      </c>
      <c r="F381" s="2">
        <v>54119</v>
      </c>
    </row>
    <row r="382" spans="1:6" x14ac:dyDescent="0.3">
      <c r="A382">
        <v>2020</v>
      </c>
      <c r="B382" t="s">
        <v>61</v>
      </c>
      <c r="C382" t="s">
        <v>51</v>
      </c>
      <c r="D382" s="1">
        <v>74944</v>
      </c>
      <c r="E382" s="1">
        <v>468495</v>
      </c>
      <c r="F382" s="2">
        <v>55544</v>
      </c>
    </row>
    <row r="383" spans="1:6" x14ac:dyDescent="0.3">
      <c r="A383">
        <v>2020</v>
      </c>
      <c r="B383" t="s">
        <v>61</v>
      </c>
      <c r="C383" t="s">
        <v>52</v>
      </c>
      <c r="D383" s="1">
        <v>8500</v>
      </c>
      <c r="E383" s="1">
        <v>124604</v>
      </c>
      <c r="F383" s="2">
        <v>50597</v>
      </c>
    </row>
    <row r="384" spans="1:6" x14ac:dyDescent="0.3">
      <c r="A384">
        <v>2020</v>
      </c>
      <c r="B384" t="s">
        <v>61</v>
      </c>
      <c r="C384" t="s">
        <v>53</v>
      </c>
      <c r="D384" s="1">
        <v>31125</v>
      </c>
      <c r="E384" s="1">
        <v>427152</v>
      </c>
      <c r="F384" s="2">
        <v>52993</v>
      </c>
    </row>
    <row r="385" spans="1:6" x14ac:dyDescent="0.3">
      <c r="A385">
        <v>2020</v>
      </c>
      <c r="B385" t="s">
        <v>61</v>
      </c>
      <c r="C385" t="s">
        <v>54</v>
      </c>
      <c r="D385" s="1">
        <v>3485</v>
      </c>
      <c r="E385" s="1">
        <v>26942</v>
      </c>
      <c r="F385" s="2">
        <v>46334</v>
      </c>
    </row>
    <row r="386" spans="1:6" x14ac:dyDescent="0.3">
      <c r="A386">
        <v>2020</v>
      </c>
      <c r="B386" t="s">
        <v>62</v>
      </c>
      <c r="C386" t="s">
        <v>7</v>
      </c>
      <c r="D386" s="1">
        <v>11221</v>
      </c>
      <c r="E386" s="1">
        <v>178057</v>
      </c>
      <c r="F386" s="2">
        <v>18554</v>
      </c>
    </row>
    <row r="387" spans="1:6" x14ac:dyDescent="0.3">
      <c r="A387">
        <v>2020</v>
      </c>
      <c r="B387" t="s">
        <v>62</v>
      </c>
      <c r="C387" t="s">
        <v>8</v>
      </c>
      <c r="D387" s="1">
        <v>14444</v>
      </c>
      <c r="E387" s="1">
        <v>274985</v>
      </c>
      <c r="F387" s="2">
        <v>26810</v>
      </c>
    </row>
    <row r="388" spans="1:6" x14ac:dyDescent="0.3">
      <c r="A388">
        <v>2020</v>
      </c>
      <c r="B388" t="s">
        <v>62</v>
      </c>
      <c r="C388" t="s">
        <v>9</v>
      </c>
      <c r="D388" s="1">
        <v>7458</v>
      </c>
      <c r="E388" s="1">
        <v>106295</v>
      </c>
      <c r="F388" s="2">
        <v>18414</v>
      </c>
    </row>
    <row r="389" spans="1:6" x14ac:dyDescent="0.3">
      <c r="A389">
        <v>2020</v>
      </c>
      <c r="B389" t="s">
        <v>62</v>
      </c>
      <c r="C389" t="s">
        <v>10</v>
      </c>
      <c r="D389" s="1">
        <v>117833</v>
      </c>
      <c r="E389" s="1">
        <v>1482600</v>
      </c>
      <c r="F389" s="2">
        <v>36090</v>
      </c>
    </row>
    <row r="390" spans="1:6" x14ac:dyDescent="0.3">
      <c r="A390">
        <v>2020</v>
      </c>
      <c r="B390" t="s">
        <v>62</v>
      </c>
      <c r="C390" t="s">
        <v>11</v>
      </c>
      <c r="D390" s="1">
        <v>17650</v>
      </c>
      <c r="E390" s="1">
        <v>271680</v>
      </c>
      <c r="F390" s="2">
        <v>28424</v>
      </c>
    </row>
    <row r="391" spans="1:6" x14ac:dyDescent="0.3">
      <c r="A391">
        <v>2020</v>
      </c>
      <c r="B391" t="s">
        <v>62</v>
      </c>
      <c r="C391" t="s">
        <v>12</v>
      </c>
      <c r="D391" s="1">
        <v>10916</v>
      </c>
      <c r="E391" s="1">
        <v>117365</v>
      </c>
      <c r="F391" s="2">
        <v>26295</v>
      </c>
    </row>
    <row r="392" spans="1:6" x14ac:dyDescent="0.3">
      <c r="A392">
        <v>2020</v>
      </c>
      <c r="B392" t="s">
        <v>62</v>
      </c>
      <c r="C392" t="s">
        <v>13</v>
      </c>
      <c r="D392" s="1">
        <v>2698</v>
      </c>
      <c r="E392" s="1">
        <v>41103</v>
      </c>
      <c r="F392" s="2">
        <v>22228</v>
      </c>
    </row>
    <row r="393" spans="1:6" x14ac:dyDescent="0.3">
      <c r="A393">
        <v>2020</v>
      </c>
      <c r="B393" t="s">
        <v>62</v>
      </c>
      <c r="C393" t="s">
        <v>14</v>
      </c>
      <c r="D393" s="1">
        <v>59645</v>
      </c>
      <c r="E393" s="1">
        <v>1007574</v>
      </c>
      <c r="F393" s="2">
        <v>27709</v>
      </c>
    </row>
    <row r="394" spans="1:6" x14ac:dyDescent="0.3">
      <c r="A394">
        <v>2020</v>
      </c>
      <c r="B394" t="s">
        <v>62</v>
      </c>
      <c r="C394" t="s">
        <v>15</v>
      </c>
      <c r="D394" s="1">
        <v>26741</v>
      </c>
      <c r="E394" s="1">
        <v>414059</v>
      </c>
      <c r="F394" s="2">
        <v>22009</v>
      </c>
    </row>
    <row r="395" spans="1:6" x14ac:dyDescent="0.3">
      <c r="A395">
        <v>2020</v>
      </c>
      <c r="B395" t="s">
        <v>62</v>
      </c>
      <c r="C395" t="s">
        <v>16</v>
      </c>
      <c r="D395" s="1">
        <v>5242</v>
      </c>
      <c r="E395" s="1">
        <v>74574</v>
      </c>
      <c r="F395" s="2">
        <v>18637</v>
      </c>
    </row>
    <row r="396" spans="1:6" x14ac:dyDescent="0.3">
      <c r="A396">
        <v>2020</v>
      </c>
      <c r="B396" t="s">
        <v>62</v>
      </c>
      <c r="C396" t="s">
        <v>17</v>
      </c>
      <c r="D396" s="1">
        <v>32842</v>
      </c>
      <c r="E396" s="1">
        <v>462216</v>
      </c>
      <c r="F396" s="2">
        <v>25054</v>
      </c>
    </row>
    <row r="397" spans="1:6" x14ac:dyDescent="0.3">
      <c r="A397">
        <v>2020</v>
      </c>
      <c r="B397" t="s">
        <v>62</v>
      </c>
      <c r="C397" t="s">
        <v>18</v>
      </c>
      <c r="D397" s="1">
        <v>16068</v>
      </c>
      <c r="E397" s="1">
        <v>263892</v>
      </c>
      <c r="F397" s="2">
        <v>20493</v>
      </c>
    </row>
    <row r="398" spans="1:6" x14ac:dyDescent="0.3">
      <c r="A398">
        <v>2020</v>
      </c>
      <c r="B398" t="s">
        <v>62</v>
      </c>
      <c r="C398" t="s">
        <v>19</v>
      </c>
      <c r="D398" s="1">
        <v>8734</v>
      </c>
      <c r="E398" s="1">
        <v>118383</v>
      </c>
      <c r="F398" s="2">
        <v>18002</v>
      </c>
    </row>
    <row r="399" spans="1:6" x14ac:dyDescent="0.3">
      <c r="A399">
        <v>2020</v>
      </c>
      <c r="B399" t="s">
        <v>62</v>
      </c>
      <c r="C399" t="s">
        <v>20</v>
      </c>
      <c r="D399" s="1">
        <v>6792</v>
      </c>
      <c r="E399" s="1">
        <v>110526</v>
      </c>
      <c r="F399" s="2">
        <v>18088</v>
      </c>
    </row>
    <row r="400" spans="1:6" x14ac:dyDescent="0.3">
      <c r="A400">
        <v>2020</v>
      </c>
      <c r="B400" t="s">
        <v>62</v>
      </c>
      <c r="C400" t="s">
        <v>21</v>
      </c>
      <c r="D400" s="1">
        <v>10331</v>
      </c>
      <c r="E400" s="1">
        <v>165335</v>
      </c>
      <c r="F400" s="2">
        <v>19522</v>
      </c>
    </row>
    <row r="401" spans="1:6" x14ac:dyDescent="0.3">
      <c r="A401">
        <v>2020</v>
      </c>
      <c r="B401" t="s">
        <v>62</v>
      </c>
      <c r="C401" t="s">
        <v>22</v>
      </c>
      <c r="D401" s="1">
        <v>13351</v>
      </c>
      <c r="E401" s="1">
        <v>188383</v>
      </c>
      <c r="F401" s="2">
        <v>22216</v>
      </c>
    </row>
    <row r="402" spans="1:6" x14ac:dyDescent="0.3">
      <c r="A402">
        <v>2020</v>
      </c>
      <c r="B402" t="s">
        <v>62</v>
      </c>
      <c r="C402" t="s">
        <v>23</v>
      </c>
      <c r="D402" s="1">
        <v>5172</v>
      </c>
      <c r="E402" s="1">
        <v>51781</v>
      </c>
      <c r="F402" s="2">
        <v>25112</v>
      </c>
    </row>
    <row r="403" spans="1:6" x14ac:dyDescent="0.3">
      <c r="A403">
        <v>2020</v>
      </c>
      <c r="B403" t="s">
        <v>62</v>
      </c>
      <c r="C403" t="s">
        <v>24</v>
      </c>
      <c r="D403" s="1">
        <v>14823</v>
      </c>
      <c r="E403" s="1">
        <v>210848</v>
      </c>
      <c r="F403" s="2">
        <v>26383</v>
      </c>
    </row>
    <row r="404" spans="1:6" x14ac:dyDescent="0.3">
      <c r="A404">
        <v>2020</v>
      </c>
      <c r="B404" t="s">
        <v>62</v>
      </c>
      <c r="C404" t="s">
        <v>25</v>
      </c>
      <c r="D404" s="1">
        <v>20158</v>
      </c>
      <c r="E404" s="1">
        <v>262049</v>
      </c>
      <c r="F404" s="2">
        <v>30457</v>
      </c>
    </row>
    <row r="405" spans="1:6" x14ac:dyDescent="0.3">
      <c r="A405">
        <v>2020</v>
      </c>
      <c r="B405" t="s">
        <v>62</v>
      </c>
      <c r="C405" t="s">
        <v>26</v>
      </c>
      <c r="D405" s="1">
        <v>23032</v>
      </c>
      <c r="E405" s="1">
        <v>323435</v>
      </c>
      <c r="F405" s="2">
        <v>22254</v>
      </c>
    </row>
    <row r="406" spans="1:6" x14ac:dyDescent="0.3">
      <c r="A406">
        <v>2020</v>
      </c>
      <c r="B406" t="s">
        <v>62</v>
      </c>
      <c r="C406" t="s">
        <v>27</v>
      </c>
      <c r="D406" s="1">
        <v>15355</v>
      </c>
      <c r="E406" s="1">
        <v>204519</v>
      </c>
      <c r="F406" s="2">
        <v>24167</v>
      </c>
    </row>
    <row r="407" spans="1:6" x14ac:dyDescent="0.3">
      <c r="A407">
        <v>2020</v>
      </c>
      <c r="B407" t="s">
        <v>62</v>
      </c>
      <c r="C407" t="s">
        <v>28</v>
      </c>
      <c r="D407" s="1">
        <v>6644</v>
      </c>
      <c r="E407" s="1">
        <v>118107</v>
      </c>
      <c r="F407" s="2">
        <v>18380</v>
      </c>
    </row>
    <row r="408" spans="1:6" x14ac:dyDescent="0.3">
      <c r="A408">
        <v>2020</v>
      </c>
      <c r="B408" t="s">
        <v>62</v>
      </c>
      <c r="C408" t="s">
        <v>29</v>
      </c>
      <c r="D408" s="1">
        <v>15398</v>
      </c>
      <c r="E408" s="1">
        <v>253244</v>
      </c>
      <c r="F408" s="2">
        <v>22154</v>
      </c>
    </row>
    <row r="409" spans="1:6" x14ac:dyDescent="0.3">
      <c r="A409">
        <v>2020</v>
      </c>
      <c r="B409" t="s">
        <v>62</v>
      </c>
      <c r="C409" t="s">
        <v>30</v>
      </c>
      <c r="D409" s="1">
        <v>5182</v>
      </c>
      <c r="E409" s="1">
        <v>58811</v>
      </c>
      <c r="F409" s="2">
        <v>21078</v>
      </c>
    </row>
    <row r="410" spans="1:6" x14ac:dyDescent="0.3">
      <c r="A410">
        <v>2020</v>
      </c>
      <c r="B410" t="s">
        <v>62</v>
      </c>
      <c r="C410" t="s">
        <v>31</v>
      </c>
      <c r="D410" s="1">
        <v>5552</v>
      </c>
      <c r="E410" s="1">
        <v>79529</v>
      </c>
      <c r="F410" s="2">
        <v>18131</v>
      </c>
    </row>
    <row r="411" spans="1:6" x14ac:dyDescent="0.3">
      <c r="A411">
        <v>2020</v>
      </c>
      <c r="B411" t="s">
        <v>62</v>
      </c>
      <c r="C411" t="s">
        <v>32</v>
      </c>
      <c r="D411" s="1">
        <v>8698</v>
      </c>
      <c r="E411" s="1">
        <v>255447</v>
      </c>
      <c r="F411" s="2">
        <v>34061</v>
      </c>
    </row>
    <row r="412" spans="1:6" x14ac:dyDescent="0.3">
      <c r="A412">
        <v>2020</v>
      </c>
      <c r="B412" t="s">
        <v>62</v>
      </c>
      <c r="C412" t="s">
        <v>33</v>
      </c>
      <c r="D412" s="1">
        <v>4677</v>
      </c>
      <c r="E412" s="1">
        <v>57132</v>
      </c>
      <c r="F412" s="2">
        <v>24729</v>
      </c>
    </row>
    <row r="413" spans="1:6" x14ac:dyDescent="0.3">
      <c r="A413">
        <v>2020</v>
      </c>
      <c r="B413" t="s">
        <v>62</v>
      </c>
      <c r="C413" t="s">
        <v>34</v>
      </c>
      <c r="D413" s="1">
        <v>24584</v>
      </c>
      <c r="E413" s="1">
        <v>281546</v>
      </c>
      <c r="F413" s="2">
        <v>28639</v>
      </c>
    </row>
    <row r="414" spans="1:6" x14ac:dyDescent="0.3">
      <c r="A414">
        <v>2020</v>
      </c>
      <c r="B414" t="s">
        <v>62</v>
      </c>
      <c r="C414" t="s">
        <v>35</v>
      </c>
      <c r="D414" s="1">
        <v>5276</v>
      </c>
      <c r="E414" s="1">
        <v>78539</v>
      </c>
      <c r="F414" s="2">
        <v>19988</v>
      </c>
    </row>
    <row r="415" spans="1:6" x14ac:dyDescent="0.3">
      <c r="A415">
        <v>2020</v>
      </c>
      <c r="B415" t="s">
        <v>62</v>
      </c>
      <c r="C415" t="s">
        <v>36</v>
      </c>
      <c r="D415" s="1">
        <v>64959</v>
      </c>
      <c r="E415" s="1">
        <v>632760</v>
      </c>
      <c r="F415" s="2">
        <v>36986</v>
      </c>
    </row>
    <row r="416" spans="1:6" x14ac:dyDescent="0.3">
      <c r="A416">
        <v>2020</v>
      </c>
      <c r="B416" t="s">
        <v>62</v>
      </c>
      <c r="C416" t="s">
        <v>37</v>
      </c>
      <c r="D416" s="1">
        <v>27015</v>
      </c>
      <c r="E416" s="1">
        <v>420420</v>
      </c>
      <c r="F416" s="2">
        <v>21462</v>
      </c>
    </row>
    <row r="417" spans="1:6" x14ac:dyDescent="0.3">
      <c r="A417">
        <v>2020</v>
      </c>
      <c r="B417" t="s">
        <v>62</v>
      </c>
      <c r="C417" t="s">
        <v>38</v>
      </c>
      <c r="D417" s="1">
        <v>2621</v>
      </c>
      <c r="E417" s="1">
        <v>34228</v>
      </c>
      <c r="F417" s="2">
        <v>19193</v>
      </c>
    </row>
    <row r="418" spans="1:6" x14ac:dyDescent="0.3">
      <c r="A418">
        <v>2020</v>
      </c>
      <c r="B418" t="s">
        <v>62</v>
      </c>
      <c r="C418" t="s">
        <v>39</v>
      </c>
      <c r="D418" s="1">
        <v>29197</v>
      </c>
      <c r="E418" s="1">
        <v>466069</v>
      </c>
      <c r="F418" s="2">
        <v>21027</v>
      </c>
    </row>
    <row r="419" spans="1:6" x14ac:dyDescent="0.3">
      <c r="A419">
        <v>2020</v>
      </c>
      <c r="B419" t="s">
        <v>62</v>
      </c>
      <c r="C419" t="s">
        <v>40</v>
      </c>
      <c r="D419" s="1">
        <v>9364</v>
      </c>
      <c r="E419" s="1">
        <v>156230</v>
      </c>
      <c r="F419" s="2">
        <v>19310</v>
      </c>
    </row>
    <row r="420" spans="1:6" x14ac:dyDescent="0.3">
      <c r="A420">
        <v>2020</v>
      </c>
      <c r="B420" t="s">
        <v>62</v>
      </c>
      <c r="C420" t="s">
        <v>41</v>
      </c>
      <c r="D420" s="1">
        <v>13993</v>
      </c>
      <c r="E420" s="1">
        <v>161570</v>
      </c>
      <c r="F420" s="2">
        <v>24338</v>
      </c>
    </row>
    <row r="421" spans="1:6" x14ac:dyDescent="0.3">
      <c r="A421">
        <v>2020</v>
      </c>
      <c r="B421" t="s">
        <v>62</v>
      </c>
      <c r="C421" t="s">
        <v>42</v>
      </c>
      <c r="D421" s="1">
        <v>33532</v>
      </c>
      <c r="E421" s="1">
        <v>424092</v>
      </c>
      <c r="F421" s="2">
        <v>22945</v>
      </c>
    </row>
    <row r="422" spans="1:6" x14ac:dyDescent="0.3">
      <c r="A422">
        <v>2020</v>
      </c>
      <c r="B422" t="s">
        <v>62</v>
      </c>
      <c r="C422" t="s">
        <v>43</v>
      </c>
      <c r="D422" s="1">
        <v>3890</v>
      </c>
      <c r="E422" s="1">
        <v>44621</v>
      </c>
      <c r="F422" s="2">
        <v>24733</v>
      </c>
    </row>
    <row r="423" spans="1:6" x14ac:dyDescent="0.3">
      <c r="A423">
        <v>2020</v>
      </c>
      <c r="B423" t="s">
        <v>62</v>
      </c>
      <c r="C423" t="s">
        <v>44</v>
      </c>
      <c r="D423" s="1">
        <v>13676</v>
      </c>
      <c r="E423" s="1">
        <v>226959</v>
      </c>
      <c r="F423" s="2">
        <v>19677</v>
      </c>
    </row>
    <row r="424" spans="1:6" x14ac:dyDescent="0.3">
      <c r="A424">
        <v>2020</v>
      </c>
      <c r="B424" t="s">
        <v>62</v>
      </c>
      <c r="C424" t="s">
        <v>45</v>
      </c>
      <c r="D424" s="1">
        <v>3184</v>
      </c>
      <c r="E424" s="1">
        <v>41000</v>
      </c>
      <c r="F424" s="2">
        <v>18829</v>
      </c>
    </row>
    <row r="425" spans="1:6" x14ac:dyDescent="0.3">
      <c r="A425">
        <v>2020</v>
      </c>
      <c r="B425" t="s">
        <v>62</v>
      </c>
      <c r="C425" t="s">
        <v>46</v>
      </c>
      <c r="D425" s="1">
        <v>17443</v>
      </c>
      <c r="E425" s="1">
        <v>293033</v>
      </c>
      <c r="F425" s="2">
        <v>23771</v>
      </c>
    </row>
    <row r="426" spans="1:6" x14ac:dyDescent="0.3">
      <c r="A426">
        <v>2020</v>
      </c>
      <c r="B426" t="s">
        <v>62</v>
      </c>
      <c r="C426" t="s">
        <v>47</v>
      </c>
      <c r="D426" s="1">
        <v>66777</v>
      </c>
      <c r="E426" s="1">
        <v>1178456</v>
      </c>
      <c r="F426" s="2">
        <v>23001</v>
      </c>
    </row>
    <row r="427" spans="1:6" x14ac:dyDescent="0.3">
      <c r="A427">
        <v>2020</v>
      </c>
      <c r="B427" t="s">
        <v>62</v>
      </c>
      <c r="C427" t="s">
        <v>48</v>
      </c>
      <c r="D427" s="1">
        <v>7766</v>
      </c>
      <c r="E427" s="1">
        <v>133375</v>
      </c>
      <c r="F427" s="2">
        <v>21580</v>
      </c>
    </row>
    <row r="428" spans="1:6" x14ac:dyDescent="0.3">
      <c r="A428">
        <v>2020</v>
      </c>
      <c r="B428" t="s">
        <v>62</v>
      </c>
      <c r="C428" t="s">
        <v>49</v>
      </c>
      <c r="D428" s="1">
        <v>2220</v>
      </c>
      <c r="E428" s="1">
        <v>25985</v>
      </c>
      <c r="F428" s="2">
        <v>26068</v>
      </c>
    </row>
    <row r="429" spans="1:6" x14ac:dyDescent="0.3">
      <c r="A429">
        <v>2020</v>
      </c>
      <c r="B429" t="s">
        <v>62</v>
      </c>
      <c r="C429" t="s">
        <v>50</v>
      </c>
      <c r="D429" s="1">
        <v>20954</v>
      </c>
      <c r="E429" s="1">
        <v>322216</v>
      </c>
      <c r="F429" s="2">
        <v>22634</v>
      </c>
    </row>
    <row r="430" spans="1:6" x14ac:dyDescent="0.3">
      <c r="A430">
        <v>2020</v>
      </c>
      <c r="B430" t="s">
        <v>62</v>
      </c>
      <c r="C430" t="s">
        <v>51</v>
      </c>
      <c r="D430" s="1">
        <v>20710</v>
      </c>
      <c r="E430" s="1">
        <v>255412</v>
      </c>
      <c r="F430" s="2">
        <v>26657</v>
      </c>
    </row>
    <row r="431" spans="1:6" x14ac:dyDescent="0.3">
      <c r="A431">
        <v>2020</v>
      </c>
      <c r="B431" t="s">
        <v>62</v>
      </c>
      <c r="C431" t="s">
        <v>52</v>
      </c>
      <c r="D431" s="1">
        <v>4602</v>
      </c>
      <c r="E431" s="1">
        <v>61253</v>
      </c>
      <c r="F431" s="2">
        <v>18945</v>
      </c>
    </row>
    <row r="432" spans="1:6" x14ac:dyDescent="0.3">
      <c r="A432">
        <v>2020</v>
      </c>
      <c r="B432" t="s">
        <v>62</v>
      </c>
      <c r="C432" t="s">
        <v>53</v>
      </c>
      <c r="D432" s="1">
        <v>16783</v>
      </c>
      <c r="E432" s="1">
        <v>227495</v>
      </c>
      <c r="F432" s="2">
        <v>19473</v>
      </c>
    </row>
    <row r="433" spans="1:6" x14ac:dyDescent="0.3">
      <c r="A433">
        <v>2020</v>
      </c>
      <c r="B433" t="s">
        <v>62</v>
      </c>
      <c r="C433" t="s">
        <v>54</v>
      </c>
      <c r="D433" s="1">
        <v>2418</v>
      </c>
      <c r="E433" s="1">
        <v>32312</v>
      </c>
      <c r="F433" s="2">
        <v>23041</v>
      </c>
    </row>
    <row r="434" spans="1:6" x14ac:dyDescent="0.3">
      <c r="A434">
        <v>2020</v>
      </c>
      <c r="B434" t="s">
        <v>63</v>
      </c>
      <c r="C434" t="s">
        <v>7</v>
      </c>
      <c r="D434" s="1">
        <v>9048</v>
      </c>
      <c r="E434" s="1">
        <v>42367</v>
      </c>
      <c r="F434" s="2">
        <v>41437</v>
      </c>
    </row>
    <row r="435" spans="1:6" x14ac:dyDescent="0.3">
      <c r="A435">
        <v>2020</v>
      </c>
      <c r="B435" t="s">
        <v>63</v>
      </c>
      <c r="C435" t="s">
        <v>8</v>
      </c>
      <c r="D435" s="1">
        <v>10878</v>
      </c>
      <c r="E435" s="1">
        <v>69183</v>
      </c>
      <c r="F435" s="2">
        <v>42482</v>
      </c>
    </row>
    <row r="436" spans="1:6" x14ac:dyDescent="0.3">
      <c r="A436">
        <v>2020</v>
      </c>
      <c r="B436" t="s">
        <v>63</v>
      </c>
      <c r="C436" t="s">
        <v>9</v>
      </c>
      <c r="D436" s="1">
        <v>5464</v>
      </c>
      <c r="E436" s="1">
        <v>23724</v>
      </c>
      <c r="F436" s="2">
        <v>38111</v>
      </c>
    </row>
    <row r="437" spans="1:6" x14ac:dyDescent="0.3">
      <c r="A437">
        <v>2020</v>
      </c>
      <c r="B437" t="s">
        <v>63</v>
      </c>
      <c r="C437" t="s">
        <v>10</v>
      </c>
      <c r="D437" s="1">
        <v>97116</v>
      </c>
      <c r="E437" s="1">
        <v>452175</v>
      </c>
      <c r="F437" s="2">
        <v>47080</v>
      </c>
    </row>
    <row r="438" spans="1:6" x14ac:dyDescent="0.3">
      <c r="A438">
        <v>2020</v>
      </c>
      <c r="B438" t="s">
        <v>63</v>
      </c>
      <c r="C438" t="s">
        <v>11</v>
      </c>
      <c r="D438" s="1">
        <v>16860</v>
      </c>
      <c r="E438" s="1">
        <v>76766</v>
      </c>
      <c r="F438" s="2">
        <v>45642</v>
      </c>
    </row>
    <row r="439" spans="1:6" x14ac:dyDescent="0.3">
      <c r="A439">
        <v>2020</v>
      </c>
      <c r="B439" t="s">
        <v>63</v>
      </c>
      <c r="C439" t="s">
        <v>12</v>
      </c>
      <c r="D439" s="1">
        <v>12480</v>
      </c>
      <c r="E439" s="1">
        <v>48120</v>
      </c>
      <c r="F439" s="2">
        <v>42136</v>
      </c>
    </row>
    <row r="440" spans="1:6" x14ac:dyDescent="0.3">
      <c r="A440">
        <v>2020</v>
      </c>
      <c r="B440" t="s">
        <v>63</v>
      </c>
      <c r="C440" t="s">
        <v>13</v>
      </c>
      <c r="D440" s="1">
        <v>2088</v>
      </c>
      <c r="E440" s="1">
        <v>10706</v>
      </c>
      <c r="F440" s="2">
        <v>38135</v>
      </c>
    </row>
    <row r="441" spans="1:6" x14ac:dyDescent="0.3">
      <c r="A441">
        <v>2020</v>
      </c>
      <c r="B441" t="s">
        <v>63</v>
      </c>
      <c r="C441" t="s">
        <v>14</v>
      </c>
      <c r="D441" s="1">
        <v>54871</v>
      </c>
      <c r="E441" s="1">
        <v>254577</v>
      </c>
      <c r="F441" s="2">
        <v>41154</v>
      </c>
    </row>
    <row r="442" spans="1:6" x14ac:dyDescent="0.3">
      <c r="A442">
        <v>2020</v>
      </c>
      <c r="B442" t="s">
        <v>63</v>
      </c>
      <c r="C442" t="s">
        <v>15</v>
      </c>
      <c r="D442" s="1">
        <v>19294</v>
      </c>
      <c r="E442" s="1">
        <v>101509</v>
      </c>
      <c r="F442" s="2">
        <v>41319</v>
      </c>
    </row>
    <row r="443" spans="1:6" x14ac:dyDescent="0.3">
      <c r="A443">
        <v>2020</v>
      </c>
      <c r="B443" t="s">
        <v>63</v>
      </c>
      <c r="C443" t="s">
        <v>16</v>
      </c>
      <c r="D443" s="1">
        <v>4119</v>
      </c>
      <c r="E443" s="1">
        <v>18237</v>
      </c>
      <c r="F443" s="2">
        <v>35029</v>
      </c>
    </row>
    <row r="444" spans="1:6" x14ac:dyDescent="0.3">
      <c r="A444">
        <v>2020</v>
      </c>
      <c r="B444" t="s">
        <v>63</v>
      </c>
      <c r="C444" t="s">
        <v>17</v>
      </c>
      <c r="D444" s="1">
        <v>35477</v>
      </c>
      <c r="E444" s="1">
        <v>184359</v>
      </c>
      <c r="F444" s="2">
        <v>48230</v>
      </c>
    </row>
    <row r="445" spans="1:6" x14ac:dyDescent="0.3">
      <c r="A445">
        <v>2020</v>
      </c>
      <c r="B445" t="s">
        <v>63</v>
      </c>
      <c r="C445" t="s">
        <v>18</v>
      </c>
      <c r="D445" s="1">
        <v>13233</v>
      </c>
      <c r="E445" s="1">
        <v>80627</v>
      </c>
      <c r="F445" s="2">
        <v>36636</v>
      </c>
    </row>
    <row r="446" spans="1:6" x14ac:dyDescent="0.3">
      <c r="A446">
        <v>2020</v>
      </c>
      <c r="B446" t="s">
        <v>63</v>
      </c>
      <c r="C446" t="s">
        <v>19</v>
      </c>
      <c r="D446" s="1">
        <v>7585</v>
      </c>
      <c r="E446" s="1">
        <v>37229</v>
      </c>
      <c r="F446" s="2">
        <v>40163</v>
      </c>
    </row>
    <row r="447" spans="1:6" x14ac:dyDescent="0.3">
      <c r="A447">
        <v>2020</v>
      </c>
      <c r="B447" t="s">
        <v>63</v>
      </c>
      <c r="C447" t="s">
        <v>20</v>
      </c>
      <c r="D447" s="1">
        <v>5873</v>
      </c>
      <c r="E447" s="1">
        <v>31183</v>
      </c>
      <c r="F447" s="2">
        <v>38965</v>
      </c>
    </row>
    <row r="448" spans="1:6" x14ac:dyDescent="0.3">
      <c r="A448">
        <v>2020</v>
      </c>
      <c r="B448" t="s">
        <v>63</v>
      </c>
      <c r="C448" t="s">
        <v>21</v>
      </c>
      <c r="D448" s="1">
        <v>9084</v>
      </c>
      <c r="E448" s="1">
        <v>40228</v>
      </c>
      <c r="F448" s="2">
        <v>38895</v>
      </c>
    </row>
    <row r="449" spans="1:6" x14ac:dyDescent="0.3">
      <c r="A449">
        <v>2020</v>
      </c>
      <c r="B449" t="s">
        <v>63</v>
      </c>
      <c r="C449" t="s">
        <v>22</v>
      </c>
      <c r="D449" s="1">
        <v>9437</v>
      </c>
      <c r="E449" s="1">
        <v>41500</v>
      </c>
      <c r="F449" s="2">
        <v>41226</v>
      </c>
    </row>
    <row r="450" spans="1:6" x14ac:dyDescent="0.3">
      <c r="A450">
        <v>2020</v>
      </c>
      <c r="B450" t="s">
        <v>63</v>
      </c>
      <c r="C450" t="s">
        <v>23</v>
      </c>
      <c r="D450" s="1">
        <v>3830</v>
      </c>
      <c r="E450" s="1">
        <v>16120</v>
      </c>
      <c r="F450" s="2">
        <v>39497</v>
      </c>
    </row>
    <row r="451" spans="1:6" x14ac:dyDescent="0.3">
      <c r="A451">
        <v>2020</v>
      </c>
      <c r="B451" t="s">
        <v>63</v>
      </c>
      <c r="C451" t="s">
        <v>24</v>
      </c>
      <c r="D451" s="1">
        <v>19028</v>
      </c>
      <c r="E451" s="1">
        <v>78236</v>
      </c>
      <c r="F451" s="2">
        <v>48238</v>
      </c>
    </row>
    <row r="452" spans="1:6" x14ac:dyDescent="0.3">
      <c r="A452">
        <v>2020</v>
      </c>
      <c r="B452" t="s">
        <v>63</v>
      </c>
      <c r="C452" t="s">
        <v>25</v>
      </c>
      <c r="D452" s="1">
        <v>21927</v>
      </c>
      <c r="E452" s="1">
        <v>98276</v>
      </c>
      <c r="F452" s="2">
        <v>46345</v>
      </c>
    </row>
    <row r="453" spans="1:6" x14ac:dyDescent="0.3">
      <c r="A453">
        <v>2020</v>
      </c>
      <c r="B453" t="s">
        <v>63</v>
      </c>
      <c r="C453" t="s">
        <v>26</v>
      </c>
      <c r="D453" s="1">
        <v>25486</v>
      </c>
      <c r="E453" s="1">
        <v>114074</v>
      </c>
      <c r="F453" s="2">
        <v>39650</v>
      </c>
    </row>
    <row r="454" spans="1:6" x14ac:dyDescent="0.3">
      <c r="A454">
        <v>2020</v>
      </c>
      <c r="B454" t="s">
        <v>63</v>
      </c>
      <c r="C454" t="s">
        <v>27</v>
      </c>
      <c r="D454" s="1">
        <v>17118</v>
      </c>
      <c r="E454" s="1">
        <v>77083</v>
      </c>
      <c r="F454" s="2">
        <v>39485</v>
      </c>
    </row>
    <row r="455" spans="1:6" x14ac:dyDescent="0.3">
      <c r="A455">
        <v>2020</v>
      </c>
      <c r="B455" t="s">
        <v>63</v>
      </c>
      <c r="C455" t="s">
        <v>28</v>
      </c>
      <c r="D455" s="1">
        <v>4625</v>
      </c>
      <c r="E455" s="1">
        <v>19993</v>
      </c>
      <c r="F455" s="2">
        <v>38520</v>
      </c>
    </row>
    <row r="456" spans="1:6" x14ac:dyDescent="0.3">
      <c r="A456">
        <v>2020</v>
      </c>
      <c r="B456" t="s">
        <v>63</v>
      </c>
      <c r="C456" t="s">
        <v>29</v>
      </c>
      <c r="D456" s="1">
        <v>13399</v>
      </c>
      <c r="E456" s="1">
        <v>68557</v>
      </c>
      <c r="F456" s="2">
        <v>38496</v>
      </c>
    </row>
    <row r="457" spans="1:6" x14ac:dyDescent="0.3">
      <c r="A457">
        <v>2020</v>
      </c>
      <c r="B457" t="s">
        <v>63</v>
      </c>
      <c r="C457" t="s">
        <v>30</v>
      </c>
      <c r="D457" s="1">
        <v>4199</v>
      </c>
      <c r="E457" s="1">
        <v>17236</v>
      </c>
      <c r="F457" s="2">
        <v>34349</v>
      </c>
    </row>
    <row r="458" spans="1:6" x14ac:dyDescent="0.3">
      <c r="A458">
        <v>2020</v>
      </c>
      <c r="B458" t="s">
        <v>63</v>
      </c>
      <c r="C458" t="s">
        <v>31</v>
      </c>
      <c r="D458" s="1">
        <v>4602</v>
      </c>
      <c r="E458" s="1">
        <v>24061</v>
      </c>
      <c r="F458" s="2">
        <v>36266</v>
      </c>
    </row>
    <row r="459" spans="1:6" x14ac:dyDescent="0.3">
      <c r="A459">
        <v>2020</v>
      </c>
      <c r="B459" t="s">
        <v>63</v>
      </c>
      <c r="C459" t="s">
        <v>32</v>
      </c>
      <c r="D459" s="1">
        <v>5067</v>
      </c>
      <c r="E459" s="1">
        <v>30593</v>
      </c>
      <c r="F459" s="2">
        <v>41698</v>
      </c>
    </row>
    <row r="460" spans="1:6" x14ac:dyDescent="0.3">
      <c r="A460">
        <v>2020</v>
      </c>
      <c r="B460" t="s">
        <v>63</v>
      </c>
      <c r="C460" t="s">
        <v>33</v>
      </c>
      <c r="D460" s="1">
        <v>4109</v>
      </c>
      <c r="E460" s="1">
        <v>18869</v>
      </c>
      <c r="F460" s="2">
        <v>43107</v>
      </c>
    </row>
    <row r="461" spans="1:6" x14ac:dyDescent="0.3">
      <c r="A461">
        <v>2020</v>
      </c>
      <c r="B461" t="s">
        <v>63</v>
      </c>
      <c r="C461" t="s">
        <v>34</v>
      </c>
      <c r="D461" s="1">
        <v>24307</v>
      </c>
      <c r="E461" s="1">
        <v>114130</v>
      </c>
      <c r="F461" s="2">
        <v>41197</v>
      </c>
    </row>
    <row r="462" spans="1:6" x14ac:dyDescent="0.3">
      <c r="A462">
        <v>2020</v>
      </c>
      <c r="B462" t="s">
        <v>63</v>
      </c>
      <c r="C462" t="s">
        <v>35</v>
      </c>
      <c r="D462" s="1">
        <v>4261</v>
      </c>
      <c r="E462" s="1">
        <v>18424</v>
      </c>
      <c r="F462" s="2">
        <v>38699</v>
      </c>
    </row>
    <row r="463" spans="1:6" x14ac:dyDescent="0.3">
      <c r="A463">
        <v>2020</v>
      </c>
      <c r="B463" t="s">
        <v>63</v>
      </c>
      <c r="C463" t="s">
        <v>36</v>
      </c>
      <c r="D463" s="1">
        <v>70935</v>
      </c>
      <c r="E463" s="1">
        <v>307026</v>
      </c>
      <c r="F463" s="2">
        <v>49001</v>
      </c>
    </row>
    <row r="464" spans="1:6" x14ac:dyDescent="0.3">
      <c r="A464">
        <v>2020</v>
      </c>
      <c r="B464" t="s">
        <v>63</v>
      </c>
      <c r="C464" t="s">
        <v>37</v>
      </c>
      <c r="D464" s="1">
        <v>26011</v>
      </c>
      <c r="E464" s="1">
        <v>107703</v>
      </c>
      <c r="F464" s="2">
        <v>39794</v>
      </c>
    </row>
    <row r="465" spans="1:6" x14ac:dyDescent="0.3">
      <c r="A465">
        <v>2020</v>
      </c>
      <c r="B465" t="s">
        <v>63</v>
      </c>
      <c r="C465" t="s">
        <v>38</v>
      </c>
      <c r="D465" s="1">
        <v>2141</v>
      </c>
      <c r="E465" s="1">
        <v>10645</v>
      </c>
      <c r="F465" s="2">
        <v>40484</v>
      </c>
    </row>
    <row r="466" spans="1:6" x14ac:dyDescent="0.3">
      <c r="A466">
        <v>2020</v>
      </c>
      <c r="B466" t="s">
        <v>63</v>
      </c>
      <c r="C466" t="s">
        <v>39</v>
      </c>
      <c r="D466" s="1">
        <v>23929</v>
      </c>
      <c r="E466" s="1">
        <v>138448</v>
      </c>
      <c r="F466" s="2">
        <v>38332</v>
      </c>
    </row>
    <row r="467" spans="1:6" x14ac:dyDescent="0.3">
      <c r="A467">
        <v>2020</v>
      </c>
      <c r="B467" t="s">
        <v>63</v>
      </c>
      <c r="C467" t="s">
        <v>40</v>
      </c>
      <c r="D467" s="1">
        <v>6600</v>
      </c>
      <c r="E467" s="1">
        <v>34047</v>
      </c>
      <c r="F467" s="2">
        <v>37686</v>
      </c>
    </row>
    <row r="468" spans="1:6" x14ac:dyDescent="0.3">
      <c r="A468">
        <v>2020</v>
      </c>
      <c r="B468" t="s">
        <v>63</v>
      </c>
      <c r="C468" t="s">
        <v>41</v>
      </c>
      <c r="D468" s="1">
        <v>14853</v>
      </c>
      <c r="E468" s="1">
        <v>60924</v>
      </c>
      <c r="F468" s="2">
        <v>41296</v>
      </c>
    </row>
    <row r="469" spans="1:6" x14ac:dyDescent="0.3">
      <c r="A469">
        <v>2020</v>
      </c>
      <c r="B469" t="s">
        <v>63</v>
      </c>
      <c r="C469" t="s">
        <v>42</v>
      </c>
      <c r="D469" s="1">
        <v>33590</v>
      </c>
      <c r="E469" s="1">
        <v>169772</v>
      </c>
      <c r="F469" s="2">
        <v>39396</v>
      </c>
    </row>
    <row r="470" spans="1:6" x14ac:dyDescent="0.3">
      <c r="A470">
        <v>2020</v>
      </c>
      <c r="B470" t="s">
        <v>63</v>
      </c>
      <c r="C470" t="s">
        <v>43</v>
      </c>
      <c r="D470" s="1">
        <v>3576</v>
      </c>
      <c r="E470" s="1">
        <v>15156</v>
      </c>
      <c r="F470" s="2">
        <v>38763</v>
      </c>
    </row>
    <row r="471" spans="1:6" x14ac:dyDescent="0.3">
      <c r="A471">
        <v>2020</v>
      </c>
      <c r="B471" t="s">
        <v>63</v>
      </c>
      <c r="C471" t="s">
        <v>44</v>
      </c>
      <c r="D471" s="1">
        <v>10267</v>
      </c>
      <c r="E471" s="1">
        <v>49710</v>
      </c>
      <c r="F471" s="2">
        <v>38110</v>
      </c>
    </row>
    <row r="472" spans="1:6" x14ac:dyDescent="0.3">
      <c r="A472">
        <v>2020</v>
      </c>
      <c r="B472" t="s">
        <v>63</v>
      </c>
      <c r="C472" t="s">
        <v>45</v>
      </c>
      <c r="D472" s="1">
        <v>2313</v>
      </c>
      <c r="E472" s="1">
        <v>11077</v>
      </c>
      <c r="F472" s="2">
        <v>38165</v>
      </c>
    </row>
    <row r="473" spans="1:6" x14ac:dyDescent="0.3">
      <c r="A473">
        <v>2020</v>
      </c>
      <c r="B473" t="s">
        <v>63</v>
      </c>
      <c r="C473" t="s">
        <v>46</v>
      </c>
      <c r="D473" s="1">
        <v>12651</v>
      </c>
      <c r="E473" s="1">
        <v>70977</v>
      </c>
      <c r="F473" s="2">
        <v>40323</v>
      </c>
    </row>
    <row r="474" spans="1:6" x14ac:dyDescent="0.3">
      <c r="A474">
        <v>2020</v>
      </c>
      <c r="B474" t="s">
        <v>63</v>
      </c>
      <c r="C474" t="s">
        <v>47</v>
      </c>
      <c r="D474" s="1">
        <v>57936</v>
      </c>
      <c r="E474" s="1">
        <v>310244</v>
      </c>
      <c r="F474" s="2">
        <v>44055</v>
      </c>
    </row>
    <row r="475" spans="1:6" x14ac:dyDescent="0.3">
      <c r="A475">
        <v>2020</v>
      </c>
      <c r="B475" t="s">
        <v>63</v>
      </c>
      <c r="C475" t="s">
        <v>48</v>
      </c>
      <c r="D475" s="1">
        <v>6849</v>
      </c>
      <c r="E475" s="1">
        <v>35002</v>
      </c>
      <c r="F475" s="2">
        <v>39528</v>
      </c>
    </row>
    <row r="476" spans="1:6" x14ac:dyDescent="0.3">
      <c r="A476">
        <v>2020</v>
      </c>
      <c r="B476" t="s">
        <v>63</v>
      </c>
      <c r="C476" t="s">
        <v>49</v>
      </c>
      <c r="D476" s="1">
        <v>1995</v>
      </c>
      <c r="E476" s="1">
        <v>7681</v>
      </c>
      <c r="F476" s="2">
        <v>41304</v>
      </c>
    </row>
    <row r="477" spans="1:6" x14ac:dyDescent="0.3">
      <c r="A477">
        <v>2020</v>
      </c>
      <c r="B477" t="s">
        <v>63</v>
      </c>
      <c r="C477" t="s">
        <v>50</v>
      </c>
      <c r="D477" s="1">
        <v>29516</v>
      </c>
      <c r="E477" s="1">
        <v>121622</v>
      </c>
      <c r="F477" s="2">
        <v>50744</v>
      </c>
    </row>
    <row r="478" spans="1:6" x14ac:dyDescent="0.3">
      <c r="A478">
        <v>2020</v>
      </c>
      <c r="B478" t="s">
        <v>63</v>
      </c>
      <c r="C478" t="s">
        <v>51</v>
      </c>
      <c r="D478" s="1">
        <v>20259</v>
      </c>
      <c r="E478" s="1">
        <v>89105</v>
      </c>
      <c r="F478" s="2">
        <v>46691</v>
      </c>
    </row>
    <row r="479" spans="1:6" x14ac:dyDescent="0.3">
      <c r="A479">
        <v>2020</v>
      </c>
      <c r="B479" t="s">
        <v>63</v>
      </c>
      <c r="C479" t="s">
        <v>52</v>
      </c>
      <c r="D479" s="1">
        <v>3442</v>
      </c>
      <c r="E479" s="1">
        <v>15621</v>
      </c>
      <c r="F479" s="2">
        <v>35759</v>
      </c>
    </row>
    <row r="480" spans="1:6" x14ac:dyDescent="0.3">
      <c r="A480">
        <v>2020</v>
      </c>
      <c r="B480" t="s">
        <v>63</v>
      </c>
      <c r="C480" t="s">
        <v>53</v>
      </c>
      <c r="D480" s="1">
        <v>13143</v>
      </c>
      <c r="E480" s="1">
        <v>74028</v>
      </c>
      <c r="F480" s="2">
        <v>36058</v>
      </c>
    </row>
    <row r="481" spans="1:6" x14ac:dyDescent="0.3">
      <c r="A481">
        <v>2020</v>
      </c>
      <c r="B481" t="s">
        <v>63</v>
      </c>
      <c r="C481" t="s">
        <v>54</v>
      </c>
      <c r="D481" s="1">
        <v>1669</v>
      </c>
      <c r="E481" s="1">
        <v>6769</v>
      </c>
      <c r="F481" s="2">
        <v>40253</v>
      </c>
    </row>
    <row r="482" spans="1:6" x14ac:dyDescent="0.3">
      <c r="A482">
        <v>2019</v>
      </c>
      <c r="B482" t="s">
        <v>6</v>
      </c>
      <c r="C482" t="s">
        <v>7</v>
      </c>
      <c r="D482" s="1">
        <v>1846</v>
      </c>
      <c r="E482" s="1">
        <v>18939</v>
      </c>
      <c r="F482" s="2">
        <v>56529</v>
      </c>
    </row>
    <row r="483" spans="1:6" x14ac:dyDescent="0.3">
      <c r="A483">
        <v>2019</v>
      </c>
      <c r="B483" t="s">
        <v>6</v>
      </c>
      <c r="C483" t="s">
        <v>8</v>
      </c>
      <c r="D483" s="1">
        <v>1358</v>
      </c>
      <c r="E483" s="1">
        <v>37970</v>
      </c>
      <c r="F483" s="2">
        <v>52262</v>
      </c>
    </row>
    <row r="484" spans="1:6" x14ac:dyDescent="0.3">
      <c r="A484">
        <v>2019</v>
      </c>
      <c r="B484" t="s">
        <v>6</v>
      </c>
      <c r="C484" t="s">
        <v>9</v>
      </c>
      <c r="D484" s="1">
        <v>2577</v>
      </c>
      <c r="E484" s="1">
        <v>16390</v>
      </c>
      <c r="F484" s="2">
        <v>48299</v>
      </c>
    </row>
    <row r="485" spans="1:6" x14ac:dyDescent="0.3">
      <c r="A485">
        <v>2019</v>
      </c>
      <c r="B485" t="s">
        <v>6</v>
      </c>
      <c r="C485" t="s">
        <v>10</v>
      </c>
      <c r="D485" s="1">
        <v>17663</v>
      </c>
      <c r="E485" s="1">
        <v>443581</v>
      </c>
      <c r="F485" s="2">
        <v>40246</v>
      </c>
    </row>
    <row r="486" spans="1:6" x14ac:dyDescent="0.3">
      <c r="A486">
        <v>2019</v>
      </c>
      <c r="B486" t="s">
        <v>6</v>
      </c>
      <c r="C486" t="s">
        <v>11</v>
      </c>
      <c r="D486" s="1">
        <v>3279</v>
      </c>
      <c r="E486" s="1">
        <v>48392</v>
      </c>
      <c r="F486" s="2">
        <v>90328</v>
      </c>
    </row>
    <row r="487" spans="1:6" x14ac:dyDescent="0.3">
      <c r="A487">
        <v>2019</v>
      </c>
      <c r="B487" t="s">
        <v>6</v>
      </c>
      <c r="C487" t="s">
        <v>12</v>
      </c>
      <c r="D487">
        <v>437</v>
      </c>
      <c r="E487" s="1">
        <v>5258</v>
      </c>
      <c r="F487" s="2">
        <v>41449</v>
      </c>
    </row>
    <row r="488" spans="1:6" x14ac:dyDescent="0.3">
      <c r="A488">
        <v>2019</v>
      </c>
      <c r="B488" t="s">
        <v>6</v>
      </c>
      <c r="C488" t="s">
        <v>13</v>
      </c>
      <c r="D488">
        <v>180</v>
      </c>
      <c r="E488" s="1">
        <v>1471</v>
      </c>
      <c r="F488" s="2">
        <v>42123</v>
      </c>
    </row>
    <row r="489" spans="1:6" x14ac:dyDescent="0.3">
      <c r="A489">
        <v>2019</v>
      </c>
      <c r="B489" t="s">
        <v>6</v>
      </c>
      <c r="C489" t="s">
        <v>14</v>
      </c>
      <c r="D489" s="1">
        <v>5304</v>
      </c>
      <c r="E489" s="1">
        <v>71329</v>
      </c>
      <c r="F489" s="2">
        <v>35645</v>
      </c>
    </row>
    <row r="490" spans="1:6" x14ac:dyDescent="0.3">
      <c r="A490">
        <v>2019</v>
      </c>
      <c r="B490" t="s">
        <v>6</v>
      </c>
      <c r="C490" t="s">
        <v>15</v>
      </c>
      <c r="D490" s="1">
        <v>2662</v>
      </c>
      <c r="E490" s="1">
        <v>29910</v>
      </c>
      <c r="F490" s="2">
        <v>43258</v>
      </c>
    </row>
    <row r="491" spans="1:6" x14ac:dyDescent="0.3">
      <c r="A491">
        <v>2019</v>
      </c>
      <c r="B491" t="s">
        <v>6</v>
      </c>
      <c r="C491" t="s">
        <v>16</v>
      </c>
      <c r="D491" s="1">
        <v>2401</v>
      </c>
      <c r="E491" s="1">
        <v>26555</v>
      </c>
      <c r="F491" s="2">
        <v>41105</v>
      </c>
    </row>
    <row r="492" spans="1:6" x14ac:dyDescent="0.3">
      <c r="A492">
        <v>2019</v>
      </c>
      <c r="B492" t="s">
        <v>6</v>
      </c>
      <c r="C492" t="s">
        <v>17</v>
      </c>
      <c r="D492" s="1">
        <v>2825</v>
      </c>
      <c r="E492" s="1">
        <v>26828</v>
      </c>
      <c r="F492" s="2">
        <v>52197</v>
      </c>
    </row>
    <row r="493" spans="1:6" x14ac:dyDescent="0.3">
      <c r="A493">
        <v>2019</v>
      </c>
      <c r="B493" t="s">
        <v>6</v>
      </c>
      <c r="C493" t="s">
        <v>18</v>
      </c>
      <c r="D493" s="1">
        <v>2255</v>
      </c>
      <c r="E493" s="1">
        <v>21475</v>
      </c>
      <c r="F493" s="2">
        <v>50243</v>
      </c>
    </row>
    <row r="494" spans="1:6" x14ac:dyDescent="0.3">
      <c r="A494">
        <v>2019</v>
      </c>
      <c r="B494" t="s">
        <v>6</v>
      </c>
      <c r="C494" t="s">
        <v>19</v>
      </c>
      <c r="D494" s="1">
        <v>2916</v>
      </c>
      <c r="E494" s="1">
        <v>23431</v>
      </c>
      <c r="F494" s="2">
        <v>44087</v>
      </c>
    </row>
    <row r="495" spans="1:6" x14ac:dyDescent="0.3">
      <c r="A495">
        <v>2019</v>
      </c>
      <c r="B495" t="s">
        <v>6</v>
      </c>
      <c r="C495" t="s">
        <v>20</v>
      </c>
      <c r="D495" s="1">
        <v>2612</v>
      </c>
      <c r="E495" s="1">
        <v>19353</v>
      </c>
      <c r="F495" s="2">
        <v>47802</v>
      </c>
    </row>
    <row r="496" spans="1:6" x14ac:dyDescent="0.3">
      <c r="A496">
        <v>2019</v>
      </c>
      <c r="B496" t="s">
        <v>6</v>
      </c>
      <c r="C496" t="s">
        <v>21</v>
      </c>
      <c r="D496" s="1">
        <v>1561</v>
      </c>
      <c r="E496" s="1">
        <v>18911</v>
      </c>
      <c r="F496" s="2">
        <v>56448</v>
      </c>
    </row>
    <row r="497" spans="1:6" x14ac:dyDescent="0.3">
      <c r="A497">
        <v>2019</v>
      </c>
      <c r="B497" t="s">
        <v>6</v>
      </c>
      <c r="C497" t="s">
        <v>22</v>
      </c>
      <c r="D497" s="1">
        <v>3133</v>
      </c>
      <c r="E497" s="1">
        <v>44052</v>
      </c>
      <c r="F497" s="2">
        <v>87820</v>
      </c>
    </row>
    <row r="498" spans="1:6" x14ac:dyDescent="0.3">
      <c r="A498">
        <v>2019</v>
      </c>
      <c r="B498" t="s">
        <v>6</v>
      </c>
      <c r="C498" t="s">
        <v>23</v>
      </c>
      <c r="D498" s="1">
        <v>1447</v>
      </c>
      <c r="E498" s="1">
        <v>7281</v>
      </c>
      <c r="F498" s="2">
        <v>41157</v>
      </c>
    </row>
    <row r="499" spans="1:6" x14ac:dyDescent="0.3">
      <c r="A499">
        <v>2019</v>
      </c>
      <c r="B499" t="s">
        <v>6</v>
      </c>
      <c r="C499" t="s">
        <v>24</v>
      </c>
      <c r="D499">
        <v>723</v>
      </c>
      <c r="E499" s="1">
        <v>7194</v>
      </c>
      <c r="F499" s="2">
        <v>44642</v>
      </c>
    </row>
    <row r="500" spans="1:6" x14ac:dyDescent="0.3">
      <c r="A500">
        <v>2019</v>
      </c>
      <c r="B500" t="s">
        <v>6</v>
      </c>
      <c r="C500" t="s">
        <v>25</v>
      </c>
      <c r="D500" s="1">
        <v>1007</v>
      </c>
      <c r="E500" s="1">
        <v>10500</v>
      </c>
      <c r="F500" s="2">
        <v>63846</v>
      </c>
    </row>
    <row r="501" spans="1:6" x14ac:dyDescent="0.3">
      <c r="A501">
        <v>2019</v>
      </c>
      <c r="B501" t="s">
        <v>6</v>
      </c>
      <c r="C501" t="s">
        <v>26</v>
      </c>
      <c r="D501" s="1">
        <v>3480</v>
      </c>
      <c r="E501" s="1">
        <v>35622</v>
      </c>
      <c r="F501" s="2">
        <v>41799</v>
      </c>
    </row>
    <row r="502" spans="1:6" x14ac:dyDescent="0.3">
      <c r="A502">
        <v>2019</v>
      </c>
      <c r="B502" t="s">
        <v>6</v>
      </c>
      <c r="C502" t="s">
        <v>27</v>
      </c>
      <c r="D502" s="1">
        <v>3094</v>
      </c>
      <c r="E502" s="1">
        <v>28134</v>
      </c>
      <c r="F502" s="2">
        <v>51107</v>
      </c>
    </row>
    <row r="503" spans="1:6" x14ac:dyDescent="0.3">
      <c r="A503">
        <v>2019</v>
      </c>
      <c r="B503" t="s">
        <v>6</v>
      </c>
      <c r="C503" t="s">
        <v>28</v>
      </c>
      <c r="D503" s="1">
        <v>2110</v>
      </c>
      <c r="E503" s="1">
        <v>15777</v>
      </c>
      <c r="F503" s="2">
        <v>49263</v>
      </c>
    </row>
    <row r="504" spans="1:6" x14ac:dyDescent="0.3">
      <c r="A504">
        <v>2019</v>
      </c>
      <c r="B504" t="s">
        <v>6</v>
      </c>
      <c r="C504" t="s">
        <v>29</v>
      </c>
      <c r="D504" s="1">
        <v>2031</v>
      </c>
      <c r="E504" s="1">
        <v>16899</v>
      </c>
      <c r="F504" s="2">
        <v>44815</v>
      </c>
    </row>
    <row r="505" spans="1:6" x14ac:dyDescent="0.3">
      <c r="A505">
        <v>2019</v>
      </c>
      <c r="B505" t="s">
        <v>6</v>
      </c>
      <c r="C505" t="s">
        <v>30</v>
      </c>
      <c r="D505" s="1">
        <v>1789</v>
      </c>
      <c r="E505" s="1">
        <v>12792</v>
      </c>
      <c r="F505" s="2">
        <v>67162</v>
      </c>
    </row>
    <row r="506" spans="1:6" x14ac:dyDescent="0.3">
      <c r="A506">
        <v>2019</v>
      </c>
      <c r="B506" t="s">
        <v>6</v>
      </c>
      <c r="C506" t="s">
        <v>31</v>
      </c>
      <c r="D506" s="1">
        <v>2414</v>
      </c>
      <c r="E506" s="1">
        <v>15761</v>
      </c>
      <c r="F506" s="2">
        <v>42685</v>
      </c>
    </row>
    <row r="507" spans="1:6" x14ac:dyDescent="0.3">
      <c r="A507">
        <v>2019</v>
      </c>
      <c r="B507" t="s">
        <v>6</v>
      </c>
      <c r="C507" t="s">
        <v>32</v>
      </c>
      <c r="D507">
        <v>618</v>
      </c>
      <c r="E507" s="1">
        <v>19841</v>
      </c>
      <c r="F507" s="2">
        <v>86362</v>
      </c>
    </row>
    <row r="508" spans="1:6" x14ac:dyDescent="0.3">
      <c r="A508">
        <v>2019</v>
      </c>
      <c r="B508" t="s">
        <v>6</v>
      </c>
      <c r="C508" t="s">
        <v>33</v>
      </c>
      <c r="D508">
        <v>350</v>
      </c>
      <c r="E508" s="1">
        <v>2627</v>
      </c>
      <c r="F508" s="2">
        <v>44073</v>
      </c>
    </row>
    <row r="509" spans="1:6" x14ac:dyDescent="0.3">
      <c r="A509">
        <v>2019</v>
      </c>
      <c r="B509" t="s">
        <v>6</v>
      </c>
      <c r="C509" t="s">
        <v>34</v>
      </c>
      <c r="D509">
        <v>998</v>
      </c>
      <c r="E509" s="1">
        <v>12407</v>
      </c>
      <c r="F509" s="2">
        <v>41732</v>
      </c>
    </row>
    <row r="510" spans="1:6" x14ac:dyDescent="0.3">
      <c r="A510">
        <v>2019</v>
      </c>
      <c r="B510" t="s">
        <v>6</v>
      </c>
      <c r="C510" t="s">
        <v>35</v>
      </c>
      <c r="D510" s="1">
        <v>2100</v>
      </c>
      <c r="E510" s="1">
        <v>36949</v>
      </c>
      <c r="F510" s="2">
        <v>68427</v>
      </c>
    </row>
    <row r="511" spans="1:6" x14ac:dyDescent="0.3">
      <c r="A511">
        <v>2019</v>
      </c>
      <c r="B511" t="s">
        <v>6</v>
      </c>
      <c r="C511" t="s">
        <v>36</v>
      </c>
      <c r="D511" s="1">
        <v>3053</v>
      </c>
      <c r="E511" s="1">
        <v>31787</v>
      </c>
      <c r="F511" s="2">
        <v>42992</v>
      </c>
    </row>
    <row r="512" spans="1:6" x14ac:dyDescent="0.3">
      <c r="A512">
        <v>2019</v>
      </c>
      <c r="B512" t="s">
        <v>6</v>
      </c>
      <c r="C512" t="s">
        <v>37</v>
      </c>
      <c r="D512" s="1">
        <v>3378</v>
      </c>
      <c r="E512" s="1">
        <v>29828</v>
      </c>
      <c r="F512" s="2">
        <v>40862</v>
      </c>
    </row>
    <row r="513" spans="1:6" x14ac:dyDescent="0.3">
      <c r="A513">
        <v>2019</v>
      </c>
      <c r="B513" t="s">
        <v>6</v>
      </c>
      <c r="C513" t="s">
        <v>38</v>
      </c>
      <c r="D513" s="1">
        <v>1784</v>
      </c>
      <c r="E513" s="1">
        <v>25973</v>
      </c>
      <c r="F513" s="2">
        <v>97355</v>
      </c>
    </row>
    <row r="514" spans="1:6" x14ac:dyDescent="0.3">
      <c r="A514">
        <v>2019</v>
      </c>
      <c r="B514" t="s">
        <v>6</v>
      </c>
      <c r="C514" t="s">
        <v>39</v>
      </c>
      <c r="D514" s="1">
        <v>2531</v>
      </c>
      <c r="E514" s="1">
        <v>28532</v>
      </c>
      <c r="F514" s="2">
        <v>51860</v>
      </c>
    </row>
    <row r="515" spans="1:6" x14ac:dyDescent="0.3">
      <c r="A515">
        <v>2019</v>
      </c>
      <c r="B515" t="s">
        <v>6</v>
      </c>
      <c r="C515" t="s">
        <v>40</v>
      </c>
      <c r="D515" s="1">
        <v>4402</v>
      </c>
      <c r="E515" s="1">
        <v>56786</v>
      </c>
      <c r="F515" s="2">
        <v>91249</v>
      </c>
    </row>
    <row r="516" spans="1:6" x14ac:dyDescent="0.3">
      <c r="A516">
        <v>2019</v>
      </c>
      <c r="B516" t="s">
        <v>6</v>
      </c>
      <c r="C516" t="s">
        <v>41</v>
      </c>
      <c r="D516" s="1">
        <v>4633</v>
      </c>
      <c r="E516" s="1">
        <v>54550</v>
      </c>
      <c r="F516" s="2">
        <v>37586</v>
      </c>
    </row>
    <row r="517" spans="1:6" x14ac:dyDescent="0.3">
      <c r="A517">
        <v>2019</v>
      </c>
      <c r="B517" t="s">
        <v>6</v>
      </c>
      <c r="C517" t="s">
        <v>42</v>
      </c>
      <c r="D517" s="1">
        <v>3616</v>
      </c>
      <c r="E517" s="1">
        <v>52904</v>
      </c>
      <c r="F517" s="2">
        <v>65014</v>
      </c>
    </row>
    <row r="518" spans="1:6" x14ac:dyDescent="0.3">
      <c r="A518">
        <v>2019</v>
      </c>
      <c r="B518" t="s">
        <v>6</v>
      </c>
      <c r="C518" t="s">
        <v>43</v>
      </c>
      <c r="D518">
        <v>198</v>
      </c>
      <c r="E518" s="1">
        <v>1121</v>
      </c>
      <c r="F518" s="2">
        <v>39917</v>
      </c>
    </row>
    <row r="519" spans="1:6" x14ac:dyDescent="0.3">
      <c r="A519">
        <v>2019</v>
      </c>
      <c r="B519" t="s">
        <v>6</v>
      </c>
      <c r="C519" t="s">
        <v>44</v>
      </c>
      <c r="D519" s="1">
        <v>1345</v>
      </c>
      <c r="E519" s="1">
        <v>12552</v>
      </c>
      <c r="F519" s="2">
        <v>43952</v>
      </c>
    </row>
    <row r="520" spans="1:6" x14ac:dyDescent="0.3">
      <c r="A520">
        <v>2019</v>
      </c>
      <c r="B520" t="s">
        <v>6</v>
      </c>
      <c r="C520" t="s">
        <v>45</v>
      </c>
      <c r="D520" s="1">
        <v>1063</v>
      </c>
      <c r="E520" s="1">
        <v>6986</v>
      </c>
      <c r="F520" s="2">
        <v>43642</v>
      </c>
    </row>
    <row r="521" spans="1:6" x14ac:dyDescent="0.3">
      <c r="A521">
        <v>2019</v>
      </c>
      <c r="B521" t="s">
        <v>6</v>
      </c>
      <c r="C521" t="s">
        <v>46</v>
      </c>
      <c r="D521" s="1">
        <v>1107</v>
      </c>
      <c r="E521" s="1">
        <v>11568</v>
      </c>
      <c r="F521" s="2">
        <v>46865</v>
      </c>
    </row>
    <row r="522" spans="1:6" x14ac:dyDescent="0.3">
      <c r="A522">
        <v>2019</v>
      </c>
      <c r="B522" t="s">
        <v>6</v>
      </c>
      <c r="C522" t="s">
        <v>47</v>
      </c>
      <c r="D522" s="1">
        <v>19971</v>
      </c>
      <c r="E522" s="1">
        <v>307800</v>
      </c>
      <c r="F522" s="2">
        <v>114918</v>
      </c>
    </row>
    <row r="523" spans="1:6" x14ac:dyDescent="0.3">
      <c r="A523">
        <v>2019</v>
      </c>
      <c r="B523" t="s">
        <v>6</v>
      </c>
      <c r="C523" t="s">
        <v>48</v>
      </c>
      <c r="D523" s="1">
        <v>1032</v>
      </c>
      <c r="E523" s="1">
        <v>15160</v>
      </c>
      <c r="F523" s="2">
        <v>63604</v>
      </c>
    </row>
    <row r="524" spans="1:6" x14ac:dyDescent="0.3">
      <c r="A524">
        <v>2019</v>
      </c>
      <c r="B524" t="s">
        <v>6</v>
      </c>
      <c r="C524" t="s">
        <v>49</v>
      </c>
      <c r="D524">
        <v>564</v>
      </c>
      <c r="E524" s="1">
        <v>4130</v>
      </c>
      <c r="F524" s="2">
        <v>39607</v>
      </c>
    </row>
    <row r="525" spans="1:6" x14ac:dyDescent="0.3">
      <c r="A525">
        <v>2019</v>
      </c>
      <c r="B525" t="s">
        <v>6</v>
      </c>
      <c r="C525" t="s">
        <v>50</v>
      </c>
      <c r="D525" s="1">
        <v>2095</v>
      </c>
      <c r="E525" s="1">
        <v>18691</v>
      </c>
      <c r="F525" s="2">
        <v>48704</v>
      </c>
    </row>
    <row r="526" spans="1:6" x14ac:dyDescent="0.3">
      <c r="A526">
        <v>2019</v>
      </c>
      <c r="B526" t="s">
        <v>6</v>
      </c>
      <c r="C526" t="s">
        <v>51</v>
      </c>
      <c r="D526" s="1">
        <v>7117</v>
      </c>
      <c r="E526" s="1">
        <v>105362</v>
      </c>
      <c r="F526" s="2">
        <v>34547</v>
      </c>
    </row>
    <row r="527" spans="1:6" x14ac:dyDescent="0.3">
      <c r="A527">
        <v>2019</v>
      </c>
      <c r="B527" t="s">
        <v>6</v>
      </c>
      <c r="C527" t="s">
        <v>52</v>
      </c>
      <c r="D527" s="1">
        <v>1166</v>
      </c>
      <c r="E527" s="1">
        <v>23333</v>
      </c>
      <c r="F527" s="2">
        <v>80470</v>
      </c>
    </row>
    <row r="528" spans="1:6" x14ac:dyDescent="0.3">
      <c r="A528">
        <v>2019</v>
      </c>
      <c r="B528" t="s">
        <v>6</v>
      </c>
      <c r="C528" t="s">
        <v>53</v>
      </c>
      <c r="D528" s="1">
        <v>2876</v>
      </c>
      <c r="E528" s="1">
        <v>31424</v>
      </c>
      <c r="F528" s="2">
        <v>40225</v>
      </c>
    </row>
    <row r="529" spans="1:6" x14ac:dyDescent="0.3">
      <c r="A529">
        <v>2019</v>
      </c>
      <c r="B529" t="s">
        <v>6</v>
      </c>
      <c r="C529" t="s">
        <v>54</v>
      </c>
      <c r="D529" s="1">
        <v>1463</v>
      </c>
      <c r="E529" s="1">
        <v>23524</v>
      </c>
      <c r="F529" s="2">
        <v>86467</v>
      </c>
    </row>
    <row r="530" spans="1:6" x14ac:dyDescent="0.3">
      <c r="A530">
        <v>2019</v>
      </c>
      <c r="B530" t="s">
        <v>55</v>
      </c>
      <c r="C530" t="s">
        <v>7</v>
      </c>
      <c r="D530" s="1">
        <v>10069</v>
      </c>
      <c r="E530" s="1">
        <v>93619</v>
      </c>
      <c r="F530" s="2">
        <v>56141</v>
      </c>
    </row>
    <row r="531" spans="1:6" x14ac:dyDescent="0.3">
      <c r="A531">
        <v>2019</v>
      </c>
      <c r="B531" t="s">
        <v>55</v>
      </c>
      <c r="C531" t="s">
        <v>8</v>
      </c>
      <c r="D531" s="1">
        <v>13677</v>
      </c>
      <c r="E531" s="1">
        <v>171309</v>
      </c>
      <c r="F531" s="2">
        <v>58621</v>
      </c>
    </row>
    <row r="532" spans="1:6" x14ac:dyDescent="0.3">
      <c r="A532">
        <v>2019</v>
      </c>
      <c r="B532" t="s">
        <v>55</v>
      </c>
      <c r="C532" t="s">
        <v>9</v>
      </c>
      <c r="D532" s="1">
        <v>7093</v>
      </c>
      <c r="E532" s="1">
        <v>52538</v>
      </c>
      <c r="F532" s="2">
        <v>49541</v>
      </c>
    </row>
    <row r="533" spans="1:6" x14ac:dyDescent="0.3">
      <c r="A533">
        <v>2019</v>
      </c>
      <c r="B533" t="s">
        <v>55</v>
      </c>
      <c r="C533" t="s">
        <v>10</v>
      </c>
      <c r="D533" s="1">
        <v>84247</v>
      </c>
      <c r="E533" s="1">
        <v>885668</v>
      </c>
      <c r="F533" s="2">
        <v>73343</v>
      </c>
    </row>
    <row r="534" spans="1:6" x14ac:dyDescent="0.3">
      <c r="A534">
        <v>2019</v>
      </c>
      <c r="B534" t="s">
        <v>55</v>
      </c>
      <c r="C534" t="s">
        <v>11</v>
      </c>
      <c r="D534" s="1">
        <v>20430</v>
      </c>
      <c r="E534" s="1">
        <v>178880</v>
      </c>
      <c r="F534" s="2">
        <v>64603</v>
      </c>
    </row>
    <row r="535" spans="1:6" x14ac:dyDescent="0.3">
      <c r="A535">
        <v>2019</v>
      </c>
      <c r="B535" t="s">
        <v>55</v>
      </c>
      <c r="C535" t="s">
        <v>12</v>
      </c>
      <c r="D535" s="1">
        <v>9496</v>
      </c>
      <c r="E535" s="1">
        <v>59731</v>
      </c>
      <c r="F535" s="2">
        <v>72413</v>
      </c>
    </row>
    <row r="536" spans="1:6" x14ac:dyDescent="0.3">
      <c r="A536">
        <v>2019</v>
      </c>
      <c r="B536" t="s">
        <v>55</v>
      </c>
      <c r="C536" t="s">
        <v>13</v>
      </c>
      <c r="D536" s="1">
        <v>3007</v>
      </c>
      <c r="E536" s="1">
        <v>22909</v>
      </c>
      <c r="F536" s="2">
        <v>62481</v>
      </c>
    </row>
    <row r="537" spans="1:6" x14ac:dyDescent="0.3">
      <c r="A537">
        <v>2019</v>
      </c>
      <c r="B537" t="s">
        <v>55</v>
      </c>
      <c r="C537" t="s">
        <v>14</v>
      </c>
      <c r="D537" s="1">
        <v>74711</v>
      </c>
      <c r="E537" s="1">
        <v>563526</v>
      </c>
      <c r="F537" s="2">
        <v>52893</v>
      </c>
    </row>
    <row r="538" spans="1:6" x14ac:dyDescent="0.3">
      <c r="A538">
        <v>2019</v>
      </c>
      <c r="B538" t="s">
        <v>55</v>
      </c>
      <c r="C538" t="s">
        <v>15</v>
      </c>
      <c r="D538" s="1">
        <v>21408</v>
      </c>
      <c r="E538" s="1">
        <v>203951</v>
      </c>
      <c r="F538" s="2">
        <v>63683</v>
      </c>
    </row>
    <row r="539" spans="1:6" x14ac:dyDescent="0.3">
      <c r="A539">
        <v>2019</v>
      </c>
      <c r="B539" t="s">
        <v>55</v>
      </c>
      <c r="C539" t="s">
        <v>16</v>
      </c>
      <c r="D539" s="1">
        <v>8175</v>
      </c>
      <c r="E539" s="1">
        <v>50684</v>
      </c>
      <c r="F539" s="2">
        <v>46258</v>
      </c>
    </row>
    <row r="540" spans="1:6" x14ac:dyDescent="0.3">
      <c r="A540">
        <v>2019</v>
      </c>
      <c r="B540" t="s">
        <v>55</v>
      </c>
      <c r="C540" t="s">
        <v>17</v>
      </c>
      <c r="D540" s="1">
        <v>32686</v>
      </c>
      <c r="E540" s="1">
        <v>227968</v>
      </c>
      <c r="F540" s="2">
        <v>73799</v>
      </c>
    </row>
    <row r="541" spans="1:6" x14ac:dyDescent="0.3">
      <c r="A541">
        <v>2019</v>
      </c>
      <c r="B541" t="s">
        <v>55</v>
      </c>
      <c r="C541" t="s">
        <v>18</v>
      </c>
      <c r="D541" s="1">
        <v>15232</v>
      </c>
      <c r="E541" s="1">
        <v>145851</v>
      </c>
      <c r="F541" s="2">
        <v>60057</v>
      </c>
    </row>
    <row r="542" spans="1:6" x14ac:dyDescent="0.3">
      <c r="A542">
        <v>2019</v>
      </c>
      <c r="B542" t="s">
        <v>55</v>
      </c>
      <c r="C542" t="s">
        <v>19</v>
      </c>
      <c r="D542" s="1">
        <v>9462</v>
      </c>
      <c r="E542" s="1">
        <v>78134</v>
      </c>
      <c r="F542" s="2">
        <v>58962</v>
      </c>
    </row>
    <row r="543" spans="1:6" x14ac:dyDescent="0.3">
      <c r="A543">
        <v>2019</v>
      </c>
      <c r="B543" t="s">
        <v>55</v>
      </c>
      <c r="C543" t="s">
        <v>20</v>
      </c>
      <c r="D543" s="1">
        <v>7399</v>
      </c>
      <c r="E543" s="1">
        <v>63735</v>
      </c>
      <c r="F543" s="2">
        <v>57030</v>
      </c>
    </row>
    <row r="544" spans="1:6" x14ac:dyDescent="0.3">
      <c r="A544">
        <v>2019</v>
      </c>
      <c r="B544" t="s">
        <v>55</v>
      </c>
      <c r="C544" t="s">
        <v>21</v>
      </c>
      <c r="D544" s="1">
        <v>9517</v>
      </c>
      <c r="E544" s="1">
        <v>80463</v>
      </c>
      <c r="F544" s="2">
        <v>55601</v>
      </c>
    </row>
    <row r="545" spans="1:6" x14ac:dyDescent="0.3">
      <c r="A545">
        <v>2019</v>
      </c>
      <c r="B545" t="s">
        <v>55</v>
      </c>
      <c r="C545" t="s">
        <v>22</v>
      </c>
      <c r="D545" s="1">
        <v>10991</v>
      </c>
      <c r="E545" s="1">
        <v>142033</v>
      </c>
      <c r="F545" s="2">
        <v>64940</v>
      </c>
    </row>
    <row r="546" spans="1:6" x14ac:dyDescent="0.3">
      <c r="A546">
        <v>2019</v>
      </c>
      <c r="B546" t="s">
        <v>55</v>
      </c>
      <c r="C546" t="s">
        <v>23</v>
      </c>
      <c r="D546" s="1">
        <v>5605</v>
      </c>
      <c r="E546" s="1">
        <v>29987</v>
      </c>
      <c r="F546" s="2">
        <v>51654</v>
      </c>
    </row>
    <row r="547" spans="1:6" x14ac:dyDescent="0.3">
      <c r="A547">
        <v>2019</v>
      </c>
      <c r="B547" t="s">
        <v>55</v>
      </c>
      <c r="C547" t="s">
        <v>24</v>
      </c>
      <c r="D547" s="1">
        <v>16694</v>
      </c>
      <c r="E547" s="1">
        <v>166132</v>
      </c>
      <c r="F547" s="2">
        <v>67799</v>
      </c>
    </row>
    <row r="548" spans="1:6" x14ac:dyDescent="0.3">
      <c r="A548">
        <v>2019</v>
      </c>
      <c r="B548" t="s">
        <v>55</v>
      </c>
      <c r="C548" t="s">
        <v>25</v>
      </c>
      <c r="D548" s="1">
        <v>21309</v>
      </c>
      <c r="E548" s="1">
        <v>163062</v>
      </c>
      <c r="F548" s="2">
        <v>81436</v>
      </c>
    </row>
    <row r="549" spans="1:6" x14ac:dyDescent="0.3">
      <c r="A549">
        <v>2019</v>
      </c>
      <c r="B549" t="s">
        <v>55</v>
      </c>
      <c r="C549" t="s">
        <v>26</v>
      </c>
      <c r="D549" s="1">
        <v>21106</v>
      </c>
      <c r="E549" s="1">
        <v>173015</v>
      </c>
      <c r="F549" s="2">
        <v>63588</v>
      </c>
    </row>
    <row r="550" spans="1:6" x14ac:dyDescent="0.3">
      <c r="A550">
        <v>2019</v>
      </c>
      <c r="B550" t="s">
        <v>55</v>
      </c>
      <c r="C550" t="s">
        <v>27</v>
      </c>
      <c r="D550" s="1">
        <v>16700</v>
      </c>
      <c r="E550" s="1">
        <v>127092</v>
      </c>
      <c r="F550" s="2">
        <v>69734</v>
      </c>
    </row>
    <row r="551" spans="1:6" x14ac:dyDescent="0.3">
      <c r="A551">
        <v>2019</v>
      </c>
      <c r="B551" t="s">
        <v>55</v>
      </c>
      <c r="C551" t="s">
        <v>28</v>
      </c>
      <c r="D551" s="1">
        <v>5771</v>
      </c>
      <c r="E551" s="1">
        <v>44543</v>
      </c>
      <c r="F551" s="2">
        <v>50925</v>
      </c>
    </row>
    <row r="552" spans="1:6" x14ac:dyDescent="0.3">
      <c r="A552">
        <v>2019</v>
      </c>
      <c r="B552" t="s">
        <v>55</v>
      </c>
      <c r="C552" t="s">
        <v>29</v>
      </c>
      <c r="D552" s="1">
        <v>15133</v>
      </c>
      <c r="E552" s="1">
        <v>126641</v>
      </c>
      <c r="F552" s="2">
        <v>61762</v>
      </c>
    </row>
    <row r="553" spans="1:6" x14ac:dyDescent="0.3">
      <c r="A553">
        <v>2019</v>
      </c>
      <c r="B553" t="s">
        <v>55</v>
      </c>
      <c r="C553" t="s">
        <v>30</v>
      </c>
      <c r="D553" s="1">
        <v>6432</v>
      </c>
      <c r="E553" s="1">
        <v>29914</v>
      </c>
      <c r="F553" s="2">
        <v>53962</v>
      </c>
    </row>
    <row r="554" spans="1:6" x14ac:dyDescent="0.3">
      <c r="A554">
        <v>2019</v>
      </c>
      <c r="B554" t="s">
        <v>55</v>
      </c>
      <c r="C554" t="s">
        <v>31</v>
      </c>
      <c r="D554" s="1">
        <v>7038</v>
      </c>
      <c r="E554" s="1">
        <v>53732</v>
      </c>
      <c r="F554" s="2">
        <v>53794</v>
      </c>
    </row>
    <row r="555" spans="1:6" x14ac:dyDescent="0.3">
      <c r="A555">
        <v>2019</v>
      </c>
      <c r="B555" t="s">
        <v>55</v>
      </c>
      <c r="C555" t="s">
        <v>32</v>
      </c>
      <c r="D555" s="1">
        <v>5852</v>
      </c>
      <c r="E555" s="1">
        <v>95939</v>
      </c>
      <c r="F555" s="2">
        <v>64365</v>
      </c>
    </row>
    <row r="556" spans="1:6" x14ac:dyDescent="0.3">
      <c r="A556">
        <v>2019</v>
      </c>
      <c r="B556" t="s">
        <v>55</v>
      </c>
      <c r="C556" t="s">
        <v>33</v>
      </c>
      <c r="D556" s="1">
        <v>4692</v>
      </c>
      <c r="E556" s="1">
        <v>27825</v>
      </c>
      <c r="F556" s="2">
        <v>64868</v>
      </c>
    </row>
    <row r="557" spans="1:6" x14ac:dyDescent="0.3">
      <c r="A557">
        <v>2019</v>
      </c>
      <c r="B557" t="s">
        <v>55</v>
      </c>
      <c r="C557" t="s">
        <v>34</v>
      </c>
      <c r="D557" s="1">
        <v>22556</v>
      </c>
      <c r="E557" s="1">
        <v>159462</v>
      </c>
      <c r="F557" s="2">
        <v>74644</v>
      </c>
    </row>
    <row r="558" spans="1:6" x14ac:dyDescent="0.3">
      <c r="A558">
        <v>2019</v>
      </c>
      <c r="B558" t="s">
        <v>55</v>
      </c>
      <c r="C558" t="s">
        <v>35</v>
      </c>
      <c r="D558" s="1">
        <v>5571</v>
      </c>
      <c r="E558" s="1">
        <v>50153</v>
      </c>
      <c r="F558" s="2">
        <v>52091</v>
      </c>
    </row>
    <row r="559" spans="1:6" x14ac:dyDescent="0.3">
      <c r="A559">
        <v>2019</v>
      </c>
      <c r="B559" t="s">
        <v>55</v>
      </c>
      <c r="C559" t="s">
        <v>36</v>
      </c>
      <c r="D559" s="1">
        <v>50432</v>
      </c>
      <c r="E559" s="1">
        <v>405650</v>
      </c>
      <c r="F559" s="2">
        <v>75570</v>
      </c>
    </row>
    <row r="560" spans="1:6" x14ac:dyDescent="0.3">
      <c r="A560">
        <v>2019</v>
      </c>
      <c r="B560" t="s">
        <v>55</v>
      </c>
      <c r="C560" t="s">
        <v>37</v>
      </c>
      <c r="D560" s="1">
        <v>27974</v>
      </c>
      <c r="E560" s="1">
        <v>231739</v>
      </c>
      <c r="F560" s="2">
        <v>56974</v>
      </c>
    </row>
    <row r="561" spans="1:6" x14ac:dyDescent="0.3">
      <c r="A561">
        <v>2019</v>
      </c>
      <c r="B561" t="s">
        <v>55</v>
      </c>
      <c r="C561" t="s">
        <v>38</v>
      </c>
      <c r="D561" s="1">
        <v>3692</v>
      </c>
      <c r="E561" s="1">
        <v>27961</v>
      </c>
      <c r="F561" s="2">
        <v>68153</v>
      </c>
    </row>
    <row r="562" spans="1:6" x14ac:dyDescent="0.3">
      <c r="A562">
        <v>2019</v>
      </c>
      <c r="B562" t="s">
        <v>55</v>
      </c>
      <c r="C562" t="s">
        <v>39</v>
      </c>
      <c r="D562" s="1">
        <v>23405</v>
      </c>
      <c r="E562" s="1">
        <v>226563</v>
      </c>
      <c r="F562" s="2">
        <v>62383</v>
      </c>
    </row>
    <row r="563" spans="1:6" x14ac:dyDescent="0.3">
      <c r="A563">
        <v>2019</v>
      </c>
      <c r="B563" t="s">
        <v>55</v>
      </c>
      <c r="C563" t="s">
        <v>40</v>
      </c>
      <c r="D563" s="1">
        <v>9801</v>
      </c>
      <c r="E563" s="1">
        <v>82834</v>
      </c>
      <c r="F563" s="2">
        <v>54435</v>
      </c>
    </row>
    <row r="564" spans="1:6" x14ac:dyDescent="0.3">
      <c r="A564">
        <v>2019</v>
      </c>
      <c r="B564" t="s">
        <v>55</v>
      </c>
      <c r="C564" t="s">
        <v>41</v>
      </c>
      <c r="D564" s="1">
        <v>14626</v>
      </c>
      <c r="E564" s="1">
        <v>108871</v>
      </c>
      <c r="F564" s="2">
        <v>63148</v>
      </c>
    </row>
    <row r="565" spans="1:6" x14ac:dyDescent="0.3">
      <c r="A565">
        <v>2019</v>
      </c>
      <c r="B565" t="s">
        <v>55</v>
      </c>
      <c r="C565" t="s">
        <v>42</v>
      </c>
      <c r="D565" s="1">
        <v>29139</v>
      </c>
      <c r="E565" s="1">
        <v>260895</v>
      </c>
      <c r="F565" s="2">
        <v>68612</v>
      </c>
    </row>
    <row r="566" spans="1:6" x14ac:dyDescent="0.3">
      <c r="A566">
        <v>2019</v>
      </c>
      <c r="B566" t="s">
        <v>55</v>
      </c>
      <c r="C566" t="s">
        <v>43</v>
      </c>
      <c r="D566" s="1">
        <v>3833</v>
      </c>
      <c r="E566" s="1">
        <v>19980</v>
      </c>
      <c r="F566" s="2">
        <v>63414</v>
      </c>
    </row>
    <row r="567" spans="1:6" x14ac:dyDescent="0.3">
      <c r="A567">
        <v>2019</v>
      </c>
      <c r="B567" t="s">
        <v>55</v>
      </c>
      <c r="C567" t="s">
        <v>44</v>
      </c>
      <c r="D567" s="1">
        <v>12956</v>
      </c>
      <c r="E567" s="1">
        <v>107028</v>
      </c>
      <c r="F567" s="2">
        <v>55230</v>
      </c>
    </row>
    <row r="568" spans="1:6" x14ac:dyDescent="0.3">
      <c r="A568">
        <v>2019</v>
      </c>
      <c r="B568" t="s">
        <v>55</v>
      </c>
      <c r="C568" t="s">
        <v>45</v>
      </c>
      <c r="D568" s="1">
        <v>3897</v>
      </c>
      <c r="E568" s="1">
        <v>23609</v>
      </c>
      <c r="F568" s="2">
        <v>50997</v>
      </c>
    </row>
    <row r="569" spans="1:6" x14ac:dyDescent="0.3">
      <c r="A569">
        <v>2019</v>
      </c>
      <c r="B569" t="s">
        <v>55</v>
      </c>
      <c r="C569" t="s">
        <v>46</v>
      </c>
      <c r="D569" s="1">
        <v>12487</v>
      </c>
      <c r="E569" s="1">
        <v>130126</v>
      </c>
      <c r="F569" s="2">
        <v>58777</v>
      </c>
    </row>
    <row r="570" spans="1:6" x14ac:dyDescent="0.3">
      <c r="A570">
        <v>2019</v>
      </c>
      <c r="B570" t="s">
        <v>55</v>
      </c>
      <c r="C570" t="s">
        <v>47</v>
      </c>
      <c r="D570" s="1">
        <v>53248</v>
      </c>
      <c r="E570" s="1">
        <v>774190</v>
      </c>
      <c r="F570" s="2">
        <v>67564</v>
      </c>
    </row>
    <row r="571" spans="1:6" x14ac:dyDescent="0.3">
      <c r="A571">
        <v>2019</v>
      </c>
      <c r="B571" t="s">
        <v>55</v>
      </c>
      <c r="C571" t="s">
        <v>48</v>
      </c>
      <c r="D571" s="1">
        <v>12212</v>
      </c>
      <c r="E571" s="1">
        <v>109486</v>
      </c>
      <c r="F571" s="2">
        <v>53428</v>
      </c>
    </row>
    <row r="572" spans="1:6" x14ac:dyDescent="0.3">
      <c r="A572">
        <v>2019</v>
      </c>
      <c r="B572" t="s">
        <v>55</v>
      </c>
      <c r="C572" t="s">
        <v>49</v>
      </c>
      <c r="D572" s="1">
        <v>2846</v>
      </c>
      <c r="E572" s="1">
        <v>15283</v>
      </c>
      <c r="F572" s="2">
        <v>52585</v>
      </c>
    </row>
    <row r="573" spans="1:6" x14ac:dyDescent="0.3">
      <c r="A573">
        <v>2019</v>
      </c>
      <c r="B573" t="s">
        <v>55</v>
      </c>
      <c r="C573" t="s">
        <v>50</v>
      </c>
      <c r="D573" s="1">
        <v>21468</v>
      </c>
      <c r="E573" s="1">
        <v>202134</v>
      </c>
      <c r="F573" s="2">
        <v>60504</v>
      </c>
    </row>
    <row r="574" spans="1:6" x14ac:dyDescent="0.3">
      <c r="A574">
        <v>2019</v>
      </c>
      <c r="B574" t="s">
        <v>55</v>
      </c>
      <c r="C574" t="s">
        <v>51</v>
      </c>
      <c r="D574" s="1">
        <v>26472</v>
      </c>
      <c r="E574" s="1">
        <v>205717</v>
      </c>
      <c r="F574" s="2">
        <v>67833</v>
      </c>
    </row>
    <row r="575" spans="1:6" x14ac:dyDescent="0.3">
      <c r="A575">
        <v>2019</v>
      </c>
      <c r="B575" t="s">
        <v>55</v>
      </c>
      <c r="C575" t="s">
        <v>52</v>
      </c>
      <c r="D575" s="1">
        <v>4338</v>
      </c>
      <c r="E575" s="1">
        <v>35459</v>
      </c>
      <c r="F575" s="2">
        <v>64460</v>
      </c>
    </row>
    <row r="576" spans="1:6" x14ac:dyDescent="0.3">
      <c r="A576">
        <v>2019</v>
      </c>
      <c r="B576" t="s">
        <v>55</v>
      </c>
      <c r="C576" t="s">
        <v>53</v>
      </c>
      <c r="D576" s="1">
        <v>14823</v>
      </c>
      <c r="E576" s="1">
        <v>124384</v>
      </c>
      <c r="F576" s="2">
        <v>63874</v>
      </c>
    </row>
    <row r="577" spans="1:6" x14ac:dyDescent="0.3">
      <c r="A577">
        <v>2019</v>
      </c>
      <c r="B577" t="s">
        <v>55</v>
      </c>
      <c r="C577" t="s">
        <v>54</v>
      </c>
      <c r="D577" s="1">
        <v>3427</v>
      </c>
      <c r="E577" s="1">
        <v>22875</v>
      </c>
      <c r="F577" s="2">
        <v>57417</v>
      </c>
    </row>
    <row r="578" spans="1:6" x14ac:dyDescent="0.3">
      <c r="A578">
        <v>2019</v>
      </c>
      <c r="B578" t="s">
        <v>56</v>
      </c>
      <c r="C578" t="s">
        <v>7</v>
      </c>
      <c r="D578" s="1">
        <v>5677</v>
      </c>
      <c r="E578" s="1">
        <v>268948</v>
      </c>
      <c r="F578" s="2">
        <v>58532</v>
      </c>
    </row>
    <row r="579" spans="1:6" x14ac:dyDescent="0.3">
      <c r="A579">
        <v>2019</v>
      </c>
      <c r="B579" t="s">
        <v>56</v>
      </c>
      <c r="C579" t="s">
        <v>8</v>
      </c>
      <c r="D579" s="1">
        <v>5157</v>
      </c>
      <c r="E579" s="1">
        <v>177610</v>
      </c>
      <c r="F579" s="2">
        <v>78966</v>
      </c>
    </row>
    <row r="580" spans="1:6" x14ac:dyDescent="0.3">
      <c r="A580">
        <v>2019</v>
      </c>
      <c r="B580" t="s">
        <v>56</v>
      </c>
      <c r="C580" t="s">
        <v>9</v>
      </c>
      <c r="D580" s="1">
        <v>2930</v>
      </c>
      <c r="E580" s="1">
        <v>162214</v>
      </c>
      <c r="F580" s="2">
        <v>49202</v>
      </c>
    </row>
    <row r="581" spans="1:6" x14ac:dyDescent="0.3">
      <c r="A581">
        <v>2019</v>
      </c>
      <c r="B581" t="s">
        <v>56</v>
      </c>
      <c r="C581" t="s">
        <v>10</v>
      </c>
      <c r="D581" s="1">
        <v>44539</v>
      </c>
      <c r="E581" s="1">
        <v>1322455</v>
      </c>
      <c r="F581" s="2">
        <v>98222</v>
      </c>
    </row>
    <row r="582" spans="1:6" x14ac:dyDescent="0.3">
      <c r="A582">
        <v>2019</v>
      </c>
      <c r="B582" t="s">
        <v>56</v>
      </c>
      <c r="C582" t="s">
        <v>11</v>
      </c>
      <c r="D582" s="1">
        <v>5849</v>
      </c>
      <c r="E582" s="1">
        <v>150109</v>
      </c>
      <c r="F582" s="2">
        <v>73935</v>
      </c>
    </row>
    <row r="583" spans="1:6" x14ac:dyDescent="0.3">
      <c r="A583">
        <v>2019</v>
      </c>
      <c r="B583" t="s">
        <v>56</v>
      </c>
      <c r="C583" t="s">
        <v>12</v>
      </c>
      <c r="D583" s="1">
        <v>4405</v>
      </c>
      <c r="E583" s="1">
        <v>161899</v>
      </c>
      <c r="F583" s="2">
        <v>85024</v>
      </c>
    </row>
    <row r="584" spans="1:6" x14ac:dyDescent="0.3">
      <c r="A584">
        <v>2019</v>
      </c>
      <c r="B584" t="s">
        <v>56</v>
      </c>
      <c r="C584" t="s">
        <v>13</v>
      </c>
      <c r="D584">
        <v>663</v>
      </c>
      <c r="E584" s="1">
        <v>27298</v>
      </c>
      <c r="F584" s="2">
        <v>66194</v>
      </c>
    </row>
    <row r="585" spans="1:6" x14ac:dyDescent="0.3">
      <c r="A585">
        <v>2019</v>
      </c>
      <c r="B585" t="s">
        <v>56</v>
      </c>
      <c r="C585" t="s">
        <v>14</v>
      </c>
      <c r="D585" s="1">
        <v>20799</v>
      </c>
      <c r="E585" s="1">
        <v>383956</v>
      </c>
      <c r="F585" s="2">
        <v>63877</v>
      </c>
    </row>
    <row r="586" spans="1:6" x14ac:dyDescent="0.3">
      <c r="A586">
        <v>2019</v>
      </c>
      <c r="B586" t="s">
        <v>56</v>
      </c>
      <c r="C586" t="s">
        <v>15</v>
      </c>
      <c r="D586" s="1">
        <v>10066</v>
      </c>
      <c r="E586" s="1">
        <v>404085</v>
      </c>
      <c r="F586" s="2">
        <v>58246</v>
      </c>
    </row>
    <row r="587" spans="1:6" x14ac:dyDescent="0.3">
      <c r="A587">
        <v>2019</v>
      </c>
      <c r="B587" t="s">
        <v>56</v>
      </c>
      <c r="C587" t="s">
        <v>16</v>
      </c>
      <c r="D587" s="1">
        <v>2680</v>
      </c>
      <c r="E587" s="1">
        <v>68404</v>
      </c>
      <c r="F587" s="2">
        <v>62480</v>
      </c>
    </row>
    <row r="588" spans="1:6" x14ac:dyDescent="0.3">
      <c r="A588">
        <v>2019</v>
      </c>
      <c r="B588" t="s">
        <v>56</v>
      </c>
      <c r="C588" t="s">
        <v>17</v>
      </c>
      <c r="D588" s="1">
        <v>18066</v>
      </c>
      <c r="E588" s="1">
        <v>585894</v>
      </c>
      <c r="F588" s="2">
        <v>72819</v>
      </c>
    </row>
    <row r="589" spans="1:6" x14ac:dyDescent="0.3">
      <c r="A589">
        <v>2019</v>
      </c>
      <c r="B589" t="s">
        <v>56</v>
      </c>
      <c r="C589" t="s">
        <v>18</v>
      </c>
      <c r="D589" s="1">
        <v>9083</v>
      </c>
      <c r="E589" s="1">
        <v>541099</v>
      </c>
      <c r="F589" s="2">
        <v>63320</v>
      </c>
    </row>
    <row r="590" spans="1:6" x14ac:dyDescent="0.3">
      <c r="A590">
        <v>2019</v>
      </c>
      <c r="B590" t="s">
        <v>56</v>
      </c>
      <c r="C590" t="s">
        <v>19</v>
      </c>
      <c r="D590" s="1">
        <v>4132</v>
      </c>
      <c r="E590" s="1">
        <v>226152</v>
      </c>
      <c r="F590" s="2">
        <v>60185</v>
      </c>
    </row>
    <row r="591" spans="1:6" x14ac:dyDescent="0.3">
      <c r="A591">
        <v>2019</v>
      </c>
      <c r="B591" t="s">
        <v>56</v>
      </c>
      <c r="C591" t="s">
        <v>20</v>
      </c>
      <c r="D591" s="1">
        <v>3105</v>
      </c>
      <c r="E591" s="1">
        <v>167196</v>
      </c>
      <c r="F591" s="2">
        <v>59652</v>
      </c>
    </row>
    <row r="592" spans="1:6" x14ac:dyDescent="0.3">
      <c r="A592">
        <v>2019</v>
      </c>
      <c r="B592" t="s">
        <v>56</v>
      </c>
      <c r="C592" t="s">
        <v>21</v>
      </c>
      <c r="D592" s="1">
        <v>4583</v>
      </c>
      <c r="E592" s="1">
        <v>252626</v>
      </c>
      <c r="F592" s="2">
        <v>61167</v>
      </c>
    </row>
    <row r="593" spans="1:6" x14ac:dyDescent="0.3">
      <c r="A593">
        <v>2019</v>
      </c>
      <c r="B593" t="s">
        <v>56</v>
      </c>
      <c r="C593" t="s">
        <v>22</v>
      </c>
      <c r="D593" s="1">
        <v>4453</v>
      </c>
      <c r="E593" s="1">
        <v>137729</v>
      </c>
      <c r="F593" s="2">
        <v>77600</v>
      </c>
    </row>
    <row r="594" spans="1:6" x14ac:dyDescent="0.3">
      <c r="A594">
        <v>2019</v>
      </c>
      <c r="B594" t="s">
        <v>56</v>
      </c>
      <c r="C594" t="s">
        <v>23</v>
      </c>
      <c r="D594" s="1">
        <v>1870</v>
      </c>
      <c r="E594" s="1">
        <v>53047</v>
      </c>
      <c r="F594" s="2">
        <v>57227</v>
      </c>
    </row>
    <row r="595" spans="1:6" x14ac:dyDescent="0.3">
      <c r="A595">
        <v>2019</v>
      </c>
      <c r="B595" t="s">
        <v>56</v>
      </c>
      <c r="C595" t="s">
        <v>24</v>
      </c>
      <c r="D595" s="1">
        <v>4145</v>
      </c>
      <c r="E595" s="1">
        <v>112273</v>
      </c>
      <c r="F595" s="2">
        <v>79016</v>
      </c>
    </row>
    <row r="596" spans="1:6" x14ac:dyDescent="0.3">
      <c r="A596">
        <v>2019</v>
      </c>
      <c r="B596" t="s">
        <v>56</v>
      </c>
      <c r="C596" t="s">
        <v>25</v>
      </c>
      <c r="D596" s="1">
        <v>6682</v>
      </c>
      <c r="E596" s="1">
        <v>244258</v>
      </c>
      <c r="F596" s="2">
        <v>89698</v>
      </c>
    </row>
    <row r="597" spans="1:6" x14ac:dyDescent="0.3">
      <c r="A597">
        <v>2019</v>
      </c>
      <c r="B597" t="s">
        <v>56</v>
      </c>
      <c r="C597" t="s">
        <v>26</v>
      </c>
      <c r="D597" s="1">
        <v>16948</v>
      </c>
      <c r="E597" s="1">
        <v>625676</v>
      </c>
      <c r="F597" s="2">
        <v>68465</v>
      </c>
    </row>
    <row r="598" spans="1:6" x14ac:dyDescent="0.3">
      <c r="A598">
        <v>2019</v>
      </c>
      <c r="B598" t="s">
        <v>56</v>
      </c>
      <c r="C598" t="s">
        <v>27</v>
      </c>
      <c r="D598" s="1">
        <v>8265</v>
      </c>
      <c r="E598" s="1">
        <v>324018</v>
      </c>
      <c r="F598" s="2">
        <v>68082</v>
      </c>
    </row>
    <row r="599" spans="1:6" x14ac:dyDescent="0.3">
      <c r="A599">
        <v>2019</v>
      </c>
      <c r="B599" t="s">
        <v>56</v>
      </c>
      <c r="C599" t="s">
        <v>28</v>
      </c>
      <c r="D599" s="1">
        <v>2396</v>
      </c>
      <c r="E599" s="1">
        <v>146775</v>
      </c>
      <c r="F599" s="2">
        <v>50065</v>
      </c>
    </row>
    <row r="600" spans="1:6" x14ac:dyDescent="0.3">
      <c r="A600">
        <v>2019</v>
      </c>
      <c r="B600" t="s">
        <v>56</v>
      </c>
      <c r="C600" t="s">
        <v>29</v>
      </c>
      <c r="D600" s="1">
        <v>6681</v>
      </c>
      <c r="E600" s="1">
        <v>277104</v>
      </c>
      <c r="F600" s="2">
        <v>59758</v>
      </c>
    </row>
    <row r="601" spans="1:6" x14ac:dyDescent="0.3">
      <c r="A601">
        <v>2019</v>
      </c>
      <c r="B601" t="s">
        <v>56</v>
      </c>
      <c r="C601" t="s">
        <v>30</v>
      </c>
      <c r="D601" s="1">
        <v>1625</v>
      </c>
      <c r="E601" s="1">
        <v>20972</v>
      </c>
      <c r="F601" s="2">
        <v>51666</v>
      </c>
    </row>
    <row r="602" spans="1:6" x14ac:dyDescent="0.3">
      <c r="A602">
        <v>2019</v>
      </c>
      <c r="B602" t="s">
        <v>56</v>
      </c>
      <c r="C602" t="s">
        <v>31</v>
      </c>
      <c r="D602" s="1">
        <v>1974</v>
      </c>
      <c r="E602" s="1">
        <v>99914</v>
      </c>
      <c r="F602" s="2">
        <v>52716</v>
      </c>
    </row>
    <row r="603" spans="1:6" x14ac:dyDescent="0.3">
      <c r="A603">
        <v>2019</v>
      </c>
      <c r="B603" t="s">
        <v>56</v>
      </c>
      <c r="C603" t="s">
        <v>32</v>
      </c>
      <c r="D603" s="1">
        <v>2069</v>
      </c>
      <c r="E603" s="1">
        <v>59279</v>
      </c>
      <c r="F603" s="2">
        <v>59498</v>
      </c>
    </row>
    <row r="604" spans="1:6" x14ac:dyDescent="0.3">
      <c r="A604">
        <v>2019</v>
      </c>
      <c r="B604" t="s">
        <v>56</v>
      </c>
      <c r="C604" t="s">
        <v>33</v>
      </c>
      <c r="D604" s="1">
        <v>2012</v>
      </c>
      <c r="E604" s="1">
        <v>71459</v>
      </c>
      <c r="F604" s="2">
        <v>73007</v>
      </c>
    </row>
    <row r="605" spans="1:6" x14ac:dyDescent="0.3">
      <c r="A605">
        <v>2019</v>
      </c>
      <c r="B605" t="s">
        <v>56</v>
      </c>
      <c r="C605" t="s">
        <v>34</v>
      </c>
      <c r="D605" s="1">
        <v>8994</v>
      </c>
      <c r="E605" s="1">
        <v>249464</v>
      </c>
      <c r="F605" s="2">
        <v>81649</v>
      </c>
    </row>
    <row r="606" spans="1:6" x14ac:dyDescent="0.3">
      <c r="A606">
        <v>2019</v>
      </c>
      <c r="B606" t="s">
        <v>56</v>
      </c>
      <c r="C606" t="s">
        <v>35</v>
      </c>
      <c r="D606" s="1">
        <v>1810</v>
      </c>
      <c r="E606" s="1">
        <v>28514</v>
      </c>
      <c r="F606" s="2">
        <v>55737</v>
      </c>
    </row>
    <row r="607" spans="1:6" x14ac:dyDescent="0.3">
      <c r="A607">
        <v>2019</v>
      </c>
      <c r="B607" t="s">
        <v>56</v>
      </c>
      <c r="C607" t="s">
        <v>36</v>
      </c>
      <c r="D607" s="1">
        <v>16457</v>
      </c>
      <c r="E607" s="1">
        <v>437040</v>
      </c>
      <c r="F607" s="2">
        <v>69154</v>
      </c>
    </row>
    <row r="608" spans="1:6" x14ac:dyDescent="0.3">
      <c r="A608">
        <v>2019</v>
      </c>
      <c r="B608" t="s">
        <v>56</v>
      </c>
      <c r="C608" t="s">
        <v>37</v>
      </c>
      <c r="D608" s="1">
        <v>10247</v>
      </c>
      <c r="E608" s="1">
        <v>477086</v>
      </c>
      <c r="F608" s="2">
        <v>61095</v>
      </c>
    </row>
    <row r="609" spans="1:6" x14ac:dyDescent="0.3">
      <c r="A609">
        <v>2019</v>
      </c>
      <c r="B609" t="s">
        <v>56</v>
      </c>
      <c r="C609" t="s">
        <v>38</v>
      </c>
      <c r="D609">
        <v>808</v>
      </c>
      <c r="E609" s="1">
        <v>26471</v>
      </c>
      <c r="F609" s="2">
        <v>55179</v>
      </c>
    </row>
    <row r="610" spans="1:6" x14ac:dyDescent="0.3">
      <c r="A610">
        <v>2019</v>
      </c>
      <c r="B610" t="s">
        <v>56</v>
      </c>
      <c r="C610" t="s">
        <v>39</v>
      </c>
      <c r="D610" s="1">
        <v>15486</v>
      </c>
      <c r="E610" s="1">
        <v>700786</v>
      </c>
      <c r="F610" s="2">
        <v>62878</v>
      </c>
    </row>
    <row r="611" spans="1:6" x14ac:dyDescent="0.3">
      <c r="A611">
        <v>2019</v>
      </c>
      <c r="B611" t="s">
        <v>56</v>
      </c>
      <c r="C611" t="s">
        <v>40</v>
      </c>
      <c r="D611" s="1">
        <v>4213</v>
      </c>
      <c r="E611" s="1">
        <v>140812</v>
      </c>
      <c r="F611" s="2">
        <v>59951</v>
      </c>
    </row>
    <row r="612" spans="1:6" x14ac:dyDescent="0.3">
      <c r="A612">
        <v>2019</v>
      </c>
      <c r="B612" t="s">
        <v>56</v>
      </c>
      <c r="C612" t="s">
        <v>41</v>
      </c>
      <c r="D612" s="1">
        <v>6396</v>
      </c>
      <c r="E612" s="1">
        <v>197626</v>
      </c>
      <c r="F612" s="2">
        <v>71436</v>
      </c>
    </row>
    <row r="613" spans="1:6" x14ac:dyDescent="0.3">
      <c r="A613">
        <v>2019</v>
      </c>
      <c r="B613" t="s">
        <v>56</v>
      </c>
      <c r="C613" t="s">
        <v>42</v>
      </c>
      <c r="D613" s="1">
        <v>14432</v>
      </c>
      <c r="E613" s="1">
        <v>574751</v>
      </c>
      <c r="F613" s="2">
        <v>64231</v>
      </c>
    </row>
    <row r="614" spans="1:6" x14ac:dyDescent="0.3">
      <c r="A614">
        <v>2019</v>
      </c>
      <c r="B614" t="s">
        <v>56</v>
      </c>
      <c r="C614" t="s">
        <v>43</v>
      </c>
      <c r="D614" s="1">
        <v>1636</v>
      </c>
      <c r="E614" s="1">
        <v>39736</v>
      </c>
      <c r="F614" s="2">
        <v>60286</v>
      </c>
    </row>
    <row r="615" spans="1:6" x14ac:dyDescent="0.3">
      <c r="A615">
        <v>2019</v>
      </c>
      <c r="B615" t="s">
        <v>56</v>
      </c>
      <c r="C615" t="s">
        <v>44</v>
      </c>
      <c r="D615" s="1">
        <v>6414</v>
      </c>
      <c r="E615" s="1">
        <v>258252</v>
      </c>
      <c r="F615" s="2">
        <v>60850</v>
      </c>
    </row>
    <row r="616" spans="1:6" x14ac:dyDescent="0.3">
      <c r="A616">
        <v>2019</v>
      </c>
      <c r="B616" t="s">
        <v>56</v>
      </c>
      <c r="C616" t="s">
        <v>45</v>
      </c>
      <c r="D616" s="1">
        <v>1067</v>
      </c>
      <c r="E616" s="1">
        <v>44972</v>
      </c>
      <c r="F616" s="2">
        <v>50219</v>
      </c>
    </row>
    <row r="617" spans="1:6" x14ac:dyDescent="0.3">
      <c r="A617">
        <v>2019</v>
      </c>
      <c r="B617" t="s">
        <v>56</v>
      </c>
      <c r="C617" t="s">
        <v>46</v>
      </c>
      <c r="D617" s="1">
        <v>7272</v>
      </c>
      <c r="E617" s="1">
        <v>354961</v>
      </c>
      <c r="F617" s="2">
        <v>60305</v>
      </c>
    </row>
    <row r="618" spans="1:6" x14ac:dyDescent="0.3">
      <c r="A618">
        <v>2019</v>
      </c>
      <c r="B618" t="s">
        <v>56</v>
      </c>
      <c r="C618" t="s">
        <v>47</v>
      </c>
      <c r="D618" s="1">
        <v>25577</v>
      </c>
      <c r="E618" s="1">
        <v>905953</v>
      </c>
      <c r="F618" s="2">
        <v>79766</v>
      </c>
    </row>
    <row r="619" spans="1:6" x14ac:dyDescent="0.3">
      <c r="A619">
        <v>2019</v>
      </c>
      <c r="B619" t="s">
        <v>56</v>
      </c>
      <c r="C619" t="s">
        <v>48</v>
      </c>
      <c r="D619" s="1">
        <v>4547</v>
      </c>
      <c r="E619" s="1">
        <v>136085</v>
      </c>
      <c r="F619" s="2">
        <v>59426</v>
      </c>
    </row>
    <row r="620" spans="1:6" x14ac:dyDescent="0.3">
      <c r="A620">
        <v>2019</v>
      </c>
      <c r="B620" t="s">
        <v>56</v>
      </c>
      <c r="C620" t="s">
        <v>49</v>
      </c>
      <c r="D620" s="1">
        <v>1108</v>
      </c>
      <c r="E620" s="1">
        <v>30091</v>
      </c>
      <c r="F620" s="2">
        <v>60807</v>
      </c>
    </row>
    <row r="621" spans="1:6" x14ac:dyDescent="0.3">
      <c r="A621">
        <v>2019</v>
      </c>
      <c r="B621" t="s">
        <v>56</v>
      </c>
      <c r="C621" t="s">
        <v>50</v>
      </c>
      <c r="D621" s="1">
        <v>6864</v>
      </c>
      <c r="E621" s="1">
        <v>242160</v>
      </c>
      <c r="F621" s="2">
        <v>61341</v>
      </c>
    </row>
    <row r="622" spans="1:6" x14ac:dyDescent="0.3">
      <c r="A622">
        <v>2019</v>
      </c>
      <c r="B622" t="s">
        <v>56</v>
      </c>
      <c r="C622" t="s">
        <v>51</v>
      </c>
      <c r="D622" s="1">
        <v>7824</v>
      </c>
      <c r="E622" s="1">
        <v>290326</v>
      </c>
      <c r="F622" s="2">
        <v>81228</v>
      </c>
    </row>
    <row r="623" spans="1:6" x14ac:dyDescent="0.3">
      <c r="A623">
        <v>2019</v>
      </c>
      <c r="B623" t="s">
        <v>56</v>
      </c>
      <c r="C623" t="s">
        <v>52</v>
      </c>
      <c r="D623" s="1">
        <v>1251</v>
      </c>
      <c r="E623" s="1">
        <v>46979</v>
      </c>
      <c r="F623" s="2">
        <v>61074</v>
      </c>
    </row>
    <row r="624" spans="1:6" x14ac:dyDescent="0.3">
      <c r="A624">
        <v>2019</v>
      </c>
      <c r="B624" t="s">
        <v>56</v>
      </c>
      <c r="C624" t="s">
        <v>53</v>
      </c>
      <c r="D624" s="1">
        <v>9333</v>
      </c>
      <c r="E624" s="1">
        <v>483196</v>
      </c>
      <c r="F624" s="2">
        <v>59083</v>
      </c>
    </row>
    <row r="625" spans="1:6" x14ac:dyDescent="0.3">
      <c r="A625">
        <v>2019</v>
      </c>
      <c r="B625" t="s">
        <v>56</v>
      </c>
      <c r="C625" t="s">
        <v>54</v>
      </c>
      <c r="D625">
        <v>615</v>
      </c>
      <c r="E625" s="1">
        <v>10043</v>
      </c>
      <c r="F625" s="2">
        <v>68738</v>
      </c>
    </row>
    <row r="626" spans="1:6" x14ac:dyDescent="0.3">
      <c r="A626">
        <v>2019</v>
      </c>
      <c r="B626" t="s">
        <v>57</v>
      </c>
      <c r="C626" t="s">
        <v>7</v>
      </c>
      <c r="D626" s="1">
        <v>32423</v>
      </c>
      <c r="E626" s="1">
        <v>380193</v>
      </c>
      <c r="F626" s="2">
        <v>43426</v>
      </c>
    </row>
    <row r="627" spans="1:6" x14ac:dyDescent="0.3">
      <c r="A627">
        <v>2019</v>
      </c>
      <c r="B627" t="s">
        <v>57</v>
      </c>
      <c r="C627" t="s">
        <v>8</v>
      </c>
      <c r="D627" s="1">
        <v>33190</v>
      </c>
      <c r="E627" s="1">
        <v>541793</v>
      </c>
      <c r="F627" s="2">
        <v>48023</v>
      </c>
    </row>
    <row r="628" spans="1:6" x14ac:dyDescent="0.3">
      <c r="A628">
        <v>2019</v>
      </c>
      <c r="B628" t="s">
        <v>57</v>
      </c>
      <c r="C628" t="s">
        <v>9</v>
      </c>
      <c r="D628" s="1">
        <v>21821</v>
      </c>
      <c r="E628" s="1">
        <v>248631</v>
      </c>
      <c r="F628" s="2">
        <v>42897</v>
      </c>
    </row>
    <row r="629" spans="1:6" x14ac:dyDescent="0.3">
      <c r="A629">
        <v>2019</v>
      </c>
      <c r="B629" t="s">
        <v>57</v>
      </c>
      <c r="C629" t="s">
        <v>10</v>
      </c>
      <c r="D629" s="1">
        <v>198955</v>
      </c>
      <c r="E629" s="1">
        <v>3042089</v>
      </c>
      <c r="F629" s="2">
        <v>54908</v>
      </c>
    </row>
    <row r="630" spans="1:6" x14ac:dyDescent="0.3">
      <c r="A630">
        <v>2019</v>
      </c>
      <c r="B630" t="s">
        <v>57</v>
      </c>
      <c r="C630" t="s">
        <v>11</v>
      </c>
      <c r="D630" s="1">
        <v>36041</v>
      </c>
      <c r="E630" s="1">
        <v>474011</v>
      </c>
      <c r="F630" s="2">
        <v>52675</v>
      </c>
    </row>
    <row r="631" spans="1:6" x14ac:dyDescent="0.3">
      <c r="A631">
        <v>2019</v>
      </c>
      <c r="B631" t="s">
        <v>57</v>
      </c>
      <c r="C631" t="s">
        <v>12</v>
      </c>
      <c r="D631" s="1">
        <v>24868</v>
      </c>
      <c r="E631" s="1">
        <v>291966</v>
      </c>
      <c r="F631" s="2">
        <v>52540</v>
      </c>
    </row>
    <row r="632" spans="1:6" x14ac:dyDescent="0.3">
      <c r="A632">
        <v>2019</v>
      </c>
      <c r="B632" t="s">
        <v>57</v>
      </c>
      <c r="C632" t="s">
        <v>13</v>
      </c>
      <c r="D632" s="1">
        <v>7005</v>
      </c>
      <c r="E632" s="1">
        <v>79487</v>
      </c>
      <c r="F632" s="2">
        <v>42440</v>
      </c>
    </row>
    <row r="633" spans="1:6" x14ac:dyDescent="0.3">
      <c r="A633">
        <v>2019</v>
      </c>
      <c r="B633" t="s">
        <v>57</v>
      </c>
      <c r="C633" t="s">
        <v>14</v>
      </c>
      <c r="D633" s="1">
        <v>140278</v>
      </c>
      <c r="E633" s="1">
        <v>1799930</v>
      </c>
      <c r="F633" s="2">
        <v>46232</v>
      </c>
    </row>
    <row r="634" spans="1:6" x14ac:dyDescent="0.3">
      <c r="A634">
        <v>2019</v>
      </c>
      <c r="B634" t="s">
        <v>57</v>
      </c>
      <c r="C634" t="s">
        <v>15</v>
      </c>
      <c r="D634" s="1">
        <v>61774</v>
      </c>
      <c r="E634" s="1">
        <v>938063</v>
      </c>
      <c r="F634" s="2">
        <v>49817</v>
      </c>
    </row>
    <row r="635" spans="1:6" x14ac:dyDescent="0.3">
      <c r="A635">
        <v>2019</v>
      </c>
      <c r="B635" t="s">
        <v>57</v>
      </c>
      <c r="C635" t="s">
        <v>16</v>
      </c>
      <c r="D635" s="1">
        <v>11892</v>
      </c>
      <c r="E635" s="1">
        <v>142186</v>
      </c>
      <c r="F635" s="2">
        <v>41533</v>
      </c>
    </row>
    <row r="636" spans="1:6" x14ac:dyDescent="0.3">
      <c r="A636">
        <v>2019</v>
      </c>
      <c r="B636" t="s">
        <v>57</v>
      </c>
      <c r="C636" t="s">
        <v>17</v>
      </c>
      <c r="D636" s="1">
        <v>78822</v>
      </c>
      <c r="E636" s="1">
        <v>1187941</v>
      </c>
      <c r="F636" s="2">
        <v>53573</v>
      </c>
    </row>
    <row r="637" spans="1:6" x14ac:dyDescent="0.3">
      <c r="A637">
        <v>2019</v>
      </c>
      <c r="B637" t="s">
        <v>57</v>
      </c>
      <c r="C637" t="s">
        <v>18</v>
      </c>
      <c r="D637" s="1">
        <v>40283</v>
      </c>
      <c r="E637" s="1">
        <v>594348</v>
      </c>
      <c r="F637" s="2">
        <v>43345</v>
      </c>
    </row>
    <row r="638" spans="1:6" x14ac:dyDescent="0.3">
      <c r="A638">
        <v>2019</v>
      </c>
      <c r="B638" t="s">
        <v>57</v>
      </c>
      <c r="C638" t="s">
        <v>19</v>
      </c>
      <c r="D638" s="1">
        <v>23557</v>
      </c>
      <c r="E638" s="1">
        <v>307822</v>
      </c>
      <c r="F638" s="2">
        <v>41407</v>
      </c>
    </row>
    <row r="639" spans="1:6" x14ac:dyDescent="0.3">
      <c r="A639">
        <v>2019</v>
      </c>
      <c r="B639" t="s">
        <v>57</v>
      </c>
      <c r="C639" t="s">
        <v>20</v>
      </c>
      <c r="D639" s="1">
        <v>19844</v>
      </c>
      <c r="E639" s="1">
        <v>262383</v>
      </c>
      <c r="F639" s="2">
        <v>43539</v>
      </c>
    </row>
    <row r="640" spans="1:6" x14ac:dyDescent="0.3">
      <c r="A640">
        <v>2019</v>
      </c>
      <c r="B640" t="s">
        <v>57</v>
      </c>
      <c r="C640" t="s">
        <v>21</v>
      </c>
      <c r="D640" s="1">
        <v>27892</v>
      </c>
      <c r="E640" s="1">
        <v>401804</v>
      </c>
      <c r="F640" s="2">
        <v>44163</v>
      </c>
    </row>
    <row r="641" spans="1:6" x14ac:dyDescent="0.3">
      <c r="A641">
        <v>2019</v>
      </c>
      <c r="B641" t="s">
        <v>57</v>
      </c>
      <c r="C641" t="s">
        <v>22</v>
      </c>
      <c r="D641" s="1">
        <v>30876</v>
      </c>
      <c r="E641" s="1">
        <v>376026</v>
      </c>
      <c r="F641" s="2">
        <v>43579</v>
      </c>
    </row>
    <row r="642" spans="1:6" x14ac:dyDescent="0.3">
      <c r="A642">
        <v>2019</v>
      </c>
      <c r="B642" t="s">
        <v>57</v>
      </c>
      <c r="C642" t="s">
        <v>23</v>
      </c>
      <c r="D642" s="1">
        <v>10676</v>
      </c>
      <c r="E642" s="1">
        <v>117746</v>
      </c>
      <c r="F642" s="2">
        <v>39115</v>
      </c>
    </row>
    <row r="643" spans="1:6" x14ac:dyDescent="0.3">
      <c r="A643">
        <v>2019</v>
      </c>
      <c r="B643" t="s">
        <v>57</v>
      </c>
      <c r="C643" t="s">
        <v>24</v>
      </c>
      <c r="D643" s="1">
        <v>32640</v>
      </c>
      <c r="E643" s="1">
        <v>463647</v>
      </c>
      <c r="F643" s="2">
        <v>47503</v>
      </c>
    </row>
    <row r="644" spans="1:6" x14ac:dyDescent="0.3">
      <c r="A644">
        <v>2019</v>
      </c>
      <c r="B644" t="s">
        <v>57</v>
      </c>
      <c r="C644" t="s">
        <v>25</v>
      </c>
      <c r="D644" s="1">
        <v>41620</v>
      </c>
      <c r="E644" s="1">
        <v>577282</v>
      </c>
      <c r="F644" s="2">
        <v>55423</v>
      </c>
    </row>
    <row r="645" spans="1:6" x14ac:dyDescent="0.3">
      <c r="A645">
        <v>2019</v>
      </c>
      <c r="B645" t="s">
        <v>57</v>
      </c>
      <c r="C645" t="s">
        <v>26</v>
      </c>
      <c r="D645" s="1">
        <v>55150</v>
      </c>
      <c r="E645" s="1">
        <v>791177</v>
      </c>
      <c r="F645" s="2">
        <v>48357</v>
      </c>
    </row>
    <row r="646" spans="1:6" x14ac:dyDescent="0.3">
      <c r="A646">
        <v>2019</v>
      </c>
      <c r="B646" t="s">
        <v>57</v>
      </c>
      <c r="C646" t="s">
        <v>27</v>
      </c>
      <c r="D646" s="1">
        <v>37323</v>
      </c>
      <c r="E646" s="1">
        <v>525857</v>
      </c>
      <c r="F646" s="2">
        <v>50523</v>
      </c>
    </row>
    <row r="647" spans="1:6" x14ac:dyDescent="0.3">
      <c r="A647">
        <v>2019</v>
      </c>
      <c r="B647" t="s">
        <v>57</v>
      </c>
      <c r="C647" t="s">
        <v>28</v>
      </c>
      <c r="D647" s="1">
        <v>19568</v>
      </c>
      <c r="E647" s="1">
        <v>229039</v>
      </c>
      <c r="F647" s="2">
        <v>37621</v>
      </c>
    </row>
    <row r="648" spans="1:6" x14ac:dyDescent="0.3">
      <c r="A648">
        <v>2019</v>
      </c>
      <c r="B648" t="s">
        <v>57</v>
      </c>
      <c r="C648" t="s">
        <v>29</v>
      </c>
      <c r="D648" s="1">
        <v>39400</v>
      </c>
      <c r="E648" s="1">
        <v>536753</v>
      </c>
      <c r="F648" s="2">
        <v>43646</v>
      </c>
    </row>
    <row r="649" spans="1:6" x14ac:dyDescent="0.3">
      <c r="A649">
        <v>2019</v>
      </c>
      <c r="B649" t="s">
        <v>57</v>
      </c>
      <c r="C649" t="s">
        <v>30</v>
      </c>
      <c r="D649" s="1">
        <v>9112</v>
      </c>
      <c r="E649" s="1">
        <v>90946</v>
      </c>
      <c r="F649" s="2">
        <v>40937</v>
      </c>
    </row>
    <row r="650" spans="1:6" x14ac:dyDescent="0.3">
      <c r="A650">
        <v>2019</v>
      </c>
      <c r="B650" t="s">
        <v>57</v>
      </c>
      <c r="C650" t="s">
        <v>31</v>
      </c>
      <c r="D650" s="1">
        <v>14969</v>
      </c>
      <c r="E650" s="1">
        <v>188094</v>
      </c>
      <c r="F650" s="2">
        <v>41557</v>
      </c>
    </row>
    <row r="651" spans="1:6" x14ac:dyDescent="0.3">
      <c r="A651">
        <v>2019</v>
      </c>
      <c r="B651" t="s">
        <v>57</v>
      </c>
      <c r="C651" t="s">
        <v>32</v>
      </c>
      <c r="D651" s="1">
        <v>15866</v>
      </c>
      <c r="E651" s="1">
        <v>261018</v>
      </c>
      <c r="F651" s="2">
        <v>45452</v>
      </c>
    </row>
    <row r="652" spans="1:6" x14ac:dyDescent="0.3">
      <c r="A652">
        <v>2019</v>
      </c>
      <c r="B652" t="s">
        <v>57</v>
      </c>
      <c r="C652" t="s">
        <v>33</v>
      </c>
      <c r="D652" s="1">
        <v>12448</v>
      </c>
      <c r="E652" s="1">
        <v>139278</v>
      </c>
      <c r="F652" s="2">
        <v>49409</v>
      </c>
    </row>
    <row r="653" spans="1:6" x14ac:dyDescent="0.3">
      <c r="A653">
        <v>2019</v>
      </c>
      <c r="B653" t="s">
        <v>57</v>
      </c>
      <c r="C653" t="s">
        <v>34</v>
      </c>
      <c r="D653" s="1">
        <v>54227</v>
      </c>
      <c r="E653" s="1">
        <v>876452</v>
      </c>
      <c r="F653" s="2">
        <v>55204</v>
      </c>
    </row>
    <row r="654" spans="1:6" x14ac:dyDescent="0.3">
      <c r="A654">
        <v>2019</v>
      </c>
      <c r="B654" t="s">
        <v>57</v>
      </c>
      <c r="C654" t="s">
        <v>35</v>
      </c>
      <c r="D654" s="1">
        <v>10974</v>
      </c>
      <c r="E654" s="1">
        <v>135131</v>
      </c>
      <c r="F654" s="2">
        <v>39275</v>
      </c>
    </row>
    <row r="655" spans="1:6" x14ac:dyDescent="0.3">
      <c r="A655">
        <v>2019</v>
      </c>
      <c r="B655" t="s">
        <v>57</v>
      </c>
      <c r="C655" t="s">
        <v>36</v>
      </c>
      <c r="D655" s="1">
        <v>120950</v>
      </c>
      <c r="E655" s="1">
        <v>1543991</v>
      </c>
      <c r="F655" s="2">
        <v>53710</v>
      </c>
    </row>
    <row r="656" spans="1:6" x14ac:dyDescent="0.3">
      <c r="A656">
        <v>2019</v>
      </c>
      <c r="B656" t="s">
        <v>57</v>
      </c>
      <c r="C656" t="s">
        <v>37</v>
      </c>
      <c r="D656" s="1">
        <v>62397</v>
      </c>
      <c r="E656" s="1">
        <v>846177</v>
      </c>
      <c r="F656" s="2">
        <v>44579</v>
      </c>
    </row>
    <row r="657" spans="1:6" x14ac:dyDescent="0.3">
      <c r="A657">
        <v>2019</v>
      </c>
      <c r="B657" t="s">
        <v>57</v>
      </c>
      <c r="C657" t="s">
        <v>38</v>
      </c>
      <c r="D657" s="1">
        <v>7738</v>
      </c>
      <c r="E657" s="1">
        <v>91333</v>
      </c>
      <c r="F657" s="2">
        <v>51925</v>
      </c>
    </row>
    <row r="658" spans="1:6" x14ac:dyDescent="0.3">
      <c r="A658">
        <v>2019</v>
      </c>
      <c r="B658" t="s">
        <v>57</v>
      </c>
      <c r="C658" t="s">
        <v>39</v>
      </c>
      <c r="D658" s="1">
        <v>68958</v>
      </c>
      <c r="E658" s="1">
        <v>1021890</v>
      </c>
      <c r="F658" s="2">
        <v>45569</v>
      </c>
    </row>
    <row r="659" spans="1:6" x14ac:dyDescent="0.3">
      <c r="A659">
        <v>2019</v>
      </c>
      <c r="B659" t="s">
        <v>57</v>
      </c>
      <c r="C659" t="s">
        <v>40</v>
      </c>
      <c r="D659" s="1">
        <v>23883</v>
      </c>
      <c r="E659" s="1">
        <v>300268</v>
      </c>
      <c r="F659" s="2">
        <v>43049</v>
      </c>
    </row>
    <row r="660" spans="1:6" x14ac:dyDescent="0.3">
      <c r="A660">
        <v>2019</v>
      </c>
      <c r="B660" t="s">
        <v>57</v>
      </c>
      <c r="C660" t="s">
        <v>41</v>
      </c>
      <c r="D660" s="1">
        <v>26460</v>
      </c>
      <c r="E660" s="1">
        <v>354168</v>
      </c>
      <c r="F660" s="2">
        <v>45879</v>
      </c>
    </row>
    <row r="661" spans="1:6" x14ac:dyDescent="0.3">
      <c r="A661">
        <v>2019</v>
      </c>
      <c r="B661" t="s">
        <v>57</v>
      </c>
      <c r="C661" t="s">
        <v>42</v>
      </c>
      <c r="D661" s="1">
        <v>74684</v>
      </c>
      <c r="E661" s="1">
        <v>1117033</v>
      </c>
      <c r="F661" s="2">
        <v>46296</v>
      </c>
    </row>
    <row r="662" spans="1:6" x14ac:dyDescent="0.3">
      <c r="A662">
        <v>2019</v>
      </c>
      <c r="B662" t="s">
        <v>57</v>
      </c>
      <c r="C662" t="s">
        <v>43</v>
      </c>
      <c r="D662" s="1">
        <v>7648</v>
      </c>
      <c r="E662" s="1">
        <v>76672</v>
      </c>
      <c r="F662" s="2">
        <v>45232</v>
      </c>
    </row>
    <row r="663" spans="1:6" x14ac:dyDescent="0.3">
      <c r="A663">
        <v>2019</v>
      </c>
      <c r="B663" t="s">
        <v>57</v>
      </c>
      <c r="C663" t="s">
        <v>44</v>
      </c>
      <c r="D663" s="1">
        <v>31073</v>
      </c>
      <c r="E663" s="1">
        <v>406455</v>
      </c>
      <c r="F663" s="2">
        <v>41048</v>
      </c>
    </row>
    <row r="664" spans="1:6" x14ac:dyDescent="0.3">
      <c r="A664">
        <v>2019</v>
      </c>
      <c r="B664" t="s">
        <v>57</v>
      </c>
      <c r="C664" t="s">
        <v>45</v>
      </c>
      <c r="D664" s="1">
        <v>8027</v>
      </c>
      <c r="E664" s="1">
        <v>85125</v>
      </c>
      <c r="F664" s="2">
        <v>40980</v>
      </c>
    </row>
    <row r="665" spans="1:6" x14ac:dyDescent="0.3">
      <c r="A665">
        <v>2019</v>
      </c>
      <c r="B665" t="s">
        <v>57</v>
      </c>
      <c r="C665" t="s">
        <v>46</v>
      </c>
      <c r="D665" s="1">
        <v>40380</v>
      </c>
      <c r="E665" s="1">
        <v>633819</v>
      </c>
      <c r="F665" s="2">
        <v>46991</v>
      </c>
    </row>
    <row r="666" spans="1:6" x14ac:dyDescent="0.3">
      <c r="A666">
        <v>2019</v>
      </c>
      <c r="B666" t="s">
        <v>57</v>
      </c>
      <c r="C666" t="s">
        <v>47</v>
      </c>
      <c r="D666" s="1">
        <v>150310</v>
      </c>
      <c r="E666" s="1">
        <v>2496193</v>
      </c>
      <c r="F666" s="2">
        <v>54323</v>
      </c>
    </row>
    <row r="667" spans="1:6" x14ac:dyDescent="0.3">
      <c r="A667">
        <v>2019</v>
      </c>
      <c r="B667" t="s">
        <v>57</v>
      </c>
      <c r="C667" t="s">
        <v>48</v>
      </c>
      <c r="D667" s="1">
        <v>20066</v>
      </c>
      <c r="E667" s="1">
        <v>289140</v>
      </c>
      <c r="F667" s="2">
        <v>45785</v>
      </c>
    </row>
    <row r="668" spans="1:6" x14ac:dyDescent="0.3">
      <c r="A668">
        <v>2019</v>
      </c>
      <c r="B668" t="s">
        <v>57</v>
      </c>
      <c r="C668" t="s">
        <v>49</v>
      </c>
      <c r="D668" s="1">
        <v>5040</v>
      </c>
      <c r="E668" s="1">
        <v>53817</v>
      </c>
      <c r="F668" s="2">
        <v>41456</v>
      </c>
    </row>
    <row r="669" spans="1:6" x14ac:dyDescent="0.3">
      <c r="A669">
        <v>2019</v>
      </c>
      <c r="B669" t="s">
        <v>57</v>
      </c>
      <c r="C669" t="s">
        <v>50</v>
      </c>
      <c r="D669" s="1">
        <v>42839</v>
      </c>
      <c r="E669" s="1">
        <v>650148</v>
      </c>
      <c r="F669" s="2">
        <v>45486</v>
      </c>
    </row>
    <row r="670" spans="1:6" x14ac:dyDescent="0.3">
      <c r="A670">
        <v>2019</v>
      </c>
      <c r="B670" t="s">
        <v>57</v>
      </c>
      <c r="C670" t="s">
        <v>51</v>
      </c>
      <c r="D670" s="1">
        <v>38692</v>
      </c>
      <c r="E670" s="1">
        <v>628543</v>
      </c>
      <c r="F670" s="2">
        <v>67312</v>
      </c>
    </row>
    <row r="671" spans="1:6" x14ac:dyDescent="0.3">
      <c r="A671">
        <v>2019</v>
      </c>
      <c r="B671" t="s">
        <v>57</v>
      </c>
      <c r="C671" t="s">
        <v>52</v>
      </c>
      <c r="D671" s="1">
        <v>10709</v>
      </c>
      <c r="E671" s="1">
        <v>125470</v>
      </c>
      <c r="F671" s="2">
        <v>40148</v>
      </c>
    </row>
    <row r="672" spans="1:6" x14ac:dyDescent="0.3">
      <c r="A672">
        <v>2019</v>
      </c>
      <c r="B672" t="s">
        <v>57</v>
      </c>
      <c r="C672" t="s">
        <v>53</v>
      </c>
      <c r="D672" s="1">
        <v>36253</v>
      </c>
      <c r="E672" s="1">
        <v>533175</v>
      </c>
      <c r="F672" s="2">
        <v>42647</v>
      </c>
    </row>
    <row r="673" spans="1:6" x14ac:dyDescent="0.3">
      <c r="A673">
        <v>2019</v>
      </c>
      <c r="B673" t="s">
        <v>57</v>
      </c>
      <c r="C673" t="s">
        <v>54</v>
      </c>
      <c r="D673" s="1">
        <v>4819</v>
      </c>
      <c r="E673" s="1">
        <v>49901</v>
      </c>
      <c r="F673" s="2">
        <v>44408</v>
      </c>
    </row>
    <row r="674" spans="1:6" x14ac:dyDescent="0.3">
      <c r="A674">
        <v>2019</v>
      </c>
      <c r="B674" t="s">
        <v>58</v>
      </c>
      <c r="C674" t="s">
        <v>7</v>
      </c>
      <c r="D674" s="1">
        <v>2309</v>
      </c>
      <c r="E674" s="1">
        <v>21296</v>
      </c>
      <c r="F674" s="2">
        <v>62845</v>
      </c>
    </row>
    <row r="675" spans="1:6" x14ac:dyDescent="0.3">
      <c r="A675">
        <v>2019</v>
      </c>
      <c r="B675" t="s">
        <v>58</v>
      </c>
      <c r="C675" t="s">
        <v>8</v>
      </c>
      <c r="D675" s="1">
        <v>3691</v>
      </c>
      <c r="E675" s="1">
        <v>49188</v>
      </c>
      <c r="F675" s="2">
        <v>77822</v>
      </c>
    </row>
    <row r="676" spans="1:6" x14ac:dyDescent="0.3">
      <c r="A676">
        <v>2019</v>
      </c>
      <c r="B676" t="s">
        <v>58</v>
      </c>
      <c r="C676" t="s">
        <v>9</v>
      </c>
      <c r="D676" s="1">
        <v>1303</v>
      </c>
      <c r="E676" s="1">
        <v>10974</v>
      </c>
      <c r="F676" s="2">
        <v>57981</v>
      </c>
    </row>
    <row r="677" spans="1:6" x14ac:dyDescent="0.3">
      <c r="A677">
        <v>2019</v>
      </c>
      <c r="B677" t="s">
        <v>58</v>
      </c>
      <c r="C677" t="s">
        <v>10</v>
      </c>
      <c r="D677" s="1">
        <v>28529</v>
      </c>
      <c r="E677" s="1">
        <v>550084</v>
      </c>
      <c r="F677" s="2">
        <v>191278</v>
      </c>
    </row>
    <row r="678" spans="1:6" x14ac:dyDescent="0.3">
      <c r="A678">
        <v>2019</v>
      </c>
      <c r="B678" t="s">
        <v>58</v>
      </c>
      <c r="C678" t="s">
        <v>11</v>
      </c>
      <c r="D678" s="1">
        <v>4330</v>
      </c>
      <c r="E678" s="1">
        <v>76292</v>
      </c>
      <c r="F678" s="2">
        <v>109380</v>
      </c>
    </row>
    <row r="679" spans="1:6" x14ac:dyDescent="0.3">
      <c r="A679">
        <v>2019</v>
      </c>
      <c r="B679" t="s">
        <v>58</v>
      </c>
      <c r="C679" t="s">
        <v>12</v>
      </c>
      <c r="D679" s="1">
        <v>2551</v>
      </c>
      <c r="E679" s="1">
        <v>31469</v>
      </c>
      <c r="F679" s="2">
        <v>120406</v>
      </c>
    </row>
    <row r="680" spans="1:6" x14ac:dyDescent="0.3">
      <c r="A680">
        <v>2019</v>
      </c>
      <c r="B680" t="s">
        <v>58</v>
      </c>
      <c r="C680" t="s">
        <v>13</v>
      </c>
      <c r="D680">
        <v>497</v>
      </c>
      <c r="E680" s="1">
        <v>3905</v>
      </c>
      <c r="F680" s="2">
        <v>70031</v>
      </c>
    </row>
    <row r="681" spans="1:6" x14ac:dyDescent="0.3">
      <c r="A681">
        <v>2019</v>
      </c>
      <c r="B681" t="s">
        <v>58</v>
      </c>
      <c r="C681" t="s">
        <v>14</v>
      </c>
      <c r="D681" s="1">
        <v>11744</v>
      </c>
      <c r="E681" s="1">
        <v>138845</v>
      </c>
      <c r="F681" s="2">
        <v>86153</v>
      </c>
    </row>
    <row r="682" spans="1:6" x14ac:dyDescent="0.3">
      <c r="A682">
        <v>2019</v>
      </c>
      <c r="B682" t="s">
        <v>58</v>
      </c>
      <c r="C682" t="s">
        <v>15</v>
      </c>
      <c r="D682" s="1">
        <v>5380</v>
      </c>
      <c r="E682" s="1">
        <v>116215</v>
      </c>
      <c r="F682" s="2">
        <v>100462</v>
      </c>
    </row>
    <row r="683" spans="1:6" x14ac:dyDescent="0.3">
      <c r="A683">
        <v>2019</v>
      </c>
      <c r="B683" t="s">
        <v>58</v>
      </c>
      <c r="C683" t="s">
        <v>16</v>
      </c>
      <c r="D683" s="1">
        <v>1231</v>
      </c>
      <c r="E683" s="1">
        <v>8802</v>
      </c>
      <c r="F683" s="2">
        <v>56211</v>
      </c>
    </row>
    <row r="684" spans="1:6" x14ac:dyDescent="0.3">
      <c r="A684">
        <v>2019</v>
      </c>
      <c r="B684" t="s">
        <v>58</v>
      </c>
      <c r="C684" t="s">
        <v>17</v>
      </c>
      <c r="D684" s="1">
        <v>6998</v>
      </c>
      <c r="E684" s="1">
        <v>94879</v>
      </c>
      <c r="F684" s="2">
        <v>96732</v>
      </c>
    </row>
    <row r="685" spans="1:6" x14ac:dyDescent="0.3">
      <c r="A685">
        <v>2019</v>
      </c>
      <c r="B685" t="s">
        <v>58</v>
      </c>
      <c r="C685" t="s">
        <v>18</v>
      </c>
      <c r="D685" s="1">
        <v>2278</v>
      </c>
      <c r="E685" s="1">
        <v>28628</v>
      </c>
      <c r="F685" s="2">
        <v>62444</v>
      </c>
    </row>
    <row r="686" spans="1:6" x14ac:dyDescent="0.3">
      <c r="A686">
        <v>2019</v>
      </c>
      <c r="B686" t="s">
        <v>58</v>
      </c>
      <c r="C686" t="s">
        <v>19</v>
      </c>
      <c r="D686" s="1">
        <v>1778</v>
      </c>
      <c r="E686" s="1">
        <v>21356</v>
      </c>
      <c r="F686" s="2">
        <v>60664</v>
      </c>
    </row>
    <row r="687" spans="1:6" x14ac:dyDescent="0.3">
      <c r="A687">
        <v>2019</v>
      </c>
      <c r="B687" t="s">
        <v>58</v>
      </c>
      <c r="C687" t="s">
        <v>20</v>
      </c>
      <c r="D687" s="1">
        <v>1386</v>
      </c>
      <c r="E687" s="1">
        <v>18137</v>
      </c>
      <c r="F687" s="2">
        <v>66434</v>
      </c>
    </row>
    <row r="688" spans="1:6" x14ac:dyDescent="0.3">
      <c r="A688">
        <v>2019</v>
      </c>
      <c r="B688" t="s">
        <v>58</v>
      </c>
      <c r="C688" t="s">
        <v>21</v>
      </c>
      <c r="D688" s="1">
        <v>1924</v>
      </c>
      <c r="E688" s="1">
        <v>21670</v>
      </c>
      <c r="F688" s="2">
        <v>58590</v>
      </c>
    </row>
    <row r="689" spans="1:6" x14ac:dyDescent="0.3">
      <c r="A689">
        <v>2019</v>
      </c>
      <c r="B689" t="s">
        <v>58</v>
      </c>
      <c r="C689" t="s">
        <v>22</v>
      </c>
      <c r="D689" s="1">
        <v>1801</v>
      </c>
      <c r="E689" s="1">
        <v>22427</v>
      </c>
      <c r="F689" s="2">
        <v>60638</v>
      </c>
    </row>
    <row r="690" spans="1:6" x14ac:dyDescent="0.3">
      <c r="A690">
        <v>2019</v>
      </c>
      <c r="B690" t="s">
        <v>58</v>
      </c>
      <c r="C690" t="s">
        <v>23</v>
      </c>
      <c r="D690">
        <v>869</v>
      </c>
      <c r="E690" s="1">
        <v>7158</v>
      </c>
      <c r="F690" s="2">
        <v>57442</v>
      </c>
    </row>
    <row r="691" spans="1:6" x14ac:dyDescent="0.3">
      <c r="A691">
        <v>2019</v>
      </c>
      <c r="B691" t="s">
        <v>58</v>
      </c>
      <c r="C691" t="s">
        <v>24</v>
      </c>
      <c r="D691" s="1">
        <v>2846</v>
      </c>
      <c r="E691" s="1">
        <v>35678</v>
      </c>
      <c r="F691" s="2">
        <v>98834</v>
      </c>
    </row>
    <row r="692" spans="1:6" x14ac:dyDescent="0.3">
      <c r="A692">
        <v>2019</v>
      </c>
      <c r="B692" t="s">
        <v>58</v>
      </c>
      <c r="C692" t="s">
        <v>25</v>
      </c>
      <c r="D692" s="1">
        <v>5717</v>
      </c>
      <c r="E692" s="1">
        <v>93033</v>
      </c>
      <c r="F692" s="2">
        <v>128022</v>
      </c>
    </row>
    <row r="693" spans="1:6" x14ac:dyDescent="0.3">
      <c r="A693">
        <v>2019</v>
      </c>
      <c r="B693" t="s">
        <v>58</v>
      </c>
      <c r="C693" t="s">
        <v>26</v>
      </c>
      <c r="D693" s="1">
        <v>7146</v>
      </c>
      <c r="E693" s="1">
        <v>55298</v>
      </c>
      <c r="F693" s="2">
        <v>77504</v>
      </c>
    </row>
    <row r="694" spans="1:6" x14ac:dyDescent="0.3">
      <c r="A694">
        <v>2019</v>
      </c>
      <c r="B694" t="s">
        <v>58</v>
      </c>
      <c r="C694" t="s">
        <v>27</v>
      </c>
      <c r="D694" s="1">
        <v>4133</v>
      </c>
      <c r="E694" s="1">
        <v>46906</v>
      </c>
      <c r="F694" s="2">
        <v>83846</v>
      </c>
    </row>
    <row r="695" spans="1:6" x14ac:dyDescent="0.3">
      <c r="A695">
        <v>2019</v>
      </c>
      <c r="B695" t="s">
        <v>58</v>
      </c>
      <c r="C695" t="s">
        <v>28</v>
      </c>
      <c r="D695">
        <v>944</v>
      </c>
      <c r="E695" s="1">
        <v>10695</v>
      </c>
      <c r="F695" s="2">
        <v>49438</v>
      </c>
    </row>
    <row r="696" spans="1:6" x14ac:dyDescent="0.3">
      <c r="A696">
        <v>2019</v>
      </c>
      <c r="B696" t="s">
        <v>58</v>
      </c>
      <c r="C696" t="s">
        <v>29</v>
      </c>
      <c r="D696" s="1">
        <v>3310</v>
      </c>
      <c r="E696" s="1">
        <v>46729</v>
      </c>
      <c r="F696" s="2">
        <v>85960</v>
      </c>
    </row>
    <row r="697" spans="1:6" x14ac:dyDescent="0.3">
      <c r="A697">
        <v>2019</v>
      </c>
      <c r="B697" t="s">
        <v>58</v>
      </c>
      <c r="C697" t="s">
        <v>30</v>
      </c>
      <c r="D697">
        <v>799</v>
      </c>
      <c r="E697" s="1">
        <v>6210</v>
      </c>
      <c r="F697" s="2">
        <v>56592</v>
      </c>
    </row>
    <row r="698" spans="1:6" x14ac:dyDescent="0.3">
      <c r="A698">
        <v>2019</v>
      </c>
      <c r="B698" t="s">
        <v>58</v>
      </c>
      <c r="C698" t="s">
        <v>31</v>
      </c>
      <c r="D698" s="1">
        <v>1015</v>
      </c>
      <c r="E698" s="1">
        <v>17258</v>
      </c>
      <c r="F698" s="2">
        <v>66732</v>
      </c>
    </row>
    <row r="699" spans="1:6" x14ac:dyDescent="0.3">
      <c r="A699">
        <v>2019</v>
      </c>
      <c r="B699" t="s">
        <v>58</v>
      </c>
      <c r="C699" t="s">
        <v>32</v>
      </c>
      <c r="D699" s="1">
        <v>1664</v>
      </c>
      <c r="E699" s="1">
        <v>15847</v>
      </c>
      <c r="F699" s="2">
        <v>73213</v>
      </c>
    </row>
    <row r="700" spans="1:6" x14ac:dyDescent="0.3">
      <c r="A700">
        <v>2019</v>
      </c>
      <c r="B700" t="s">
        <v>58</v>
      </c>
      <c r="C700" t="s">
        <v>33</v>
      </c>
      <c r="D700" s="1">
        <v>1037</v>
      </c>
      <c r="E700" s="1">
        <v>12334</v>
      </c>
      <c r="F700" s="2">
        <v>97212</v>
      </c>
    </row>
    <row r="701" spans="1:6" x14ac:dyDescent="0.3">
      <c r="A701">
        <v>2019</v>
      </c>
      <c r="B701" t="s">
        <v>58</v>
      </c>
      <c r="C701" t="s">
        <v>34</v>
      </c>
      <c r="D701" s="1">
        <v>3724</v>
      </c>
      <c r="E701" s="1">
        <v>67578</v>
      </c>
      <c r="F701" s="2">
        <v>117433</v>
      </c>
    </row>
    <row r="702" spans="1:6" x14ac:dyDescent="0.3">
      <c r="A702">
        <v>2019</v>
      </c>
      <c r="B702" t="s">
        <v>58</v>
      </c>
      <c r="C702" t="s">
        <v>35</v>
      </c>
      <c r="D702" s="1">
        <v>1074</v>
      </c>
      <c r="E702" s="1">
        <v>11166</v>
      </c>
      <c r="F702" s="2">
        <v>57554</v>
      </c>
    </row>
    <row r="703" spans="1:6" x14ac:dyDescent="0.3">
      <c r="A703">
        <v>2019</v>
      </c>
      <c r="B703" t="s">
        <v>58</v>
      </c>
      <c r="C703" t="s">
        <v>36</v>
      </c>
      <c r="D703" s="1">
        <v>12812</v>
      </c>
      <c r="E703" s="1">
        <v>277408</v>
      </c>
      <c r="F703" s="2">
        <v>135959</v>
      </c>
    </row>
    <row r="704" spans="1:6" x14ac:dyDescent="0.3">
      <c r="A704">
        <v>2019</v>
      </c>
      <c r="B704" t="s">
        <v>58</v>
      </c>
      <c r="C704" t="s">
        <v>37</v>
      </c>
      <c r="D704" s="1">
        <v>5669</v>
      </c>
      <c r="E704" s="1">
        <v>75919</v>
      </c>
      <c r="F704" s="2">
        <v>87039</v>
      </c>
    </row>
    <row r="705" spans="1:6" x14ac:dyDescent="0.3">
      <c r="A705">
        <v>2019</v>
      </c>
      <c r="B705" t="s">
        <v>58</v>
      </c>
      <c r="C705" t="s">
        <v>38</v>
      </c>
      <c r="D705">
        <v>402</v>
      </c>
      <c r="E705" s="1">
        <v>6093</v>
      </c>
      <c r="F705" s="2">
        <v>71543</v>
      </c>
    </row>
    <row r="706" spans="1:6" x14ac:dyDescent="0.3">
      <c r="A706">
        <v>2019</v>
      </c>
      <c r="B706" t="s">
        <v>58</v>
      </c>
      <c r="C706" t="s">
        <v>39</v>
      </c>
      <c r="D706" s="1">
        <v>4915</v>
      </c>
      <c r="E706" s="1">
        <v>69330</v>
      </c>
      <c r="F706" s="2">
        <v>72613</v>
      </c>
    </row>
    <row r="707" spans="1:6" x14ac:dyDescent="0.3">
      <c r="A707">
        <v>2019</v>
      </c>
      <c r="B707" t="s">
        <v>58</v>
      </c>
      <c r="C707" t="s">
        <v>40</v>
      </c>
      <c r="D707" s="1">
        <v>1550</v>
      </c>
      <c r="E707" s="1">
        <v>19627</v>
      </c>
      <c r="F707" s="2">
        <v>60407</v>
      </c>
    </row>
    <row r="708" spans="1:6" x14ac:dyDescent="0.3">
      <c r="A708">
        <v>2019</v>
      </c>
      <c r="B708" t="s">
        <v>58</v>
      </c>
      <c r="C708" t="s">
        <v>41</v>
      </c>
      <c r="D708" s="1">
        <v>4135</v>
      </c>
      <c r="E708" s="1">
        <v>35053</v>
      </c>
      <c r="F708" s="2">
        <v>89633</v>
      </c>
    </row>
    <row r="709" spans="1:6" x14ac:dyDescent="0.3">
      <c r="A709">
        <v>2019</v>
      </c>
      <c r="B709" t="s">
        <v>58</v>
      </c>
      <c r="C709" t="s">
        <v>42</v>
      </c>
      <c r="D709" s="1">
        <v>5348</v>
      </c>
      <c r="E709" s="1">
        <v>87043</v>
      </c>
      <c r="F709" s="2">
        <v>94900</v>
      </c>
    </row>
    <row r="710" spans="1:6" x14ac:dyDescent="0.3">
      <c r="A710">
        <v>2019</v>
      </c>
      <c r="B710" t="s">
        <v>58</v>
      </c>
      <c r="C710" t="s">
        <v>43</v>
      </c>
      <c r="D710">
        <v>714</v>
      </c>
      <c r="E710" s="1">
        <v>5878</v>
      </c>
      <c r="F710" s="2">
        <v>76409</v>
      </c>
    </row>
    <row r="711" spans="1:6" x14ac:dyDescent="0.3">
      <c r="A711">
        <v>2019</v>
      </c>
      <c r="B711" t="s">
        <v>58</v>
      </c>
      <c r="C711" t="s">
        <v>44</v>
      </c>
      <c r="D711" s="1">
        <v>2883</v>
      </c>
      <c r="E711" s="1">
        <v>26869</v>
      </c>
      <c r="F711" s="2">
        <v>66032</v>
      </c>
    </row>
    <row r="712" spans="1:6" x14ac:dyDescent="0.3">
      <c r="A712">
        <v>2019</v>
      </c>
      <c r="B712" t="s">
        <v>58</v>
      </c>
      <c r="C712" t="s">
        <v>45</v>
      </c>
      <c r="D712">
        <v>589</v>
      </c>
      <c r="E712" s="1">
        <v>5500</v>
      </c>
      <c r="F712" s="2">
        <v>51535</v>
      </c>
    </row>
    <row r="713" spans="1:6" x14ac:dyDescent="0.3">
      <c r="A713">
        <v>2019</v>
      </c>
      <c r="B713" t="s">
        <v>58</v>
      </c>
      <c r="C713" t="s">
        <v>46</v>
      </c>
      <c r="D713" s="1">
        <v>3981</v>
      </c>
      <c r="E713" s="1">
        <v>45042</v>
      </c>
      <c r="F713" s="2">
        <v>75375</v>
      </c>
    </row>
    <row r="714" spans="1:6" x14ac:dyDescent="0.3">
      <c r="A714">
        <v>2019</v>
      </c>
      <c r="B714" t="s">
        <v>58</v>
      </c>
      <c r="C714" t="s">
        <v>47</v>
      </c>
      <c r="D714" s="1">
        <v>10627</v>
      </c>
      <c r="E714" s="1">
        <v>208591</v>
      </c>
      <c r="F714" s="2">
        <v>90857</v>
      </c>
    </row>
    <row r="715" spans="1:6" x14ac:dyDescent="0.3">
      <c r="A715">
        <v>2019</v>
      </c>
      <c r="B715" t="s">
        <v>58</v>
      </c>
      <c r="C715" t="s">
        <v>48</v>
      </c>
      <c r="D715" s="1">
        <v>2776</v>
      </c>
      <c r="E715" s="1">
        <v>38323</v>
      </c>
      <c r="F715" s="2">
        <v>84735</v>
      </c>
    </row>
    <row r="716" spans="1:6" x14ac:dyDescent="0.3">
      <c r="A716">
        <v>2019</v>
      </c>
      <c r="B716" t="s">
        <v>58</v>
      </c>
      <c r="C716" t="s">
        <v>49</v>
      </c>
      <c r="D716">
        <v>527</v>
      </c>
      <c r="E716" s="1">
        <v>4322</v>
      </c>
      <c r="F716" s="2">
        <v>62861</v>
      </c>
    </row>
    <row r="717" spans="1:6" x14ac:dyDescent="0.3">
      <c r="A717">
        <v>2019</v>
      </c>
      <c r="B717" t="s">
        <v>58</v>
      </c>
      <c r="C717" t="s">
        <v>50</v>
      </c>
      <c r="D717" s="1">
        <v>4600</v>
      </c>
      <c r="E717" s="1">
        <v>67714</v>
      </c>
      <c r="F717" s="2">
        <v>107966</v>
      </c>
    </row>
    <row r="718" spans="1:6" x14ac:dyDescent="0.3">
      <c r="A718">
        <v>2019</v>
      </c>
      <c r="B718" t="s">
        <v>58</v>
      </c>
      <c r="C718" t="s">
        <v>51</v>
      </c>
      <c r="D718" s="1">
        <v>5007</v>
      </c>
      <c r="E718" s="1">
        <v>143883</v>
      </c>
      <c r="F718" s="2">
        <v>207135</v>
      </c>
    </row>
    <row r="719" spans="1:6" x14ac:dyDescent="0.3">
      <c r="A719">
        <v>2019</v>
      </c>
      <c r="B719" t="s">
        <v>58</v>
      </c>
      <c r="C719" t="s">
        <v>52</v>
      </c>
      <c r="D719">
        <v>818</v>
      </c>
      <c r="E719" s="1">
        <v>8072</v>
      </c>
      <c r="F719" s="2">
        <v>53281</v>
      </c>
    </row>
    <row r="720" spans="1:6" x14ac:dyDescent="0.3">
      <c r="A720">
        <v>2019</v>
      </c>
      <c r="B720" t="s">
        <v>58</v>
      </c>
      <c r="C720" t="s">
        <v>53</v>
      </c>
      <c r="D720" s="1">
        <v>2335</v>
      </c>
      <c r="E720" s="1">
        <v>46993</v>
      </c>
      <c r="F720" s="2">
        <v>82512</v>
      </c>
    </row>
    <row r="721" spans="1:6" x14ac:dyDescent="0.3">
      <c r="A721">
        <v>2019</v>
      </c>
      <c r="B721" t="s">
        <v>58</v>
      </c>
      <c r="C721" t="s">
        <v>54</v>
      </c>
      <c r="D721">
        <v>417</v>
      </c>
      <c r="E721" s="1">
        <v>3424</v>
      </c>
      <c r="F721" s="2">
        <v>49035</v>
      </c>
    </row>
    <row r="722" spans="1:6" x14ac:dyDescent="0.3">
      <c r="A722">
        <v>2019</v>
      </c>
      <c r="B722" t="s">
        <v>59</v>
      </c>
      <c r="C722" t="s">
        <v>7</v>
      </c>
      <c r="D722" s="1">
        <v>13590</v>
      </c>
      <c r="E722" s="1">
        <v>95053</v>
      </c>
      <c r="F722" s="2">
        <v>71076</v>
      </c>
    </row>
    <row r="723" spans="1:6" x14ac:dyDescent="0.3">
      <c r="A723">
        <v>2019</v>
      </c>
      <c r="B723" t="s">
        <v>59</v>
      </c>
      <c r="C723" t="s">
        <v>8</v>
      </c>
      <c r="D723" s="1">
        <v>19357</v>
      </c>
      <c r="E723" s="1">
        <v>223263</v>
      </c>
      <c r="F723" s="2">
        <v>74627</v>
      </c>
    </row>
    <row r="724" spans="1:6" x14ac:dyDescent="0.3">
      <c r="A724">
        <v>2019</v>
      </c>
      <c r="B724" t="s">
        <v>59</v>
      </c>
      <c r="C724" t="s">
        <v>9</v>
      </c>
      <c r="D724" s="1">
        <v>8591</v>
      </c>
      <c r="E724" s="1">
        <v>51934</v>
      </c>
      <c r="F724" s="2">
        <v>60198</v>
      </c>
    </row>
    <row r="725" spans="1:6" x14ac:dyDescent="0.3">
      <c r="A725">
        <v>2019</v>
      </c>
      <c r="B725" t="s">
        <v>59</v>
      </c>
      <c r="C725" t="s">
        <v>10</v>
      </c>
      <c r="D725" s="1">
        <v>109980</v>
      </c>
      <c r="E725" s="1">
        <v>841829</v>
      </c>
      <c r="F725" s="2">
        <v>112757</v>
      </c>
    </row>
    <row r="726" spans="1:6" x14ac:dyDescent="0.3">
      <c r="A726">
        <v>2019</v>
      </c>
      <c r="B726" t="s">
        <v>59</v>
      </c>
      <c r="C726" t="s">
        <v>11</v>
      </c>
      <c r="D726" s="1">
        <v>24028</v>
      </c>
      <c r="E726" s="1">
        <v>167272</v>
      </c>
      <c r="F726" s="2">
        <v>88613</v>
      </c>
    </row>
    <row r="727" spans="1:6" x14ac:dyDescent="0.3">
      <c r="A727">
        <v>2019</v>
      </c>
      <c r="B727" t="s">
        <v>59</v>
      </c>
      <c r="C727" t="s">
        <v>12</v>
      </c>
      <c r="D727" s="1">
        <v>11028</v>
      </c>
      <c r="E727" s="1">
        <v>121869</v>
      </c>
      <c r="F727" s="2">
        <v>157629</v>
      </c>
    </row>
    <row r="728" spans="1:6" x14ac:dyDescent="0.3">
      <c r="A728">
        <v>2019</v>
      </c>
      <c r="B728" t="s">
        <v>59</v>
      </c>
      <c r="C728" t="s">
        <v>13</v>
      </c>
      <c r="D728" s="1">
        <v>2907</v>
      </c>
      <c r="E728" s="1">
        <v>48162</v>
      </c>
      <c r="F728" s="2">
        <v>97426</v>
      </c>
    </row>
    <row r="729" spans="1:6" x14ac:dyDescent="0.3">
      <c r="A729">
        <v>2019</v>
      </c>
      <c r="B729" t="s">
        <v>59</v>
      </c>
      <c r="C729" t="s">
        <v>14</v>
      </c>
      <c r="D729" s="1">
        <v>76648</v>
      </c>
      <c r="E729" s="1">
        <v>585959</v>
      </c>
      <c r="F729" s="2">
        <v>77025</v>
      </c>
    </row>
    <row r="730" spans="1:6" x14ac:dyDescent="0.3">
      <c r="A730">
        <v>2019</v>
      </c>
      <c r="B730" t="s">
        <v>59</v>
      </c>
      <c r="C730" t="s">
        <v>15</v>
      </c>
      <c r="D730" s="1">
        <v>26961</v>
      </c>
      <c r="E730" s="1">
        <v>242468</v>
      </c>
      <c r="F730" s="2">
        <v>86701</v>
      </c>
    </row>
    <row r="731" spans="1:6" x14ac:dyDescent="0.3">
      <c r="A731">
        <v>2019</v>
      </c>
      <c r="B731" t="s">
        <v>59</v>
      </c>
      <c r="C731" t="s">
        <v>16</v>
      </c>
      <c r="D731" s="1">
        <v>5859</v>
      </c>
      <c r="E731" s="1">
        <v>33273</v>
      </c>
      <c r="F731" s="2">
        <v>59504</v>
      </c>
    </row>
    <row r="732" spans="1:6" x14ac:dyDescent="0.3">
      <c r="A732">
        <v>2019</v>
      </c>
      <c r="B732" t="s">
        <v>59</v>
      </c>
      <c r="C732" t="s">
        <v>17</v>
      </c>
      <c r="D732" s="1">
        <v>32792</v>
      </c>
      <c r="E732" s="1">
        <v>381941</v>
      </c>
      <c r="F732" s="2">
        <v>113091</v>
      </c>
    </row>
    <row r="733" spans="1:6" x14ac:dyDescent="0.3">
      <c r="A733">
        <v>2019</v>
      </c>
      <c r="B733" t="s">
        <v>59</v>
      </c>
      <c r="C733" t="s">
        <v>18</v>
      </c>
      <c r="D733" s="1">
        <v>16940</v>
      </c>
      <c r="E733" s="1">
        <v>135547</v>
      </c>
      <c r="F733" s="2">
        <v>67469</v>
      </c>
    </row>
    <row r="734" spans="1:6" x14ac:dyDescent="0.3">
      <c r="A734">
        <v>2019</v>
      </c>
      <c r="B734" t="s">
        <v>59</v>
      </c>
      <c r="C734" t="s">
        <v>19</v>
      </c>
      <c r="D734" s="1">
        <v>10414</v>
      </c>
      <c r="E734" s="1">
        <v>110010</v>
      </c>
      <c r="F734" s="2">
        <v>76212</v>
      </c>
    </row>
    <row r="735" spans="1:6" x14ac:dyDescent="0.3">
      <c r="A735">
        <v>2019</v>
      </c>
      <c r="B735" t="s">
        <v>59</v>
      </c>
      <c r="C735" t="s">
        <v>20</v>
      </c>
      <c r="D735" s="1">
        <v>8744</v>
      </c>
      <c r="E735" s="1">
        <v>74336</v>
      </c>
      <c r="F735" s="2">
        <v>68950</v>
      </c>
    </row>
    <row r="736" spans="1:6" x14ac:dyDescent="0.3">
      <c r="A736">
        <v>2019</v>
      </c>
      <c r="B736" t="s">
        <v>59</v>
      </c>
      <c r="C736" t="s">
        <v>21</v>
      </c>
      <c r="D736" s="1">
        <v>11201</v>
      </c>
      <c r="E736" s="1">
        <v>93556</v>
      </c>
      <c r="F736" s="2">
        <v>69885</v>
      </c>
    </row>
    <row r="737" spans="1:6" x14ac:dyDescent="0.3">
      <c r="A737">
        <v>2019</v>
      </c>
      <c r="B737" t="s">
        <v>59</v>
      </c>
      <c r="C737" t="s">
        <v>22</v>
      </c>
      <c r="D737" s="1">
        <v>13852</v>
      </c>
      <c r="E737" s="1">
        <v>84791</v>
      </c>
      <c r="F737" s="2">
        <v>63590</v>
      </c>
    </row>
    <row r="738" spans="1:6" x14ac:dyDescent="0.3">
      <c r="A738">
        <v>2019</v>
      </c>
      <c r="B738" t="s">
        <v>59</v>
      </c>
      <c r="C738" t="s">
        <v>23</v>
      </c>
      <c r="D738" s="1">
        <v>3854</v>
      </c>
      <c r="E738" s="1">
        <v>30481</v>
      </c>
      <c r="F738" s="2">
        <v>70030</v>
      </c>
    </row>
    <row r="739" spans="1:6" x14ac:dyDescent="0.3">
      <c r="A739">
        <v>2019</v>
      </c>
      <c r="B739" t="s">
        <v>59</v>
      </c>
      <c r="C739" t="s">
        <v>24</v>
      </c>
      <c r="D739" s="1">
        <v>15512</v>
      </c>
      <c r="E739" s="1">
        <v>135216</v>
      </c>
      <c r="F739" s="2">
        <v>98024</v>
      </c>
    </row>
    <row r="740" spans="1:6" x14ac:dyDescent="0.3">
      <c r="A740">
        <v>2019</v>
      </c>
      <c r="B740" t="s">
        <v>59</v>
      </c>
      <c r="C740" t="s">
        <v>25</v>
      </c>
      <c r="D740" s="1">
        <v>17883</v>
      </c>
      <c r="E740" s="1">
        <v>218858</v>
      </c>
      <c r="F740" s="2">
        <v>147565</v>
      </c>
    </row>
    <row r="741" spans="1:6" x14ac:dyDescent="0.3">
      <c r="A741">
        <v>2019</v>
      </c>
      <c r="B741" t="s">
        <v>59</v>
      </c>
      <c r="C741" t="s">
        <v>26</v>
      </c>
      <c r="D741" s="1">
        <v>19641</v>
      </c>
      <c r="E741" s="1">
        <v>208812</v>
      </c>
      <c r="F741" s="2">
        <v>73691</v>
      </c>
    </row>
    <row r="742" spans="1:6" x14ac:dyDescent="0.3">
      <c r="A742">
        <v>2019</v>
      </c>
      <c r="B742" t="s">
        <v>59</v>
      </c>
      <c r="C742" t="s">
        <v>27</v>
      </c>
      <c r="D742" s="1">
        <v>15855</v>
      </c>
      <c r="E742" s="1">
        <v>182914</v>
      </c>
      <c r="F742" s="2">
        <v>97673</v>
      </c>
    </row>
    <row r="743" spans="1:6" x14ac:dyDescent="0.3">
      <c r="A743">
        <v>2019</v>
      </c>
      <c r="B743" t="s">
        <v>59</v>
      </c>
      <c r="C743" t="s">
        <v>28</v>
      </c>
      <c r="D743" s="1">
        <v>7944</v>
      </c>
      <c r="E743" s="1">
        <v>43109</v>
      </c>
      <c r="F743" s="2">
        <v>54672</v>
      </c>
    </row>
    <row r="744" spans="1:6" x14ac:dyDescent="0.3">
      <c r="A744">
        <v>2019</v>
      </c>
      <c r="B744" t="s">
        <v>59</v>
      </c>
      <c r="C744" t="s">
        <v>29</v>
      </c>
      <c r="D744" s="1">
        <v>17951</v>
      </c>
      <c r="E744" s="1">
        <v>166025</v>
      </c>
      <c r="F744" s="2">
        <v>75387</v>
      </c>
    </row>
    <row r="745" spans="1:6" x14ac:dyDescent="0.3">
      <c r="A745">
        <v>2019</v>
      </c>
      <c r="B745" t="s">
        <v>59</v>
      </c>
      <c r="C745" t="s">
        <v>30</v>
      </c>
      <c r="D745" s="1">
        <v>4314</v>
      </c>
      <c r="E745" s="1">
        <v>22199</v>
      </c>
      <c r="F745" s="2">
        <v>60907</v>
      </c>
    </row>
    <row r="746" spans="1:6" x14ac:dyDescent="0.3">
      <c r="A746">
        <v>2019</v>
      </c>
      <c r="B746" t="s">
        <v>59</v>
      </c>
      <c r="C746" t="s">
        <v>31</v>
      </c>
      <c r="D746" s="1">
        <v>6842</v>
      </c>
      <c r="E746" s="1">
        <v>67425</v>
      </c>
      <c r="F746" s="2">
        <v>69072</v>
      </c>
    </row>
    <row r="747" spans="1:6" x14ac:dyDescent="0.3">
      <c r="A747">
        <v>2019</v>
      </c>
      <c r="B747" t="s">
        <v>59</v>
      </c>
      <c r="C747" t="s">
        <v>32</v>
      </c>
      <c r="D747" s="1">
        <v>9324</v>
      </c>
      <c r="E747" s="1">
        <v>64932</v>
      </c>
      <c r="F747" s="2">
        <v>70204</v>
      </c>
    </row>
    <row r="748" spans="1:6" x14ac:dyDescent="0.3">
      <c r="A748">
        <v>2019</v>
      </c>
      <c r="B748" t="s">
        <v>59</v>
      </c>
      <c r="C748" t="s">
        <v>33</v>
      </c>
      <c r="D748" s="1">
        <v>3881</v>
      </c>
      <c r="E748" s="1">
        <v>33418</v>
      </c>
      <c r="F748" s="2">
        <v>100104</v>
      </c>
    </row>
    <row r="749" spans="1:6" x14ac:dyDescent="0.3">
      <c r="A749">
        <v>2019</v>
      </c>
      <c r="B749" t="s">
        <v>59</v>
      </c>
      <c r="C749" t="s">
        <v>34</v>
      </c>
      <c r="D749" s="1">
        <v>20037</v>
      </c>
      <c r="E749" s="1">
        <v>243892</v>
      </c>
      <c r="F749" s="2">
        <v>117277</v>
      </c>
    </row>
    <row r="750" spans="1:6" x14ac:dyDescent="0.3">
      <c r="A750">
        <v>2019</v>
      </c>
      <c r="B750" t="s">
        <v>59</v>
      </c>
      <c r="C750" t="s">
        <v>35</v>
      </c>
      <c r="D750" s="1">
        <v>5460</v>
      </c>
      <c r="E750" s="1">
        <v>33799</v>
      </c>
      <c r="F750" s="2">
        <v>57768</v>
      </c>
    </row>
    <row r="751" spans="1:6" x14ac:dyDescent="0.3">
      <c r="A751">
        <v>2019</v>
      </c>
      <c r="B751" t="s">
        <v>59</v>
      </c>
      <c r="C751" t="s">
        <v>36</v>
      </c>
      <c r="D751" s="1">
        <v>63310</v>
      </c>
      <c r="E751" s="1">
        <v>720818</v>
      </c>
      <c r="F751" s="2">
        <v>191494</v>
      </c>
    </row>
    <row r="752" spans="1:6" x14ac:dyDescent="0.3">
      <c r="A752">
        <v>2019</v>
      </c>
      <c r="B752" t="s">
        <v>59</v>
      </c>
      <c r="C752" t="s">
        <v>37</v>
      </c>
      <c r="D752" s="1">
        <v>28672</v>
      </c>
      <c r="E752" s="1">
        <v>245903</v>
      </c>
      <c r="F752" s="2">
        <v>89886</v>
      </c>
    </row>
    <row r="753" spans="1:6" x14ac:dyDescent="0.3">
      <c r="A753">
        <v>2019</v>
      </c>
      <c r="B753" t="s">
        <v>59</v>
      </c>
      <c r="C753" t="s">
        <v>38</v>
      </c>
      <c r="D753" s="1">
        <v>2985</v>
      </c>
      <c r="E753" s="1">
        <v>23264</v>
      </c>
      <c r="F753" s="2">
        <v>65784</v>
      </c>
    </row>
    <row r="754" spans="1:6" x14ac:dyDescent="0.3">
      <c r="A754">
        <v>2019</v>
      </c>
      <c r="B754" t="s">
        <v>59</v>
      </c>
      <c r="C754" t="s">
        <v>39</v>
      </c>
      <c r="D754" s="1">
        <v>29119</v>
      </c>
      <c r="E754" s="1">
        <v>292556</v>
      </c>
      <c r="F754" s="2">
        <v>75683</v>
      </c>
    </row>
    <row r="755" spans="1:6" x14ac:dyDescent="0.3">
      <c r="A755">
        <v>2019</v>
      </c>
      <c r="B755" t="s">
        <v>59</v>
      </c>
      <c r="C755" t="s">
        <v>40</v>
      </c>
      <c r="D755" s="1">
        <v>11672</v>
      </c>
      <c r="E755" s="1">
        <v>77324</v>
      </c>
      <c r="F755" s="2">
        <v>59814</v>
      </c>
    </row>
    <row r="756" spans="1:6" x14ac:dyDescent="0.3">
      <c r="A756">
        <v>2019</v>
      </c>
      <c r="B756" t="s">
        <v>59</v>
      </c>
      <c r="C756" t="s">
        <v>41</v>
      </c>
      <c r="D756" s="1">
        <v>13190</v>
      </c>
      <c r="E756" s="1">
        <v>85425</v>
      </c>
      <c r="F756" s="2">
        <v>73291</v>
      </c>
    </row>
    <row r="757" spans="1:6" x14ac:dyDescent="0.3">
      <c r="A757">
        <v>2019</v>
      </c>
      <c r="B757" t="s">
        <v>59</v>
      </c>
      <c r="C757" t="s">
        <v>42</v>
      </c>
      <c r="D757" s="1">
        <v>29264</v>
      </c>
      <c r="E757" s="1">
        <v>329745</v>
      </c>
      <c r="F757" s="2">
        <v>90778</v>
      </c>
    </row>
    <row r="758" spans="1:6" x14ac:dyDescent="0.3">
      <c r="A758">
        <v>2019</v>
      </c>
      <c r="B758" t="s">
        <v>59</v>
      </c>
      <c r="C758" t="s">
        <v>43</v>
      </c>
      <c r="D758" s="1">
        <v>2934</v>
      </c>
      <c r="E758" s="1">
        <v>32223</v>
      </c>
      <c r="F758" s="2">
        <v>91537</v>
      </c>
    </row>
    <row r="759" spans="1:6" x14ac:dyDescent="0.3">
      <c r="A759">
        <v>2019</v>
      </c>
      <c r="B759" t="s">
        <v>59</v>
      </c>
      <c r="C759" t="s">
        <v>44</v>
      </c>
      <c r="D759" s="1">
        <v>14196</v>
      </c>
      <c r="E759" s="1">
        <v>101755</v>
      </c>
      <c r="F759" s="2">
        <v>64481</v>
      </c>
    </row>
    <row r="760" spans="1:6" x14ac:dyDescent="0.3">
      <c r="A760">
        <v>2019</v>
      </c>
      <c r="B760" t="s">
        <v>59</v>
      </c>
      <c r="C760" t="s">
        <v>45</v>
      </c>
      <c r="D760" s="1">
        <v>3315</v>
      </c>
      <c r="E760" s="1">
        <v>28483</v>
      </c>
      <c r="F760" s="2">
        <v>63499</v>
      </c>
    </row>
    <row r="761" spans="1:6" x14ac:dyDescent="0.3">
      <c r="A761">
        <v>2019</v>
      </c>
      <c r="B761" t="s">
        <v>59</v>
      </c>
      <c r="C761" t="s">
        <v>46</v>
      </c>
      <c r="D761" s="1">
        <v>16270</v>
      </c>
      <c r="E761" s="1">
        <v>157388</v>
      </c>
      <c r="F761" s="2">
        <v>77805</v>
      </c>
    </row>
    <row r="762" spans="1:6" x14ac:dyDescent="0.3">
      <c r="A762">
        <v>2019</v>
      </c>
      <c r="B762" t="s">
        <v>59</v>
      </c>
      <c r="C762" t="s">
        <v>47</v>
      </c>
      <c r="D762" s="1">
        <v>76169</v>
      </c>
      <c r="E762" s="1">
        <v>777574</v>
      </c>
      <c r="F762" s="2">
        <v>86718</v>
      </c>
    </row>
    <row r="763" spans="1:6" x14ac:dyDescent="0.3">
      <c r="A763">
        <v>2019</v>
      </c>
      <c r="B763" t="s">
        <v>59</v>
      </c>
      <c r="C763" t="s">
        <v>48</v>
      </c>
      <c r="D763" s="1">
        <v>11885</v>
      </c>
      <c r="E763" s="1">
        <v>90007</v>
      </c>
      <c r="F763" s="2">
        <v>70967</v>
      </c>
    </row>
    <row r="764" spans="1:6" x14ac:dyDescent="0.3">
      <c r="A764">
        <v>2019</v>
      </c>
      <c r="B764" t="s">
        <v>59</v>
      </c>
      <c r="C764" t="s">
        <v>49</v>
      </c>
      <c r="D764" s="1">
        <v>1709</v>
      </c>
      <c r="E764" s="1">
        <v>11948</v>
      </c>
      <c r="F764" s="2">
        <v>74642</v>
      </c>
    </row>
    <row r="765" spans="1:6" x14ac:dyDescent="0.3">
      <c r="A765">
        <v>2019</v>
      </c>
      <c r="B765" t="s">
        <v>59</v>
      </c>
      <c r="C765" t="s">
        <v>50</v>
      </c>
      <c r="D765" s="1">
        <v>22249</v>
      </c>
      <c r="E765" s="1">
        <v>198459</v>
      </c>
      <c r="F765" s="2">
        <v>88029</v>
      </c>
    </row>
    <row r="766" spans="1:6" x14ac:dyDescent="0.3">
      <c r="A766">
        <v>2019</v>
      </c>
      <c r="B766" t="s">
        <v>59</v>
      </c>
      <c r="C766" t="s">
        <v>51</v>
      </c>
      <c r="D766" s="1">
        <v>17624</v>
      </c>
      <c r="E766" s="1">
        <v>150178</v>
      </c>
      <c r="F766" s="2">
        <v>85242</v>
      </c>
    </row>
    <row r="767" spans="1:6" x14ac:dyDescent="0.3">
      <c r="A767">
        <v>2019</v>
      </c>
      <c r="B767" t="s">
        <v>59</v>
      </c>
      <c r="C767" t="s">
        <v>52</v>
      </c>
      <c r="D767" s="1">
        <v>4003</v>
      </c>
      <c r="E767" s="1">
        <v>24569</v>
      </c>
      <c r="F767" s="2">
        <v>54528</v>
      </c>
    </row>
    <row r="768" spans="1:6" x14ac:dyDescent="0.3">
      <c r="A768">
        <v>2019</v>
      </c>
      <c r="B768" t="s">
        <v>59</v>
      </c>
      <c r="C768" t="s">
        <v>53</v>
      </c>
      <c r="D768" s="1">
        <v>14066</v>
      </c>
      <c r="E768" s="1">
        <v>150327</v>
      </c>
      <c r="F768" s="2">
        <v>74040</v>
      </c>
    </row>
    <row r="769" spans="1:6" x14ac:dyDescent="0.3">
      <c r="A769">
        <v>2019</v>
      </c>
      <c r="B769" t="s">
        <v>59</v>
      </c>
      <c r="C769" t="s">
        <v>54</v>
      </c>
      <c r="D769" s="1">
        <v>2306</v>
      </c>
      <c r="E769" s="1">
        <v>11180</v>
      </c>
      <c r="F769" s="2">
        <v>60849</v>
      </c>
    </row>
    <row r="770" spans="1:6" x14ac:dyDescent="0.3">
      <c r="A770">
        <v>2019</v>
      </c>
      <c r="B770" t="s">
        <v>60</v>
      </c>
      <c r="C770" t="s">
        <v>7</v>
      </c>
      <c r="D770" s="1">
        <v>22186</v>
      </c>
      <c r="E770" s="1">
        <v>251073</v>
      </c>
      <c r="F770" s="2">
        <v>57061</v>
      </c>
    </row>
    <row r="771" spans="1:6" x14ac:dyDescent="0.3">
      <c r="A771">
        <v>2019</v>
      </c>
      <c r="B771" t="s">
        <v>60</v>
      </c>
      <c r="C771" t="s">
        <v>8</v>
      </c>
      <c r="D771" s="1">
        <v>38940</v>
      </c>
      <c r="E771" s="1">
        <v>445648</v>
      </c>
      <c r="F771" s="2">
        <v>58892</v>
      </c>
    </row>
    <row r="772" spans="1:6" x14ac:dyDescent="0.3">
      <c r="A772">
        <v>2019</v>
      </c>
      <c r="B772" t="s">
        <v>60</v>
      </c>
      <c r="C772" t="s">
        <v>9</v>
      </c>
      <c r="D772" s="1">
        <v>14911</v>
      </c>
      <c r="E772" s="1">
        <v>145841</v>
      </c>
      <c r="F772" s="2">
        <v>63354</v>
      </c>
    </row>
    <row r="773" spans="1:6" x14ac:dyDescent="0.3">
      <c r="A773">
        <v>2019</v>
      </c>
      <c r="B773" t="s">
        <v>60</v>
      </c>
      <c r="C773" t="s">
        <v>10</v>
      </c>
      <c r="D773" s="1">
        <v>215691</v>
      </c>
      <c r="E773" s="1">
        <v>2723437</v>
      </c>
      <c r="F773" s="2">
        <v>95348</v>
      </c>
    </row>
    <row r="774" spans="1:6" x14ac:dyDescent="0.3">
      <c r="A774">
        <v>2019</v>
      </c>
      <c r="B774" t="s">
        <v>60</v>
      </c>
      <c r="C774" t="s">
        <v>11</v>
      </c>
      <c r="D774" s="1">
        <v>55003</v>
      </c>
      <c r="E774" s="1">
        <v>439613</v>
      </c>
      <c r="F774" s="2">
        <v>86477</v>
      </c>
    </row>
    <row r="775" spans="1:6" x14ac:dyDescent="0.3">
      <c r="A775">
        <v>2019</v>
      </c>
      <c r="B775" t="s">
        <v>60</v>
      </c>
      <c r="C775" t="s">
        <v>12</v>
      </c>
      <c r="D775" s="1">
        <v>23755</v>
      </c>
      <c r="E775" s="1">
        <v>218815</v>
      </c>
      <c r="F775" s="2">
        <v>92139</v>
      </c>
    </row>
    <row r="776" spans="1:6" x14ac:dyDescent="0.3">
      <c r="A776">
        <v>2019</v>
      </c>
      <c r="B776" t="s">
        <v>60</v>
      </c>
      <c r="C776" t="s">
        <v>13</v>
      </c>
      <c r="D776" s="1">
        <v>9421</v>
      </c>
      <c r="E776" s="1">
        <v>63844</v>
      </c>
      <c r="F776" s="2">
        <v>82658</v>
      </c>
    </row>
    <row r="777" spans="1:6" x14ac:dyDescent="0.3">
      <c r="A777">
        <v>2019</v>
      </c>
      <c r="B777" t="s">
        <v>60</v>
      </c>
      <c r="C777" t="s">
        <v>14</v>
      </c>
      <c r="D777" s="1">
        <v>170397</v>
      </c>
      <c r="E777" s="1">
        <v>1391050</v>
      </c>
      <c r="F777" s="2">
        <v>63740</v>
      </c>
    </row>
    <row r="778" spans="1:6" x14ac:dyDescent="0.3">
      <c r="A778">
        <v>2019</v>
      </c>
      <c r="B778" t="s">
        <v>60</v>
      </c>
      <c r="C778" t="s">
        <v>15</v>
      </c>
      <c r="D778" s="1">
        <v>56304</v>
      </c>
      <c r="E778" s="1">
        <v>717238</v>
      </c>
      <c r="F778" s="2">
        <v>71861</v>
      </c>
    </row>
    <row r="779" spans="1:6" x14ac:dyDescent="0.3">
      <c r="A779">
        <v>2019</v>
      </c>
      <c r="B779" t="s">
        <v>60</v>
      </c>
      <c r="C779" t="s">
        <v>16</v>
      </c>
      <c r="D779" s="1">
        <v>11359</v>
      </c>
      <c r="E779" s="1">
        <v>94181</v>
      </c>
      <c r="F779" s="2">
        <v>55072</v>
      </c>
    </row>
    <row r="780" spans="1:6" x14ac:dyDescent="0.3">
      <c r="A780">
        <v>2019</v>
      </c>
      <c r="B780" t="s">
        <v>60</v>
      </c>
      <c r="C780" t="s">
        <v>17</v>
      </c>
      <c r="D780" s="1">
        <v>75870</v>
      </c>
      <c r="E780" s="1">
        <v>948055</v>
      </c>
      <c r="F780" s="2">
        <v>78228</v>
      </c>
    </row>
    <row r="781" spans="1:6" x14ac:dyDescent="0.3">
      <c r="A781">
        <v>2019</v>
      </c>
      <c r="B781" t="s">
        <v>60</v>
      </c>
      <c r="C781" t="s">
        <v>18</v>
      </c>
      <c r="D781" s="1">
        <v>30165</v>
      </c>
      <c r="E781" s="1">
        <v>346667</v>
      </c>
      <c r="F781" s="2">
        <v>53817</v>
      </c>
    </row>
    <row r="782" spans="1:6" x14ac:dyDescent="0.3">
      <c r="A782">
        <v>2019</v>
      </c>
      <c r="B782" t="s">
        <v>60</v>
      </c>
      <c r="C782" t="s">
        <v>19</v>
      </c>
      <c r="D782" s="1">
        <v>16421</v>
      </c>
      <c r="E782" s="1">
        <v>139337</v>
      </c>
      <c r="F782" s="2">
        <v>56755</v>
      </c>
    </row>
    <row r="783" spans="1:6" x14ac:dyDescent="0.3">
      <c r="A783">
        <v>2019</v>
      </c>
      <c r="B783" t="s">
        <v>60</v>
      </c>
      <c r="C783" t="s">
        <v>20</v>
      </c>
      <c r="D783" s="1">
        <v>16598</v>
      </c>
      <c r="E783" s="1">
        <v>179211</v>
      </c>
      <c r="F783" s="2">
        <v>64554</v>
      </c>
    </row>
    <row r="784" spans="1:6" x14ac:dyDescent="0.3">
      <c r="A784">
        <v>2019</v>
      </c>
      <c r="B784" t="s">
        <v>60</v>
      </c>
      <c r="C784" t="s">
        <v>21</v>
      </c>
      <c r="D784" s="1">
        <v>20866</v>
      </c>
      <c r="E784" s="1">
        <v>216049</v>
      </c>
      <c r="F784" s="2">
        <v>52511</v>
      </c>
    </row>
    <row r="785" spans="1:6" x14ac:dyDescent="0.3">
      <c r="A785">
        <v>2019</v>
      </c>
      <c r="B785" t="s">
        <v>60</v>
      </c>
      <c r="C785" t="s">
        <v>22</v>
      </c>
      <c r="D785" s="1">
        <v>25304</v>
      </c>
      <c r="E785" s="1">
        <v>216009</v>
      </c>
      <c r="F785" s="2">
        <v>57624</v>
      </c>
    </row>
    <row r="786" spans="1:6" x14ac:dyDescent="0.3">
      <c r="A786">
        <v>2019</v>
      </c>
      <c r="B786" t="s">
        <v>60</v>
      </c>
      <c r="C786" t="s">
        <v>23</v>
      </c>
      <c r="D786" s="1">
        <v>10504</v>
      </c>
      <c r="E786" s="1">
        <v>69931</v>
      </c>
      <c r="F786" s="2">
        <v>60893</v>
      </c>
    </row>
    <row r="787" spans="1:6" x14ac:dyDescent="0.3">
      <c r="A787">
        <v>2019</v>
      </c>
      <c r="B787" t="s">
        <v>60</v>
      </c>
      <c r="C787" t="s">
        <v>24</v>
      </c>
      <c r="D787" s="1">
        <v>44172</v>
      </c>
      <c r="E787" s="1">
        <v>461724</v>
      </c>
      <c r="F787" s="2">
        <v>82573</v>
      </c>
    </row>
    <row r="788" spans="1:6" x14ac:dyDescent="0.3">
      <c r="A788">
        <v>2019</v>
      </c>
      <c r="B788" t="s">
        <v>60</v>
      </c>
      <c r="C788" t="s">
        <v>25</v>
      </c>
      <c r="D788" s="1">
        <v>47892</v>
      </c>
      <c r="E788" s="1">
        <v>605822</v>
      </c>
      <c r="F788" s="2">
        <v>113872</v>
      </c>
    </row>
    <row r="789" spans="1:6" x14ac:dyDescent="0.3">
      <c r="A789">
        <v>2019</v>
      </c>
      <c r="B789" t="s">
        <v>60</v>
      </c>
      <c r="C789" t="s">
        <v>26</v>
      </c>
      <c r="D789" s="1">
        <v>44483</v>
      </c>
      <c r="E789" s="1">
        <v>655188</v>
      </c>
      <c r="F789" s="2">
        <v>70805</v>
      </c>
    </row>
    <row r="790" spans="1:6" x14ac:dyDescent="0.3">
      <c r="A790">
        <v>2019</v>
      </c>
      <c r="B790" t="s">
        <v>60</v>
      </c>
      <c r="C790" t="s">
        <v>27</v>
      </c>
      <c r="D790" s="1">
        <v>32903</v>
      </c>
      <c r="E790" s="1">
        <v>383591</v>
      </c>
      <c r="F790" s="2">
        <v>85736</v>
      </c>
    </row>
    <row r="791" spans="1:6" x14ac:dyDescent="0.3">
      <c r="A791">
        <v>2019</v>
      </c>
      <c r="B791" t="s">
        <v>60</v>
      </c>
      <c r="C791" t="s">
        <v>28</v>
      </c>
      <c r="D791" s="1">
        <v>12421</v>
      </c>
      <c r="E791" s="1">
        <v>108490</v>
      </c>
      <c r="F791" s="2">
        <v>43023</v>
      </c>
    </row>
    <row r="792" spans="1:6" x14ac:dyDescent="0.3">
      <c r="A792">
        <v>2019</v>
      </c>
      <c r="B792" t="s">
        <v>60</v>
      </c>
      <c r="C792" t="s">
        <v>29</v>
      </c>
      <c r="D792" s="1">
        <v>34349</v>
      </c>
      <c r="E792" s="1">
        <v>382484</v>
      </c>
      <c r="F792" s="2">
        <v>68700</v>
      </c>
    </row>
    <row r="793" spans="1:6" x14ac:dyDescent="0.3">
      <c r="A793">
        <v>2019</v>
      </c>
      <c r="B793" t="s">
        <v>60</v>
      </c>
      <c r="C793" t="s">
        <v>30</v>
      </c>
      <c r="D793" s="1">
        <v>9482</v>
      </c>
      <c r="E793" s="1">
        <v>43417</v>
      </c>
      <c r="F793" s="2">
        <v>54553</v>
      </c>
    </row>
    <row r="794" spans="1:6" x14ac:dyDescent="0.3">
      <c r="A794">
        <v>2019</v>
      </c>
      <c r="B794" t="s">
        <v>60</v>
      </c>
      <c r="C794" t="s">
        <v>31</v>
      </c>
      <c r="D794" s="1">
        <v>11737</v>
      </c>
      <c r="E794" s="1">
        <v>120560</v>
      </c>
      <c r="F794" s="2">
        <v>60603</v>
      </c>
    </row>
    <row r="795" spans="1:6" x14ac:dyDescent="0.3">
      <c r="A795">
        <v>2019</v>
      </c>
      <c r="B795" t="s">
        <v>60</v>
      </c>
      <c r="C795" t="s">
        <v>32</v>
      </c>
      <c r="D795" s="1">
        <v>20106</v>
      </c>
      <c r="E795" s="1">
        <v>196204</v>
      </c>
      <c r="F795" s="2">
        <v>62008</v>
      </c>
    </row>
    <row r="796" spans="1:6" x14ac:dyDescent="0.3">
      <c r="A796">
        <v>2019</v>
      </c>
      <c r="B796" t="s">
        <v>60</v>
      </c>
      <c r="C796" t="s">
        <v>33</v>
      </c>
      <c r="D796" s="1">
        <v>12808</v>
      </c>
      <c r="E796" s="1">
        <v>83513</v>
      </c>
      <c r="F796" s="2">
        <v>80647</v>
      </c>
    </row>
    <row r="797" spans="1:6" x14ac:dyDescent="0.3">
      <c r="A797">
        <v>2019</v>
      </c>
      <c r="B797" t="s">
        <v>60</v>
      </c>
      <c r="C797" t="s">
        <v>34</v>
      </c>
      <c r="D797" s="1">
        <v>52040</v>
      </c>
      <c r="E797" s="1">
        <v>677810</v>
      </c>
      <c r="F797" s="2">
        <v>94022</v>
      </c>
    </row>
    <row r="798" spans="1:6" x14ac:dyDescent="0.3">
      <c r="A798">
        <v>2019</v>
      </c>
      <c r="B798" t="s">
        <v>60</v>
      </c>
      <c r="C798" t="s">
        <v>35</v>
      </c>
      <c r="D798" s="1">
        <v>11347</v>
      </c>
      <c r="E798" s="1">
        <v>111478</v>
      </c>
      <c r="F798" s="2">
        <v>64156</v>
      </c>
    </row>
    <row r="799" spans="1:6" x14ac:dyDescent="0.3">
      <c r="A799">
        <v>2019</v>
      </c>
      <c r="B799" t="s">
        <v>60</v>
      </c>
      <c r="C799" t="s">
        <v>36</v>
      </c>
      <c r="D799" s="1">
        <v>112890</v>
      </c>
      <c r="E799" s="1">
        <v>1368950</v>
      </c>
      <c r="F799" s="2">
        <v>99615</v>
      </c>
    </row>
    <row r="800" spans="1:6" x14ac:dyDescent="0.3">
      <c r="A800">
        <v>2019</v>
      </c>
      <c r="B800" t="s">
        <v>60</v>
      </c>
      <c r="C800" t="s">
        <v>37</v>
      </c>
      <c r="D800" s="1">
        <v>61321</v>
      </c>
      <c r="E800" s="1">
        <v>649747</v>
      </c>
      <c r="F800" s="2">
        <v>67705</v>
      </c>
    </row>
    <row r="801" spans="1:6" x14ac:dyDescent="0.3">
      <c r="A801">
        <v>2019</v>
      </c>
      <c r="B801" t="s">
        <v>60</v>
      </c>
      <c r="C801" t="s">
        <v>38</v>
      </c>
      <c r="D801" s="1">
        <v>5198</v>
      </c>
      <c r="E801" s="1">
        <v>32856</v>
      </c>
      <c r="F801" s="2">
        <v>63897</v>
      </c>
    </row>
    <row r="802" spans="1:6" x14ac:dyDescent="0.3">
      <c r="A802">
        <v>2019</v>
      </c>
      <c r="B802" t="s">
        <v>60</v>
      </c>
      <c r="C802" t="s">
        <v>39</v>
      </c>
      <c r="D802" s="1">
        <v>54330</v>
      </c>
      <c r="E802" s="1">
        <v>734963</v>
      </c>
      <c r="F802" s="2">
        <v>66752</v>
      </c>
    </row>
    <row r="803" spans="1:6" x14ac:dyDescent="0.3">
      <c r="A803">
        <v>2019</v>
      </c>
      <c r="B803" t="s">
        <v>60</v>
      </c>
      <c r="C803" t="s">
        <v>40</v>
      </c>
      <c r="D803" s="1">
        <v>21148</v>
      </c>
      <c r="E803" s="1">
        <v>194601</v>
      </c>
      <c r="F803" s="2">
        <v>54841</v>
      </c>
    </row>
    <row r="804" spans="1:6" x14ac:dyDescent="0.3">
      <c r="A804">
        <v>2019</v>
      </c>
      <c r="B804" t="s">
        <v>60</v>
      </c>
      <c r="C804" t="s">
        <v>41</v>
      </c>
      <c r="D804" s="1">
        <v>26161</v>
      </c>
      <c r="E804" s="1">
        <v>253667</v>
      </c>
      <c r="F804" s="2">
        <v>73460</v>
      </c>
    </row>
    <row r="805" spans="1:6" x14ac:dyDescent="0.3">
      <c r="A805">
        <v>2019</v>
      </c>
      <c r="B805" t="s">
        <v>60</v>
      </c>
      <c r="C805" t="s">
        <v>42</v>
      </c>
      <c r="D805" s="1">
        <v>64541</v>
      </c>
      <c r="E805" s="1">
        <v>816358</v>
      </c>
      <c r="F805" s="2">
        <v>81681</v>
      </c>
    </row>
    <row r="806" spans="1:6" x14ac:dyDescent="0.3">
      <c r="A806">
        <v>2019</v>
      </c>
      <c r="B806" t="s">
        <v>60</v>
      </c>
      <c r="C806" t="s">
        <v>43</v>
      </c>
      <c r="D806" s="1">
        <v>9043</v>
      </c>
      <c r="E806" s="1">
        <v>68259</v>
      </c>
      <c r="F806" s="2">
        <v>68454</v>
      </c>
    </row>
    <row r="807" spans="1:6" x14ac:dyDescent="0.3">
      <c r="A807">
        <v>2019</v>
      </c>
      <c r="B807" t="s">
        <v>60</v>
      </c>
      <c r="C807" t="s">
        <v>44</v>
      </c>
      <c r="D807" s="1">
        <v>29329</v>
      </c>
      <c r="E807" s="1">
        <v>298404</v>
      </c>
      <c r="F807" s="2">
        <v>52492</v>
      </c>
    </row>
    <row r="808" spans="1:6" x14ac:dyDescent="0.3">
      <c r="A808">
        <v>2019</v>
      </c>
      <c r="B808" t="s">
        <v>60</v>
      </c>
      <c r="C808" t="s">
        <v>45</v>
      </c>
      <c r="D808" s="1">
        <v>5498</v>
      </c>
      <c r="E808" s="1">
        <v>33117</v>
      </c>
      <c r="F808" s="2">
        <v>58619</v>
      </c>
    </row>
    <row r="809" spans="1:6" x14ac:dyDescent="0.3">
      <c r="A809">
        <v>2019</v>
      </c>
      <c r="B809" t="s">
        <v>60</v>
      </c>
      <c r="C809" t="s">
        <v>46</v>
      </c>
      <c r="D809" s="1">
        <v>30774</v>
      </c>
      <c r="E809" s="1">
        <v>425933</v>
      </c>
      <c r="F809" s="2">
        <v>62990</v>
      </c>
    </row>
    <row r="810" spans="1:6" x14ac:dyDescent="0.3">
      <c r="A810">
        <v>2019</v>
      </c>
      <c r="B810" t="s">
        <v>60</v>
      </c>
      <c r="C810" t="s">
        <v>47</v>
      </c>
      <c r="D810" s="1">
        <v>139953</v>
      </c>
      <c r="E810" s="1">
        <v>1794316</v>
      </c>
      <c r="F810" s="2">
        <v>77197</v>
      </c>
    </row>
    <row r="811" spans="1:6" x14ac:dyDescent="0.3">
      <c r="A811">
        <v>2019</v>
      </c>
      <c r="B811" t="s">
        <v>60</v>
      </c>
      <c r="C811" t="s">
        <v>48</v>
      </c>
      <c r="D811" s="1">
        <v>24485</v>
      </c>
      <c r="E811" s="1">
        <v>221851</v>
      </c>
      <c r="F811" s="2">
        <v>64641</v>
      </c>
    </row>
    <row r="812" spans="1:6" x14ac:dyDescent="0.3">
      <c r="A812">
        <v>2019</v>
      </c>
      <c r="B812" t="s">
        <v>60</v>
      </c>
      <c r="C812" t="s">
        <v>49</v>
      </c>
      <c r="D812" s="1">
        <v>5970</v>
      </c>
      <c r="E812" s="1">
        <v>29394</v>
      </c>
      <c r="F812" s="2">
        <v>68986</v>
      </c>
    </row>
    <row r="813" spans="1:6" x14ac:dyDescent="0.3">
      <c r="A813">
        <v>2019</v>
      </c>
      <c r="B813" t="s">
        <v>60</v>
      </c>
      <c r="C813" t="s">
        <v>50</v>
      </c>
      <c r="D813" s="1">
        <v>59342</v>
      </c>
      <c r="E813" s="1">
        <v>762590</v>
      </c>
      <c r="F813" s="2">
        <v>90327</v>
      </c>
    </row>
    <row r="814" spans="1:6" x14ac:dyDescent="0.3">
      <c r="A814">
        <v>2019</v>
      </c>
      <c r="B814" t="s">
        <v>60</v>
      </c>
      <c r="C814" t="s">
        <v>51</v>
      </c>
      <c r="D814" s="1">
        <v>41249</v>
      </c>
      <c r="E814" s="1">
        <v>425615</v>
      </c>
      <c r="F814" s="2">
        <v>85460</v>
      </c>
    </row>
    <row r="815" spans="1:6" x14ac:dyDescent="0.3">
      <c r="A815">
        <v>2019</v>
      </c>
      <c r="B815" t="s">
        <v>60</v>
      </c>
      <c r="C815" t="s">
        <v>52</v>
      </c>
      <c r="D815" s="1">
        <v>8381</v>
      </c>
      <c r="E815" s="1">
        <v>69069</v>
      </c>
      <c r="F815" s="2">
        <v>52180</v>
      </c>
    </row>
    <row r="816" spans="1:6" x14ac:dyDescent="0.3">
      <c r="A816">
        <v>2019</v>
      </c>
      <c r="B816" t="s">
        <v>60</v>
      </c>
      <c r="C816" t="s">
        <v>53</v>
      </c>
      <c r="D816" s="1">
        <v>26927</v>
      </c>
      <c r="E816" s="1">
        <v>326120</v>
      </c>
      <c r="F816" s="2">
        <v>63192</v>
      </c>
    </row>
    <row r="817" spans="1:6" x14ac:dyDescent="0.3">
      <c r="A817">
        <v>2019</v>
      </c>
      <c r="B817" t="s">
        <v>60</v>
      </c>
      <c r="C817" t="s">
        <v>54</v>
      </c>
      <c r="D817" s="1">
        <v>4728</v>
      </c>
      <c r="E817" s="1">
        <v>19196</v>
      </c>
      <c r="F817" s="2">
        <v>56253</v>
      </c>
    </row>
    <row r="818" spans="1:6" x14ac:dyDescent="0.3">
      <c r="A818">
        <v>2019</v>
      </c>
      <c r="B818" t="s">
        <v>61</v>
      </c>
      <c r="C818" t="s">
        <v>7</v>
      </c>
      <c r="D818" s="1">
        <v>13692</v>
      </c>
      <c r="E818" s="1">
        <v>238078</v>
      </c>
      <c r="F818" s="2">
        <v>47785</v>
      </c>
    </row>
    <row r="819" spans="1:6" x14ac:dyDescent="0.3">
      <c r="A819">
        <v>2019</v>
      </c>
      <c r="B819" t="s">
        <v>61</v>
      </c>
      <c r="C819" t="s">
        <v>8</v>
      </c>
      <c r="D819" s="1">
        <v>19924</v>
      </c>
      <c r="E819" s="1">
        <v>457984</v>
      </c>
      <c r="F819" s="2">
        <v>52632</v>
      </c>
    </row>
    <row r="820" spans="1:6" x14ac:dyDescent="0.3">
      <c r="A820">
        <v>2019</v>
      </c>
      <c r="B820" t="s">
        <v>61</v>
      </c>
      <c r="C820" t="s">
        <v>9</v>
      </c>
      <c r="D820" s="1">
        <v>15780</v>
      </c>
      <c r="E820" s="1">
        <v>187607</v>
      </c>
      <c r="F820" s="2">
        <v>43983</v>
      </c>
    </row>
    <row r="821" spans="1:6" x14ac:dyDescent="0.3">
      <c r="A821">
        <v>2019</v>
      </c>
      <c r="B821" t="s">
        <v>61</v>
      </c>
      <c r="C821" t="s">
        <v>10</v>
      </c>
      <c r="D821" s="1">
        <v>639529</v>
      </c>
      <c r="E821" s="1">
        <v>2734574</v>
      </c>
      <c r="F821" s="2">
        <v>53909</v>
      </c>
    </row>
    <row r="822" spans="1:6" x14ac:dyDescent="0.3">
      <c r="A822">
        <v>2019</v>
      </c>
      <c r="B822" t="s">
        <v>61</v>
      </c>
      <c r="C822" t="s">
        <v>11</v>
      </c>
      <c r="D822" s="1">
        <v>21747</v>
      </c>
      <c r="E822" s="1">
        <v>341496</v>
      </c>
      <c r="F822" s="2">
        <v>51600</v>
      </c>
    </row>
    <row r="823" spans="1:6" x14ac:dyDescent="0.3">
      <c r="A823">
        <v>2019</v>
      </c>
      <c r="B823" t="s">
        <v>61</v>
      </c>
      <c r="C823" t="s">
        <v>12</v>
      </c>
      <c r="D823" s="1">
        <v>13478</v>
      </c>
      <c r="E823" s="1">
        <v>330418</v>
      </c>
      <c r="F823" s="2">
        <v>57419</v>
      </c>
    </row>
    <row r="824" spans="1:6" x14ac:dyDescent="0.3">
      <c r="A824">
        <v>2019</v>
      </c>
      <c r="B824" t="s">
        <v>61</v>
      </c>
      <c r="C824" t="s">
        <v>13</v>
      </c>
      <c r="D824" s="1">
        <v>5386</v>
      </c>
      <c r="E824" s="1">
        <v>76932</v>
      </c>
      <c r="F824" s="2">
        <v>55284</v>
      </c>
    </row>
    <row r="825" spans="1:6" x14ac:dyDescent="0.3">
      <c r="A825">
        <v>2019</v>
      </c>
      <c r="B825" t="s">
        <v>61</v>
      </c>
      <c r="C825" t="s">
        <v>14</v>
      </c>
      <c r="D825" s="1">
        <v>76615</v>
      </c>
      <c r="E825" s="1">
        <v>1324281</v>
      </c>
      <c r="F825" s="2">
        <v>52039</v>
      </c>
    </row>
    <row r="826" spans="1:6" x14ac:dyDescent="0.3">
      <c r="A826">
        <v>2019</v>
      </c>
      <c r="B826" t="s">
        <v>61</v>
      </c>
      <c r="C826" t="s">
        <v>15</v>
      </c>
      <c r="D826" s="1">
        <v>29998</v>
      </c>
      <c r="E826" s="1">
        <v>580134</v>
      </c>
      <c r="F826" s="2">
        <v>53810</v>
      </c>
    </row>
    <row r="827" spans="1:6" x14ac:dyDescent="0.3">
      <c r="A827">
        <v>2019</v>
      </c>
      <c r="B827" t="s">
        <v>61</v>
      </c>
      <c r="C827" t="s">
        <v>16</v>
      </c>
      <c r="D827" s="1">
        <v>8163</v>
      </c>
      <c r="E827" s="1">
        <v>105424</v>
      </c>
      <c r="F827" s="2">
        <v>43475</v>
      </c>
    </row>
    <row r="828" spans="1:6" x14ac:dyDescent="0.3">
      <c r="A828">
        <v>2019</v>
      </c>
      <c r="B828" t="s">
        <v>61</v>
      </c>
      <c r="C828" t="s">
        <v>17</v>
      </c>
      <c r="D828" s="1">
        <v>35102</v>
      </c>
      <c r="E828" s="1">
        <v>924699</v>
      </c>
      <c r="F828" s="2">
        <v>52038</v>
      </c>
    </row>
    <row r="829" spans="1:6" x14ac:dyDescent="0.3">
      <c r="A829">
        <v>2019</v>
      </c>
      <c r="B829" t="s">
        <v>61</v>
      </c>
      <c r="C829" t="s">
        <v>18</v>
      </c>
      <c r="D829" s="1">
        <v>16247</v>
      </c>
      <c r="E829" s="1">
        <v>468491</v>
      </c>
      <c r="F829" s="2">
        <v>49107</v>
      </c>
    </row>
    <row r="830" spans="1:6" x14ac:dyDescent="0.3">
      <c r="A830">
        <v>2019</v>
      </c>
      <c r="B830" t="s">
        <v>61</v>
      </c>
      <c r="C830" t="s">
        <v>19</v>
      </c>
      <c r="D830" s="1">
        <v>11966</v>
      </c>
      <c r="E830" s="1">
        <v>219013</v>
      </c>
      <c r="F830" s="2">
        <v>44392</v>
      </c>
    </row>
    <row r="831" spans="1:6" x14ac:dyDescent="0.3">
      <c r="A831">
        <v>2019</v>
      </c>
      <c r="B831" t="s">
        <v>61</v>
      </c>
      <c r="C831" t="s">
        <v>20</v>
      </c>
      <c r="D831" s="1">
        <v>10085</v>
      </c>
      <c r="E831" s="1">
        <v>197874</v>
      </c>
      <c r="F831" s="2">
        <v>43909</v>
      </c>
    </row>
    <row r="832" spans="1:6" x14ac:dyDescent="0.3">
      <c r="A832">
        <v>2019</v>
      </c>
      <c r="B832" t="s">
        <v>61</v>
      </c>
      <c r="C832" t="s">
        <v>21</v>
      </c>
      <c r="D832" s="1">
        <v>18442</v>
      </c>
      <c r="E832" s="1">
        <v>272579</v>
      </c>
      <c r="F832" s="2">
        <v>49141</v>
      </c>
    </row>
    <row r="833" spans="1:6" x14ac:dyDescent="0.3">
      <c r="A833">
        <v>2019</v>
      </c>
      <c r="B833" t="s">
        <v>61</v>
      </c>
      <c r="C833" t="s">
        <v>22</v>
      </c>
      <c r="D833" s="1">
        <v>16110</v>
      </c>
      <c r="E833" s="1">
        <v>305742</v>
      </c>
      <c r="F833" s="2">
        <v>44832</v>
      </c>
    </row>
    <row r="834" spans="1:6" x14ac:dyDescent="0.3">
      <c r="A834">
        <v>2019</v>
      </c>
      <c r="B834" t="s">
        <v>61</v>
      </c>
      <c r="C834" t="s">
        <v>23</v>
      </c>
      <c r="D834" s="1">
        <v>5474</v>
      </c>
      <c r="E834" s="1">
        <v>120085</v>
      </c>
      <c r="F834" s="2">
        <v>49342</v>
      </c>
    </row>
    <row r="835" spans="1:6" x14ac:dyDescent="0.3">
      <c r="A835">
        <v>2019</v>
      </c>
      <c r="B835" t="s">
        <v>61</v>
      </c>
      <c r="C835" t="s">
        <v>24</v>
      </c>
      <c r="D835" s="1">
        <v>21419</v>
      </c>
      <c r="E835" s="1">
        <v>451332</v>
      </c>
      <c r="F835" s="2">
        <v>55476</v>
      </c>
    </row>
    <row r="836" spans="1:6" x14ac:dyDescent="0.3">
      <c r="A836">
        <v>2019</v>
      </c>
      <c r="B836" t="s">
        <v>61</v>
      </c>
      <c r="C836" t="s">
        <v>25</v>
      </c>
      <c r="D836" s="1">
        <v>68761</v>
      </c>
      <c r="E836" s="1">
        <v>790552</v>
      </c>
      <c r="F836" s="2">
        <v>59886</v>
      </c>
    </row>
    <row r="837" spans="1:6" x14ac:dyDescent="0.3">
      <c r="A837">
        <v>2019</v>
      </c>
      <c r="B837" t="s">
        <v>61</v>
      </c>
      <c r="C837" t="s">
        <v>26</v>
      </c>
      <c r="D837" s="1">
        <v>25357</v>
      </c>
      <c r="E837" s="1">
        <v>661203</v>
      </c>
      <c r="F837" s="2">
        <v>50845</v>
      </c>
    </row>
    <row r="838" spans="1:6" x14ac:dyDescent="0.3">
      <c r="A838">
        <v>2019</v>
      </c>
      <c r="B838" t="s">
        <v>61</v>
      </c>
      <c r="C838" t="s">
        <v>27</v>
      </c>
      <c r="D838" s="1">
        <v>20728</v>
      </c>
      <c r="E838" s="1">
        <v>530749</v>
      </c>
      <c r="F838" s="2">
        <v>52656</v>
      </c>
    </row>
    <row r="839" spans="1:6" x14ac:dyDescent="0.3">
      <c r="A839">
        <v>2019</v>
      </c>
      <c r="B839" t="s">
        <v>61</v>
      </c>
      <c r="C839" t="s">
        <v>28</v>
      </c>
      <c r="D839" s="1">
        <v>7557</v>
      </c>
      <c r="E839" s="1">
        <v>146077</v>
      </c>
      <c r="F839" s="2">
        <v>42620</v>
      </c>
    </row>
    <row r="840" spans="1:6" x14ac:dyDescent="0.3">
      <c r="A840">
        <v>2019</v>
      </c>
      <c r="B840" t="s">
        <v>61</v>
      </c>
      <c r="C840" t="s">
        <v>29</v>
      </c>
      <c r="D840" s="1">
        <v>52078</v>
      </c>
      <c r="E840" s="1">
        <v>462462</v>
      </c>
      <c r="F840" s="2">
        <v>47562</v>
      </c>
    </row>
    <row r="841" spans="1:6" x14ac:dyDescent="0.3">
      <c r="A841">
        <v>2019</v>
      </c>
      <c r="B841" t="s">
        <v>61</v>
      </c>
      <c r="C841" t="s">
        <v>30</v>
      </c>
      <c r="D841" s="1">
        <v>4834</v>
      </c>
      <c r="E841" s="1">
        <v>74646</v>
      </c>
      <c r="F841" s="2">
        <v>49258</v>
      </c>
    </row>
    <row r="842" spans="1:6" x14ac:dyDescent="0.3">
      <c r="A842">
        <v>2019</v>
      </c>
      <c r="B842" t="s">
        <v>61</v>
      </c>
      <c r="C842" t="s">
        <v>31</v>
      </c>
      <c r="D842" s="1">
        <v>11559</v>
      </c>
      <c r="E842" s="1">
        <v>139275</v>
      </c>
      <c r="F842" s="2">
        <v>48735</v>
      </c>
    </row>
    <row r="843" spans="1:6" x14ac:dyDescent="0.3">
      <c r="A843">
        <v>2019</v>
      </c>
      <c r="B843" t="s">
        <v>61</v>
      </c>
      <c r="C843" t="s">
        <v>32</v>
      </c>
      <c r="D843" s="1">
        <v>8934</v>
      </c>
      <c r="E843" s="1">
        <v>143417</v>
      </c>
      <c r="F843" s="2">
        <v>54808</v>
      </c>
    </row>
    <row r="844" spans="1:6" x14ac:dyDescent="0.3">
      <c r="A844">
        <v>2019</v>
      </c>
      <c r="B844" t="s">
        <v>61</v>
      </c>
      <c r="C844" t="s">
        <v>33</v>
      </c>
      <c r="D844" s="1">
        <v>4773</v>
      </c>
      <c r="E844" s="1">
        <v>114430</v>
      </c>
      <c r="F844" s="2">
        <v>58363</v>
      </c>
    </row>
    <row r="845" spans="1:6" x14ac:dyDescent="0.3">
      <c r="A845">
        <v>2019</v>
      </c>
      <c r="B845" t="s">
        <v>61</v>
      </c>
      <c r="C845" t="s">
        <v>34</v>
      </c>
      <c r="D845" s="1">
        <v>40687</v>
      </c>
      <c r="E845" s="1">
        <v>670070</v>
      </c>
      <c r="F845" s="2">
        <v>55124</v>
      </c>
    </row>
    <row r="846" spans="1:6" x14ac:dyDescent="0.3">
      <c r="A846">
        <v>2019</v>
      </c>
      <c r="B846" t="s">
        <v>61</v>
      </c>
      <c r="C846" t="s">
        <v>35</v>
      </c>
      <c r="D846" s="1">
        <v>10974</v>
      </c>
      <c r="E846" s="1">
        <v>130181</v>
      </c>
      <c r="F846" s="2">
        <v>42852</v>
      </c>
    </row>
    <row r="847" spans="1:6" x14ac:dyDescent="0.3">
      <c r="A847">
        <v>2019</v>
      </c>
      <c r="B847" t="s">
        <v>61</v>
      </c>
      <c r="C847" t="s">
        <v>36</v>
      </c>
      <c r="D847" s="1">
        <v>67202</v>
      </c>
      <c r="E847" s="1">
        <v>1981493</v>
      </c>
      <c r="F847" s="2">
        <v>54638</v>
      </c>
    </row>
    <row r="848" spans="1:6" x14ac:dyDescent="0.3">
      <c r="A848">
        <v>2019</v>
      </c>
      <c r="B848" t="s">
        <v>61</v>
      </c>
      <c r="C848" t="s">
        <v>37</v>
      </c>
      <c r="D848" s="1">
        <v>28199</v>
      </c>
      <c r="E848" s="1">
        <v>606564</v>
      </c>
      <c r="F848" s="2">
        <v>50123</v>
      </c>
    </row>
    <row r="849" spans="1:6" x14ac:dyDescent="0.3">
      <c r="A849">
        <v>2019</v>
      </c>
      <c r="B849" t="s">
        <v>61</v>
      </c>
      <c r="C849" t="s">
        <v>38</v>
      </c>
      <c r="D849" s="1">
        <v>2581</v>
      </c>
      <c r="E849" s="1">
        <v>65771</v>
      </c>
      <c r="F849" s="2">
        <v>52585</v>
      </c>
    </row>
    <row r="850" spans="1:6" x14ac:dyDescent="0.3">
      <c r="A850">
        <v>2019</v>
      </c>
      <c r="B850" t="s">
        <v>61</v>
      </c>
      <c r="C850" t="s">
        <v>39</v>
      </c>
      <c r="D850" s="1">
        <v>35525</v>
      </c>
      <c r="E850" s="1">
        <v>908891</v>
      </c>
      <c r="F850" s="2">
        <v>47891</v>
      </c>
    </row>
    <row r="851" spans="1:6" x14ac:dyDescent="0.3">
      <c r="A851">
        <v>2019</v>
      </c>
      <c r="B851" t="s">
        <v>61</v>
      </c>
      <c r="C851" t="s">
        <v>40</v>
      </c>
      <c r="D851" s="1">
        <v>13345</v>
      </c>
      <c r="E851" s="1">
        <v>213244</v>
      </c>
      <c r="F851" s="2">
        <v>46841</v>
      </c>
    </row>
    <row r="852" spans="1:6" x14ac:dyDescent="0.3">
      <c r="A852">
        <v>2019</v>
      </c>
      <c r="B852" t="s">
        <v>61</v>
      </c>
      <c r="C852" t="s">
        <v>41</v>
      </c>
      <c r="D852" s="1">
        <v>16113</v>
      </c>
      <c r="E852" s="1">
        <v>295311</v>
      </c>
      <c r="F852" s="2">
        <v>51842</v>
      </c>
    </row>
    <row r="853" spans="1:6" x14ac:dyDescent="0.3">
      <c r="A853">
        <v>2019</v>
      </c>
      <c r="B853" t="s">
        <v>61</v>
      </c>
      <c r="C853" t="s">
        <v>42</v>
      </c>
      <c r="D853" s="1">
        <v>57945</v>
      </c>
      <c r="E853" s="1">
        <v>1230922</v>
      </c>
      <c r="F853" s="2">
        <v>53416</v>
      </c>
    </row>
    <row r="854" spans="1:6" x14ac:dyDescent="0.3">
      <c r="A854">
        <v>2019</v>
      </c>
      <c r="B854" t="s">
        <v>61</v>
      </c>
      <c r="C854" t="s">
        <v>43</v>
      </c>
      <c r="D854" s="1">
        <v>4664</v>
      </c>
      <c r="E854" s="1">
        <v>102395</v>
      </c>
      <c r="F854" s="2">
        <v>50458</v>
      </c>
    </row>
    <row r="855" spans="1:6" x14ac:dyDescent="0.3">
      <c r="A855">
        <v>2019</v>
      </c>
      <c r="B855" t="s">
        <v>61</v>
      </c>
      <c r="C855" t="s">
        <v>44</v>
      </c>
      <c r="D855" s="1">
        <v>12757</v>
      </c>
      <c r="E855" s="1">
        <v>237600</v>
      </c>
      <c r="F855" s="2">
        <v>47296</v>
      </c>
    </row>
    <row r="856" spans="1:6" x14ac:dyDescent="0.3">
      <c r="A856">
        <v>2019</v>
      </c>
      <c r="B856" t="s">
        <v>61</v>
      </c>
      <c r="C856" t="s">
        <v>45</v>
      </c>
      <c r="D856" s="1">
        <v>2904</v>
      </c>
      <c r="E856" s="1">
        <v>68913</v>
      </c>
      <c r="F856" s="2">
        <v>52412</v>
      </c>
    </row>
    <row r="857" spans="1:6" x14ac:dyDescent="0.3">
      <c r="A857">
        <v>2019</v>
      </c>
      <c r="B857" t="s">
        <v>61</v>
      </c>
      <c r="C857" t="s">
        <v>46</v>
      </c>
      <c r="D857" s="1">
        <v>16563</v>
      </c>
      <c r="E857" s="1">
        <v>427328</v>
      </c>
      <c r="F857" s="2">
        <v>53183</v>
      </c>
    </row>
    <row r="858" spans="1:6" x14ac:dyDescent="0.3">
      <c r="A858">
        <v>2019</v>
      </c>
      <c r="B858" t="s">
        <v>61</v>
      </c>
      <c r="C858" t="s">
        <v>47</v>
      </c>
      <c r="D858" s="1">
        <v>94237</v>
      </c>
      <c r="E858" s="1">
        <v>1684606</v>
      </c>
      <c r="F858" s="2">
        <v>49322</v>
      </c>
    </row>
    <row r="859" spans="1:6" x14ac:dyDescent="0.3">
      <c r="A859">
        <v>2019</v>
      </c>
      <c r="B859" t="s">
        <v>61</v>
      </c>
      <c r="C859" t="s">
        <v>48</v>
      </c>
      <c r="D859" s="1">
        <v>12857</v>
      </c>
      <c r="E859" s="1">
        <v>193373</v>
      </c>
      <c r="F859" s="2">
        <v>44983</v>
      </c>
    </row>
    <row r="860" spans="1:6" x14ac:dyDescent="0.3">
      <c r="A860">
        <v>2019</v>
      </c>
      <c r="B860" t="s">
        <v>61</v>
      </c>
      <c r="C860" t="s">
        <v>49</v>
      </c>
      <c r="D860" s="1">
        <v>2503</v>
      </c>
      <c r="E860" s="1">
        <v>62317</v>
      </c>
      <c r="F860" s="2">
        <v>48501</v>
      </c>
    </row>
    <row r="861" spans="1:6" x14ac:dyDescent="0.3">
      <c r="A861">
        <v>2019</v>
      </c>
      <c r="B861" t="s">
        <v>61</v>
      </c>
      <c r="C861" t="s">
        <v>50</v>
      </c>
      <c r="D861" s="1">
        <v>50144</v>
      </c>
      <c r="E861" s="1">
        <v>517645</v>
      </c>
      <c r="F861" s="2">
        <v>50876</v>
      </c>
    </row>
    <row r="862" spans="1:6" x14ac:dyDescent="0.3">
      <c r="A862">
        <v>2019</v>
      </c>
      <c r="B862" t="s">
        <v>61</v>
      </c>
      <c r="C862" t="s">
        <v>51</v>
      </c>
      <c r="D862" s="1">
        <v>64023</v>
      </c>
      <c r="E862" s="1">
        <v>478274</v>
      </c>
      <c r="F862" s="2">
        <v>53267</v>
      </c>
    </row>
    <row r="863" spans="1:6" x14ac:dyDescent="0.3">
      <c r="A863">
        <v>2019</v>
      </c>
      <c r="B863" t="s">
        <v>61</v>
      </c>
      <c r="C863" t="s">
        <v>52</v>
      </c>
      <c r="D863" s="1">
        <v>5755</v>
      </c>
      <c r="E863" s="1">
        <v>125528</v>
      </c>
      <c r="F863" s="2">
        <v>47876</v>
      </c>
    </row>
    <row r="864" spans="1:6" x14ac:dyDescent="0.3">
      <c r="A864">
        <v>2019</v>
      </c>
      <c r="B864" t="s">
        <v>61</v>
      </c>
      <c r="C864" t="s">
        <v>53</v>
      </c>
      <c r="D864" s="1">
        <v>29257</v>
      </c>
      <c r="E864" s="1">
        <v>440255</v>
      </c>
      <c r="F864" s="2">
        <v>50951</v>
      </c>
    </row>
    <row r="865" spans="1:6" x14ac:dyDescent="0.3">
      <c r="A865">
        <v>2019</v>
      </c>
      <c r="B865" t="s">
        <v>61</v>
      </c>
      <c r="C865" t="s">
        <v>54</v>
      </c>
      <c r="D865" s="1">
        <v>3384</v>
      </c>
      <c r="E865" s="1">
        <v>27323</v>
      </c>
      <c r="F865" s="2">
        <v>44083</v>
      </c>
    </row>
    <row r="866" spans="1:6" x14ac:dyDescent="0.3">
      <c r="A866">
        <v>2019</v>
      </c>
      <c r="B866" t="s">
        <v>62</v>
      </c>
      <c r="C866" t="s">
        <v>7</v>
      </c>
      <c r="D866" s="1">
        <v>11180</v>
      </c>
      <c r="E866" s="1">
        <v>208446</v>
      </c>
      <c r="F866" s="2">
        <v>17618</v>
      </c>
    </row>
    <row r="867" spans="1:6" x14ac:dyDescent="0.3">
      <c r="A867">
        <v>2019</v>
      </c>
      <c r="B867" t="s">
        <v>62</v>
      </c>
      <c r="C867" t="s">
        <v>8</v>
      </c>
      <c r="D867" s="1">
        <v>14256</v>
      </c>
      <c r="E867" s="1">
        <v>331295</v>
      </c>
      <c r="F867" s="2">
        <v>25557</v>
      </c>
    </row>
    <row r="868" spans="1:6" x14ac:dyDescent="0.3">
      <c r="A868">
        <v>2019</v>
      </c>
      <c r="B868" t="s">
        <v>62</v>
      </c>
      <c r="C868" t="s">
        <v>9</v>
      </c>
      <c r="D868" s="1">
        <v>7315</v>
      </c>
      <c r="E868" s="1">
        <v>120644</v>
      </c>
      <c r="F868" s="2">
        <v>17299</v>
      </c>
    </row>
    <row r="869" spans="1:6" x14ac:dyDescent="0.3">
      <c r="A869">
        <v>2019</v>
      </c>
      <c r="B869" t="s">
        <v>62</v>
      </c>
      <c r="C869" t="s">
        <v>10</v>
      </c>
      <c r="D869" s="1">
        <v>116191</v>
      </c>
      <c r="E869" s="1">
        <v>2034920</v>
      </c>
      <c r="F869" s="2">
        <v>32379</v>
      </c>
    </row>
    <row r="870" spans="1:6" x14ac:dyDescent="0.3">
      <c r="A870">
        <v>2019</v>
      </c>
      <c r="B870" t="s">
        <v>62</v>
      </c>
      <c r="C870" t="s">
        <v>11</v>
      </c>
      <c r="D870" s="1">
        <v>17317</v>
      </c>
      <c r="E870" s="1">
        <v>344935</v>
      </c>
      <c r="F870" s="2">
        <v>27131</v>
      </c>
    </row>
    <row r="871" spans="1:6" x14ac:dyDescent="0.3">
      <c r="A871">
        <v>2019</v>
      </c>
      <c r="B871" t="s">
        <v>62</v>
      </c>
      <c r="C871" t="s">
        <v>12</v>
      </c>
      <c r="D871" s="1">
        <v>10917</v>
      </c>
      <c r="E871" s="1">
        <v>157574</v>
      </c>
      <c r="F871" s="2">
        <v>24451</v>
      </c>
    </row>
    <row r="872" spans="1:6" x14ac:dyDescent="0.3">
      <c r="A872">
        <v>2019</v>
      </c>
      <c r="B872" t="s">
        <v>62</v>
      </c>
      <c r="C872" t="s">
        <v>13</v>
      </c>
      <c r="D872" s="1">
        <v>2710</v>
      </c>
      <c r="E872" s="1">
        <v>53038</v>
      </c>
      <c r="F872" s="2">
        <v>21264</v>
      </c>
    </row>
    <row r="873" spans="1:6" x14ac:dyDescent="0.3">
      <c r="A873">
        <v>2019</v>
      </c>
      <c r="B873" t="s">
        <v>62</v>
      </c>
      <c r="C873" t="s">
        <v>14</v>
      </c>
      <c r="D873" s="1">
        <v>58596</v>
      </c>
      <c r="E873" s="1">
        <v>1257201</v>
      </c>
      <c r="F873" s="2">
        <v>26675</v>
      </c>
    </row>
    <row r="874" spans="1:6" x14ac:dyDescent="0.3">
      <c r="A874">
        <v>2019</v>
      </c>
      <c r="B874" t="s">
        <v>62</v>
      </c>
      <c r="C874" t="s">
        <v>15</v>
      </c>
      <c r="D874" s="1">
        <v>25254</v>
      </c>
      <c r="E874" s="1">
        <v>498529</v>
      </c>
      <c r="F874" s="2">
        <v>21342</v>
      </c>
    </row>
    <row r="875" spans="1:6" x14ac:dyDescent="0.3">
      <c r="A875">
        <v>2019</v>
      </c>
      <c r="B875" t="s">
        <v>62</v>
      </c>
      <c r="C875" t="s">
        <v>16</v>
      </c>
      <c r="D875" s="1">
        <v>5038</v>
      </c>
      <c r="E875" s="1">
        <v>82521</v>
      </c>
      <c r="F875" s="2">
        <v>17770</v>
      </c>
    </row>
    <row r="876" spans="1:6" x14ac:dyDescent="0.3">
      <c r="A876">
        <v>2019</v>
      </c>
      <c r="B876" t="s">
        <v>62</v>
      </c>
      <c r="C876" t="s">
        <v>17</v>
      </c>
      <c r="D876" s="1">
        <v>33183</v>
      </c>
      <c r="E876" s="1">
        <v>622987</v>
      </c>
      <c r="F876" s="2">
        <v>24703</v>
      </c>
    </row>
    <row r="877" spans="1:6" x14ac:dyDescent="0.3">
      <c r="A877">
        <v>2019</v>
      </c>
      <c r="B877" t="s">
        <v>62</v>
      </c>
      <c r="C877" t="s">
        <v>18</v>
      </c>
      <c r="D877" s="1">
        <v>15776</v>
      </c>
      <c r="E877" s="1">
        <v>313889</v>
      </c>
      <c r="F877" s="2">
        <v>19660</v>
      </c>
    </row>
    <row r="878" spans="1:6" x14ac:dyDescent="0.3">
      <c r="A878">
        <v>2019</v>
      </c>
      <c r="B878" t="s">
        <v>62</v>
      </c>
      <c r="C878" t="s">
        <v>19</v>
      </c>
      <c r="D878" s="1">
        <v>8796</v>
      </c>
      <c r="E878" s="1">
        <v>144265</v>
      </c>
      <c r="F878" s="2">
        <v>17261</v>
      </c>
    </row>
    <row r="879" spans="1:6" x14ac:dyDescent="0.3">
      <c r="A879">
        <v>2019</v>
      </c>
      <c r="B879" t="s">
        <v>62</v>
      </c>
      <c r="C879" t="s">
        <v>20</v>
      </c>
      <c r="D879" s="1">
        <v>6871</v>
      </c>
      <c r="E879" s="1">
        <v>130101</v>
      </c>
      <c r="F879" s="2">
        <v>17333</v>
      </c>
    </row>
    <row r="880" spans="1:6" x14ac:dyDescent="0.3">
      <c r="A880">
        <v>2019</v>
      </c>
      <c r="B880" t="s">
        <v>62</v>
      </c>
      <c r="C880" t="s">
        <v>21</v>
      </c>
      <c r="D880" s="1">
        <v>10118</v>
      </c>
      <c r="E880" s="1">
        <v>201748</v>
      </c>
      <c r="F880" s="2">
        <v>18350</v>
      </c>
    </row>
    <row r="881" spans="1:6" x14ac:dyDescent="0.3">
      <c r="A881">
        <v>2019</v>
      </c>
      <c r="B881" t="s">
        <v>62</v>
      </c>
      <c r="C881" t="s">
        <v>22</v>
      </c>
      <c r="D881" s="1">
        <v>12912</v>
      </c>
      <c r="E881" s="1">
        <v>237469</v>
      </c>
      <c r="F881" s="2">
        <v>21789</v>
      </c>
    </row>
    <row r="882" spans="1:6" x14ac:dyDescent="0.3">
      <c r="A882">
        <v>2019</v>
      </c>
      <c r="B882" t="s">
        <v>62</v>
      </c>
      <c r="C882" t="s">
        <v>23</v>
      </c>
      <c r="D882" s="1">
        <v>5132</v>
      </c>
      <c r="E882" s="1">
        <v>69501</v>
      </c>
      <c r="F882" s="2">
        <v>23169</v>
      </c>
    </row>
    <row r="883" spans="1:6" x14ac:dyDescent="0.3">
      <c r="A883">
        <v>2019</v>
      </c>
      <c r="B883" t="s">
        <v>62</v>
      </c>
      <c r="C883" t="s">
        <v>24</v>
      </c>
      <c r="D883" s="1">
        <v>15043</v>
      </c>
      <c r="E883" s="1">
        <v>282746</v>
      </c>
      <c r="F883" s="2">
        <v>24758</v>
      </c>
    </row>
    <row r="884" spans="1:6" x14ac:dyDescent="0.3">
      <c r="A884">
        <v>2019</v>
      </c>
      <c r="B884" t="s">
        <v>62</v>
      </c>
      <c r="C884" t="s">
        <v>25</v>
      </c>
      <c r="D884" s="1">
        <v>20740</v>
      </c>
      <c r="E884" s="1">
        <v>379863</v>
      </c>
      <c r="F884" s="2">
        <v>29500</v>
      </c>
    </row>
    <row r="885" spans="1:6" x14ac:dyDescent="0.3">
      <c r="A885">
        <v>2019</v>
      </c>
      <c r="B885" t="s">
        <v>62</v>
      </c>
      <c r="C885" t="s">
        <v>26</v>
      </c>
      <c r="D885" s="1">
        <v>23113</v>
      </c>
      <c r="E885" s="1">
        <v>434299</v>
      </c>
      <c r="F885" s="2">
        <v>21121</v>
      </c>
    </row>
    <row r="886" spans="1:6" x14ac:dyDescent="0.3">
      <c r="A886">
        <v>2019</v>
      </c>
      <c r="B886" t="s">
        <v>62</v>
      </c>
      <c r="C886" t="s">
        <v>27</v>
      </c>
      <c r="D886" s="1">
        <v>15325</v>
      </c>
      <c r="E886" s="1">
        <v>275608</v>
      </c>
      <c r="F886" s="2">
        <v>23261</v>
      </c>
    </row>
    <row r="887" spans="1:6" x14ac:dyDescent="0.3">
      <c r="A887">
        <v>2019</v>
      </c>
      <c r="B887" t="s">
        <v>62</v>
      </c>
      <c r="C887" t="s">
        <v>28</v>
      </c>
      <c r="D887" s="1">
        <v>6514</v>
      </c>
      <c r="E887" s="1">
        <v>136282</v>
      </c>
      <c r="F887" s="2">
        <v>17817</v>
      </c>
    </row>
    <row r="888" spans="1:6" x14ac:dyDescent="0.3">
      <c r="A888">
        <v>2019</v>
      </c>
      <c r="B888" t="s">
        <v>62</v>
      </c>
      <c r="C888" t="s">
        <v>29</v>
      </c>
      <c r="D888" s="1">
        <v>15195</v>
      </c>
      <c r="E888" s="1">
        <v>308646</v>
      </c>
      <c r="F888" s="2">
        <v>21614</v>
      </c>
    </row>
    <row r="889" spans="1:6" x14ac:dyDescent="0.3">
      <c r="A889">
        <v>2019</v>
      </c>
      <c r="B889" t="s">
        <v>62</v>
      </c>
      <c r="C889" t="s">
        <v>30</v>
      </c>
      <c r="D889" s="1">
        <v>5052</v>
      </c>
      <c r="E889" s="1">
        <v>67008</v>
      </c>
      <c r="F889" s="2">
        <v>19955</v>
      </c>
    </row>
    <row r="890" spans="1:6" x14ac:dyDescent="0.3">
      <c r="A890">
        <v>2019</v>
      </c>
      <c r="B890" t="s">
        <v>62</v>
      </c>
      <c r="C890" t="s">
        <v>31</v>
      </c>
      <c r="D890" s="1">
        <v>5609</v>
      </c>
      <c r="E890" s="1">
        <v>93856</v>
      </c>
      <c r="F890" s="2">
        <v>17213</v>
      </c>
    </row>
    <row r="891" spans="1:6" x14ac:dyDescent="0.3">
      <c r="A891">
        <v>2019</v>
      </c>
      <c r="B891" t="s">
        <v>62</v>
      </c>
      <c r="C891" t="s">
        <v>32</v>
      </c>
      <c r="D891" s="1">
        <v>8716</v>
      </c>
      <c r="E891" s="1">
        <v>355178</v>
      </c>
      <c r="F891" s="2">
        <v>34432</v>
      </c>
    </row>
    <row r="892" spans="1:6" x14ac:dyDescent="0.3">
      <c r="A892">
        <v>2019</v>
      </c>
      <c r="B892" t="s">
        <v>62</v>
      </c>
      <c r="C892" t="s">
        <v>33</v>
      </c>
      <c r="D892" s="1">
        <v>4675</v>
      </c>
      <c r="E892" s="1">
        <v>73214</v>
      </c>
      <c r="F892" s="2">
        <v>22783</v>
      </c>
    </row>
    <row r="893" spans="1:6" x14ac:dyDescent="0.3">
      <c r="A893">
        <v>2019</v>
      </c>
      <c r="B893" t="s">
        <v>62</v>
      </c>
      <c r="C893" t="s">
        <v>34</v>
      </c>
      <c r="D893" s="1">
        <v>24526</v>
      </c>
      <c r="E893" s="1">
        <v>391519</v>
      </c>
      <c r="F893" s="2">
        <v>26347</v>
      </c>
    </row>
    <row r="894" spans="1:6" x14ac:dyDescent="0.3">
      <c r="A894">
        <v>2019</v>
      </c>
      <c r="B894" t="s">
        <v>62</v>
      </c>
      <c r="C894" t="s">
        <v>35</v>
      </c>
      <c r="D894" s="1">
        <v>5277</v>
      </c>
      <c r="E894" s="1">
        <v>99656</v>
      </c>
      <c r="F894" s="2">
        <v>19571</v>
      </c>
    </row>
    <row r="895" spans="1:6" x14ac:dyDescent="0.3">
      <c r="A895">
        <v>2019</v>
      </c>
      <c r="B895" t="s">
        <v>62</v>
      </c>
      <c r="C895" t="s">
        <v>36</v>
      </c>
      <c r="D895" s="1">
        <v>65868</v>
      </c>
      <c r="E895" s="1">
        <v>957897</v>
      </c>
      <c r="F895" s="2">
        <v>35828</v>
      </c>
    </row>
    <row r="896" spans="1:6" x14ac:dyDescent="0.3">
      <c r="A896">
        <v>2019</v>
      </c>
      <c r="B896" t="s">
        <v>62</v>
      </c>
      <c r="C896" t="s">
        <v>37</v>
      </c>
      <c r="D896" s="1">
        <v>26474</v>
      </c>
      <c r="E896" s="1">
        <v>515152</v>
      </c>
      <c r="F896" s="2">
        <v>20460</v>
      </c>
    </row>
    <row r="897" spans="1:6" x14ac:dyDescent="0.3">
      <c r="A897">
        <v>2019</v>
      </c>
      <c r="B897" t="s">
        <v>62</v>
      </c>
      <c r="C897" t="s">
        <v>38</v>
      </c>
      <c r="D897" s="1">
        <v>2610</v>
      </c>
      <c r="E897" s="1">
        <v>40423</v>
      </c>
      <c r="F897" s="2">
        <v>18573</v>
      </c>
    </row>
    <row r="898" spans="1:6" x14ac:dyDescent="0.3">
      <c r="A898">
        <v>2019</v>
      </c>
      <c r="B898" t="s">
        <v>62</v>
      </c>
      <c r="C898" t="s">
        <v>39</v>
      </c>
      <c r="D898" s="1">
        <v>29035</v>
      </c>
      <c r="E898" s="1">
        <v>570254</v>
      </c>
      <c r="F898" s="2">
        <v>20197</v>
      </c>
    </row>
    <row r="899" spans="1:6" x14ac:dyDescent="0.3">
      <c r="A899">
        <v>2019</v>
      </c>
      <c r="B899" t="s">
        <v>62</v>
      </c>
      <c r="C899" t="s">
        <v>40</v>
      </c>
      <c r="D899" s="1">
        <v>9209</v>
      </c>
      <c r="E899" s="1">
        <v>174213</v>
      </c>
      <c r="F899" s="2">
        <v>18600</v>
      </c>
    </row>
    <row r="900" spans="1:6" x14ac:dyDescent="0.3">
      <c r="A900">
        <v>2019</v>
      </c>
      <c r="B900" t="s">
        <v>62</v>
      </c>
      <c r="C900" t="s">
        <v>41</v>
      </c>
      <c r="D900" s="1">
        <v>14116</v>
      </c>
      <c r="E900" s="1">
        <v>213454</v>
      </c>
      <c r="F900" s="2">
        <v>23818</v>
      </c>
    </row>
    <row r="901" spans="1:6" x14ac:dyDescent="0.3">
      <c r="A901">
        <v>2019</v>
      </c>
      <c r="B901" t="s">
        <v>62</v>
      </c>
      <c r="C901" t="s">
        <v>42</v>
      </c>
      <c r="D901" s="1">
        <v>33729</v>
      </c>
      <c r="E901" s="1">
        <v>577911</v>
      </c>
      <c r="F901" s="2">
        <v>22011</v>
      </c>
    </row>
    <row r="902" spans="1:6" x14ac:dyDescent="0.3">
      <c r="A902">
        <v>2019</v>
      </c>
      <c r="B902" t="s">
        <v>62</v>
      </c>
      <c r="C902" t="s">
        <v>43</v>
      </c>
      <c r="D902" s="1">
        <v>3873</v>
      </c>
      <c r="E902" s="1">
        <v>60008</v>
      </c>
      <c r="F902" s="2">
        <v>23680</v>
      </c>
    </row>
    <row r="903" spans="1:6" x14ac:dyDescent="0.3">
      <c r="A903">
        <v>2019</v>
      </c>
      <c r="B903" t="s">
        <v>62</v>
      </c>
      <c r="C903" t="s">
        <v>44</v>
      </c>
      <c r="D903" s="1">
        <v>13400</v>
      </c>
      <c r="E903" s="1">
        <v>270473</v>
      </c>
      <c r="F903" s="2">
        <v>18816</v>
      </c>
    </row>
    <row r="904" spans="1:6" x14ac:dyDescent="0.3">
      <c r="A904">
        <v>2019</v>
      </c>
      <c r="B904" t="s">
        <v>62</v>
      </c>
      <c r="C904" t="s">
        <v>45</v>
      </c>
      <c r="D904" s="1">
        <v>3191</v>
      </c>
      <c r="E904" s="1">
        <v>47413</v>
      </c>
      <c r="F904" s="2">
        <v>17519</v>
      </c>
    </row>
    <row r="905" spans="1:6" x14ac:dyDescent="0.3">
      <c r="A905">
        <v>2019</v>
      </c>
      <c r="B905" t="s">
        <v>62</v>
      </c>
      <c r="C905" t="s">
        <v>46</v>
      </c>
      <c r="D905" s="1">
        <v>16924</v>
      </c>
      <c r="E905" s="1">
        <v>347181</v>
      </c>
      <c r="F905" s="2">
        <v>23878</v>
      </c>
    </row>
    <row r="906" spans="1:6" x14ac:dyDescent="0.3">
      <c r="A906">
        <v>2019</v>
      </c>
      <c r="B906" t="s">
        <v>62</v>
      </c>
      <c r="C906" t="s">
        <v>47</v>
      </c>
      <c r="D906" s="1">
        <v>65057</v>
      </c>
      <c r="E906" s="1">
        <v>1394036</v>
      </c>
      <c r="F906" s="2">
        <v>22762</v>
      </c>
    </row>
    <row r="907" spans="1:6" x14ac:dyDescent="0.3">
      <c r="A907">
        <v>2019</v>
      </c>
      <c r="B907" t="s">
        <v>62</v>
      </c>
      <c r="C907" t="s">
        <v>48</v>
      </c>
      <c r="D907" s="1">
        <v>7570</v>
      </c>
      <c r="E907" s="1">
        <v>153412</v>
      </c>
      <c r="F907" s="2">
        <v>20955</v>
      </c>
    </row>
    <row r="908" spans="1:6" x14ac:dyDescent="0.3">
      <c r="A908">
        <v>2019</v>
      </c>
      <c r="B908" t="s">
        <v>62</v>
      </c>
      <c r="C908" t="s">
        <v>49</v>
      </c>
      <c r="D908" s="1">
        <v>2268</v>
      </c>
      <c r="E908" s="1">
        <v>37208</v>
      </c>
      <c r="F908" s="2">
        <v>23863</v>
      </c>
    </row>
    <row r="909" spans="1:6" x14ac:dyDescent="0.3">
      <c r="A909">
        <v>2019</v>
      </c>
      <c r="B909" t="s">
        <v>62</v>
      </c>
      <c r="C909" t="s">
        <v>50</v>
      </c>
      <c r="D909" s="1">
        <v>20743</v>
      </c>
      <c r="E909" s="1">
        <v>408354</v>
      </c>
      <c r="F909" s="2">
        <v>21582</v>
      </c>
    </row>
    <row r="910" spans="1:6" x14ac:dyDescent="0.3">
      <c r="A910">
        <v>2019</v>
      </c>
      <c r="B910" t="s">
        <v>62</v>
      </c>
      <c r="C910" t="s">
        <v>51</v>
      </c>
      <c r="D910" s="1">
        <v>20637</v>
      </c>
      <c r="E910" s="1">
        <v>341265</v>
      </c>
      <c r="F910" s="2">
        <v>26566</v>
      </c>
    </row>
    <row r="911" spans="1:6" x14ac:dyDescent="0.3">
      <c r="A911">
        <v>2019</v>
      </c>
      <c r="B911" t="s">
        <v>62</v>
      </c>
      <c r="C911" t="s">
        <v>52</v>
      </c>
      <c r="D911" s="1">
        <v>4658</v>
      </c>
      <c r="E911" s="1">
        <v>75027</v>
      </c>
      <c r="F911" s="2">
        <v>18256</v>
      </c>
    </row>
    <row r="912" spans="1:6" x14ac:dyDescent="0.3">
      <c r="A912">
        <v>2019</v>
      </c>
      <c r="B912" t="s">
        <v>62</v>
      </c>
      <c r="C912" t="s">
        <v>53</v>
      </c>
      <c r="D912" s="1">
        <v>17015</v>
      </c>
      <c r="E912" s="1">
        <v>285279</v>
      </c>
      <c r="F912" s="2">
        <v>18758</v>
      </c>
    </row>
    <row r="913" spans="1:6" x14ac:dyDescent="0.3">
      <c r="A913">
        <v>2019</v>
      </c>
      <c r="B913" t="s">
        <v>62</v>
      </c>
      <c r="C913" t="s">
        <v>54</v>
      </c>
      <c r="D913" s="1">
        <v>2398</v>
      </c>
      <c r="E913" s="1">
        <v>37041</v>
      </c>
      <c r="F913" s="2">
        <v>21994</v>
      </c>
    </row>
    <row r="914" spans="1:6" x14ac:dyDescent="0.3">
      <c r="A914">
        <v>2019</v>
      </c>
      <c r="B914" t="s">
        <v>63</v>
      </c>
      <c r="C914" t="s">
        <v>7</v>
      </c>
      <c r="D914" s="1">
        <v>10189</v>
      </c>
      <c r="E914" s="1">
        <v>46816</v>
      </c>
      <c r="F914" s="2">
        <v>38607</v>
      </c>
    </row>
    <row r="915" spans="1:6" x14ac:dyDescent="0.3">
      <c r="A915">
        <v>2019</v>
      </c>
      <c r="B915" t="s">
        <v>63</v>
      </c>
      <c r="C915" t="s">
        <v>8</v>
      </c>
      <c r="D915" s="1">
        <v>10674</v>
      </c>
      <c r="E915" s="1">
        <v>75782</v>
      </c>
      <c r="F915" s="2">
        <v>39965</v>
      </c>
    </row>
    <row r="916" spans="1:6" x14ac:dyDescent="0.3">
      <c r="A916">
        <v>2019</v>
      </c>
      <c r="B916" t="s">
        <v>63</v>
      </c>
      <c r="C916" t="s">
        <v>9</v>
      </c>
      <c r="D916" s="1">
        <v>5359</v>
      </c>
      <c r="E916" s="1">
        <v>25279</v>
      </c>
      <c r="F916" s="2">
        <v>36115</v>
      </c>
    </row>
    <row r="917" spans="1:6" x14ac:dyDescent="0.3">
      <c r="A917">
        <v>2019</v>
      </c>
      <c r="B917" t="s">
        <v>63</v>
      </c>
      <c r="C917" t="s">
        <v>10</v>
      </c>
      <c r="D917" s="1">
        <v>97442</v>
      </c>
      <c r="E917" s="1">
        <v>547972</v>
      </c>
      <c r="F917" s="2">
        <v>42293</v>
      </c>
    </row>
    <row r="918" spans="1:6" x14ac:dyDescent="0.3">
      <c r="A918">
        <v>2019</v>
      </c>
      <c r="B918" t="s">
        <v>63</v>
      </c>
      <c r="C918" t="s">
        <v>11</v>
      </c>
      <c r="D918" s="1">
        <v>17008</v>
      </c>
      <c r="E918" s="1">
        <v>84571</v>
      </c>
      <c r="F918" s="2">
        <v>42381</v>
      </c>
    </row>
    <row r="919" spans="1:6" x14ac:dyDescent="0.3">
      <c r="A919">
        <v>2019</v>
      </c>
      <c r="B919" t="s">
        <v>63</v>
      </c>
      <c r="C919" t="s">
        <v>12</v>
      </c>
      <c r="D919" s="1">
        <v>18146</v>
      </c>
      <c r="E919" s="1">
        <v>66497</v>
      </c>
      <c r="F919" s="2">
        <v>34861</v>
      </c>
    </row>
    <row r="920" spans="1:6" x14ac:dyDescent="0.3">
      <c r="A920">
        <v>2019</v>
      </c>
      <c r="B920" t="s">
        <v>63</v>
      </c>
      <c r="C920" t="s">
        <v>13</v>
      </c>
      <c r="D920" s="1">
        <v>2052</v>
      </c>
      <c r="E920" s="1">
        <v>12125</v>
      </c>
      <c r="F920" s="2">
        <v>35636</v>
      </c>
    </row>
    <row r="921" spans="1:6" x14ac:dyDescent="0.3">
      <c r="A921">
        <v>2019</v>
      </c>
      <c r="B921" t="s">
        <v>63</v>
      </c>
      <c r="C921" t="s">
        <v>14</v>
      </c>
      <c r="D921" s="1">
        <v>56765</v>
      </c>
      <c r="E921" s="1">
        <v>281975</v>
      </c>
      <c r="F921" s="2">
        <v>37969</v>
      </c>
    </row>
    <row r="922" spans="1:6" x14ac:dyDescent="0.3">
      <c r="A922">
        <v>2019</v>
      </c>
      <c r="B922" t="s">
        <v>63</v>
      </c>
      <c r="C922" t="s">
        <v>15</v>
      </c>
      <c r="D922" s="1">
        <v>18227</v>
      </c>
      <c r="E922" s="1">
        <v>111902</v>
      </c>
      <c r="F922" s="2">
        <v>37971</v>
      </c>
    </row>
    <row r="923" spans="1:6" x14ac:dyDescent="0.3">
      <c r="A923">
        <v>2019</v>
      </c>
      <c r="B923" t="s">
        <v>63</v>
      </c>
      <c r="C923" t="s">
        <v>16</v>
      </c>
      <c r="D923" s="1">
        <v>3845</v>
      </c>
      <c r="E923" s="1">
        <v>19414</v>
      </c>
      <c r="F923" s="2">
        <v>32615</v>
      </c>
    </row>
    <row r="924" spans="1:6" x14ac:dyDescent="0.3">
      <c r="A924">
        <v>2019</v>
      </c>
      <c r="B924" t="s">
        <v>63</v>
      </c>
      <c r="C924" t="s">
        <v>17</v>
      </c>
      <c r="D924" s="1">
        <v>39884</v>
      </c>
      <c r="E924" s="1">
        <v>209967</v>
      </c>
      <c r="F924" s="2">
        <v>43714</v>
      </c>
    </row>
    <row r="925" spans="1:6" x14ac:dyDescent="0.3">
      <c r="A925">
        <v>2019</v>
      </c>
      <c r="B925" t="s">
        <v>63</v>
      </c>
      <c r="C925" t="s">
        <v>18</v>
      </c>
      <c r="D925" s="1">
        <v>12916</v>
      </c>
      <c r="E925" s="1">
        <v>89273</v>
      </c>
      <c r="F925" s="2">
        <v>33759</v>
      </c>
    </row>
    <row r="926" spans="1:6" x14ac:dyDescent="0.3">
      <c r="A926">
        <v>2019</v>
      </c>
      <c r="B926" t="s">
        <v>63</v>
      </c>
      <c r="C926" t="s">
        <v>19</v>
      </c>
      <c r="D926" s="1">
        <v>8547</v>
      </c>
      <c r="E926" s="1">
        <v>42519</v>
      </c>
      <c r="F926" s="2">
        <v>36534</v>
      </c>
    </row>
    <row r="927" spans="1:6" x14ac:dyDescent="0.3">
      <c r="A927">
        <v>2019</v>
      </c>
      <c r="B927" t="s">
        <v>63</v>
      </c>
      <c r="C927" t="s">
        <v>20</v>
      </c>
      <c r="D927" s="1">
        <v>5938</v>
      </c>
      <c r="E927" s="1">
        <v>34833</v>
      </c>
      <c r="F927" s="2">
        <v>35624</v>
      </c>
    </row>
    <row r="928" spans="1:6" x14ac:dyDescent="0.3">
      <c r="A928">
        <v>2019</v>
      </c>
      <c r="B928" t="s">
        <v>63</v>
      </c>
      <c r="C928" t="s">
        <v>21</v>
      </c>
      <c r="D928" s="1">
        <v>10404</v>
      </c>
      <c r="E928" s="1">
        <v>46571</v>
      </c>
      <c r="F928" s="2">
        <v>34846</v>
      </c>
    </row>
    <row r="929" spans="1:6" x14ac:dyDescent="0.3">
      <c r="A929">
        <v>2019</v>
      </c>
      <c r="B929" t="s">
        <v>63</v>
      </c>
      <c r="C929" t="s">
        <v>22</v>
      </c>
      <c r="D929" s="1">
        <v>9280</v>
      </c>
      <c r="E929" s="1">
        <v>46391</v>
      </c>
      <c r="F929" s="2">
        <v>38963</v>
      </c>
    </row>
    <row r="930" spans="1:6" x14ac:dyDescent="0.3">
      <c r="A930">
        <v>2019</v>
      </c>
      <c r="B930" t="s">
        <v>63</v>
      </c>
      <c r="C930" t="s">
        <v>23</v>
      </c>
      <c r="D930" s="1">
        <v>3777</v>
      </c>
      <c r="E930" s="1">
        <v>17863</v>
      </c>
      <c r="F930" s="2">
        <v>35322</v>
      </c>
    </row>
    <row r="931" spans="1:6" x14ac:dyDescent="0.3">
      <c r="A931">
        <v>2019</v>
      </c>
      <c r="B931" t="s">
        <v>63</v>
      </c>
      <c r="C931" t="s">
        <v>24</v>
      </c>
      <c r="D931" s="1">
        <v>19358</v>
      </c>
      <c r="E931" s="1">
        <v>91545</v>
      </c>
      <c r="F931" s="2">
        <v>44150</v>
      </c>
    </row>
    <row r="932" spans="1:6" x14ac:dyDescent="0.3">
      <c r="A932">
        <v>2019</v>
      </c>
      <c r="B932" t="s">
        <v>63</v>
      </c>
      <c r="C932" t="s">
        <v>25</v>
      </c>
      <c r="D932" s="1">
        <v>22046</v>
      </c>
      <c r="E932" s="1">
        <v>121404</v>
      </c>
      <c r="F932" s="2">
        <v>40421</v>
      </c>
    </row>
    <row r="933" spans="1:6" x14ac:dyDescent="0.3">
      <c r="A933">
        <v>2019</v>
      </c>
      <c r="B933" t="s">
        <v>63</v>
      </c>
      <c r="C933" t="s">
        <v>26</v>
      </c>
      <c r="D933" s="1">
        <v>32480</v>
      </c>
      <c r="E933" s="1">
        <v>140352</v>
      </c>
      <c r="F933" s="2">
        <v>34330</v>
      </c>
    </row>
    <row r="934" spans="1:6" x14ac:dyDescent="0.3">
      <c r="A934">
        <v>2019</v>
      </c>
      <c r="B934" t="s">
        <v>63</v>
      </c>
      <c r="C934" t="s">
        <v>27</v>
      </c>
      <c r="D934" s="1">
        <v>17266</v>
      </c>
      <c r="E934" s="1">
        <v>91238</v>
      </c>
      <c r="F934" s="2">
        <v>35478</v>
      </c>
    </row>
    <row r="935" spans="1:6" x14ac:dyDescent="0.3">
      <c r="A935">
        <v>2019</v>
      </c>
      <c r="B935" t="s">
        <v>63</v>
      </c>
      <c r="C935" t="s">
        <v>28</v>
      </c>
      <c r="D935" s="1">
        <v>4589</v>
      </c>
      <c r="E935" s="1">
        <v>21043</v>
      </c>
      <c r="F935" s="2">
        <v>36243</v>
      </c>
    </row>
    <row r="936" spans="1:6" x14ac:dyDescent="0.3">
      <c r="A936">
        <v>2019</v>
      </c>
      <c r="B936" t="s">
        <v>63</v>
      </c>
      <c r="C936" t="s">
        <v>29</v>
      </c>
      <c r="D936" s="1">
        <v>13240</v>
      </c>
      <c r="E936" s="1">
        <v>75829</v>
      </c>
      <c r="F936" s="2">
        <v>35224</v>
      </c>
    </row>
    <row r="937" spans="1:6" x14ac:dyDescent="0.3">
      <c r="A937">
        <v>2019</v>
      </c>
      <c r="B937" t="s">
        <v>63</v>
      </c>
      <c r="C937" t="s">
        <v>30</v>
      </c>
      <c r="D937" s="1">
        <v>4153</v>
      </c>
      <c r="E937" s="1">
        <v>18442</v>
      </c>
      <c r="F937" s="2">
        <v>31791</v>
      </c>
    </row>
    <row r="938" spans="1:6" x14ac:dyDescent="0.3">
      <c r="A938">
        <v>2019</v>
      </c>
      <c r="B938" t="s">
        <v>63</v>
      </c>
      <c r="C938" t="s">
        <v>31</v>
      </c>
      <c r="D938" s="1">
        <v>4572</v>
      </c>
      <c r="E938" s="1">
        <v>25509</v>
      </c>
      <c r="F938" s="2">
        <v>33587</v>
      </c>
    </row>
    <row r="939" spans="1:6" x14ac:dyDescent="0.3">
      <c r="A939">
        <v>2019</v>
      </c>
      <c r="B939" t="s">
        <v>63</v>
      </c>
      <c r="C939" t="s">
        <v>32</v>
      </c>
      <c r="D939" s="1">
        <v>5140</v>
      </c>
      <c r="E939" s="1">
        <v>35449</v>
      </c>
      <c r="F939" s="2">
        <v>38479</v>
      </c>
    </row>
    <row r="940" spans="1:6" x14ac:dyDescent="0.3">
      <c r="A940">
        <v>2019</v>
      </c>
      <c r="B940" t="s">
        <v>63</v>
      </c>
      <c r="C940" t="s">
        <v>33</v>
      </c>
      <c r="D940" s="1">
        <v>4011</v>
      </c>
      <c r="E940" s="1">
        <v>21600</v>
      </c>
      <c r="F940" s="2">
        <v>39236</v>
      </c>
    </row>
    <row r="941" spans="1:6" x14ac:dyDescent="0.3">
      <c r="A941">
        <v>2019</v>
      </c>
      <c r="B941" t="s">
        <v>63</v>
      </c>
      <c r="C941" t="s">
        <v>34</v>
      </c>
      <c r="D941" s="1">
        <v>24469</v>
      </c>
      <c r="E941" s="1">
        <v>138255</v>
      </c>
      <c r="F941" s="2">
        <v>37373</v>
      </c>
    </row>
    <row r="942" spans="1:6" x14ac:dyDescent="0.3">
      <c r="A942">
        <v>2019</v>
      </c>
      <c r="B942" t="s">
        <v>63</v>
      </c>
      <c r="C942" t="s">
        <v>35</v>
      </c>
      <c r="D942" s="1">
        <v>4216</v>
      </c>
      <c r="E942" s="1">
        <v>21214</v>
      </c>
      <c r="F942" s="2">
        <v>35417</v>
      </c>
    </row>
    <row r="943" spans="1:6" x14ac:dyDescent="0.3">
      <c r="A943">
        <v>2019</v>
      </c>
      <c r="B943" t="s">
        <v>63</v>
      </c>
      <c r="C943" t="s">
        <v>36</v>
      </c>
      <c r="D943" s="1">
        <v>72430</v>
      </c>
      <c r="E943" s="1">
        <v>371218</v>
      </c>
      <c r="F943" s="2">
        <v>43410</v>
      </c>
    </row>
    <row r="944" spans="1:6" x14ac:dyDescent="0.3">
      <c r="A944">
        <v>2019</v>
      </c>
      <c r="B944" t="s">
        <v>63</v>
      </c>
      <c r="C944" t="s">
        <v>37</v>
      </c>
      <c r="D944" s="1">
        <v>24457</v>
      </c>
      <c r="E944" s="1">
        <v>115119</v>
      </c>
      <c r="F944" s="2">
        <v>36624</v>
      </c>
    </row>
    <row r="945" spans="1:6" x14ac:dyDescent="0.3">
      <c r="A945">
        <v>2019</v>
      </c>
      <c r="B945" t="s">
        <v>63</v>
      </c>
      <c r="C945" t="s">
        <v>38</v>
      </c>
      <c r="D945" s="1">
        <v>2047</v>
      </c>
      <c r="E945" s="1">
        <v>11337</v>
      </c>
      <c r="F945" s="2">
        <v>38696</v>
      </c>
    </row>
    <row r="946" spans="1:6" x14ac:dyDescent="0.3">
      <c r="A946">
        <v>2019</v>
      </c>
      <c r="B946" t="s">
        <v>63</v>
      </c>
      <c r="C946" t="s">
        <v>39</v>
      </c>
      <c r="D946" s="1">
        <v>23639</v>
      </c>
      <c r="E946" s="1">
        <v>157001</v>
      </c>
      <c r="F946" s="2">
        <v>35006</v>
      </c>
    </row>
    <row r="947" spans="1:6" x14ac:dyDescent="0.3">
      <c r="A947">
        <v>2019</v>
      </c>
      <c r="B947" t="s">
        <v>63</v>
      </c>
      <c r="C947" t="s">
        <v>40</v>
      </c>
      <c r="D947" s="1">
        <v>6589</v>
      </c>
      <c r="E947" s="1">
        <v>36706</v>
      </c>
      <c r="F947" s="2">
        <v>36151</v>
      </c>
    </row>
    <row r="948" spans="1:6" x14ac:dyDescent="0.3">
      <c r="A948">
        <v>2019</v>
      </c>
      <c r="B948" t="s">
        <v>63</v>
      </c>
      <c r="C948" t="s">
        <v>41</v>
      </c>
      <c r="D948" s="1">
        <v>25468</v>
      </c>
      <c r="E948" s="1">
        <v>78423</v>
      </c>
      <c r="F948" s="2">
        <v>35467</v>
      </c>
    </row>
    <row r="949" spans="1:6" x14ac:dyDescent="0.3">
      <c r="A949">
        <v>2019</v>
      </c>
      <c r="B949" t="s">
        <v>63</v>
      </c>
      <c r="C949" t="s">
        <v>42</v>
      </c>
      <c r="D949" s="1">
        <v>33082</v>
      </c>
      <c r="E949" s="1">
        <v>202171</v>
      </c>
      <c r="F949" s="2">
        <v>35131</v>
      </c>
    </row>
    <row r="950" spans="1:6" x14ac:dyDescent="0.3">
      <c r="A950">
        <v>2019</v>
      </c>
      <c r="B950" t="s">
        <v>63</v>
      </c>
      <c r="C950" t="s">
        <v>43</v>
      </c>
      <c r="D950" s="1">
        <v>3537</v>
      </c>
      <c r="E950" s="1">
        <v>18157</v>
      </c>
      <c r="F950" s="2">
        <v>34466</v>
      </c>
    </row>
    <row r="951" spans="1:6" x14ac:dyDescent="0.3">
      <c r="A951">
        <v>2019</v>
      </c>
      <c r="B951" t="s">
        <v>63</v>
      </c>
      <c r="C951" t="s">
        <v>44</v>
      </c>
      <c r="D951" s="1">
        <v>12142</v>
      </c>
      <c r="E951" s="1">
        <v>54906</v>
      </c>
      <c r="F951" s="2">
        <v>34386</v>
      </c>
    </row>
    <row r="952" spans="1:6" x14ac:dyDescent="0.3">
      <c r="A952">
        <v>2019</v>
      </c>
      <c r="B952" t="s">
        <v>63</v>
      </c>
      <c r="C952" t="s">
        <v>45</v>
      </c>
      <c r="D952" s="1">
        <v>2223</v>
      </c>
      <c r="E952" s="1">
        <v>11326</v>
      </c>
      <c r="F952" s="2">
        <v>34233</v>
      </c>
    </row>
    <row r="953" spans="1:6" x14ac:dyDescent="0.3">
      <c r="A953">
        <v>2019</v>
      </c>
      <c r="B953" t="s">
        <v>63</v>
      </c>
      <c r="C953" t="s">
        <v>46</v>
      </c>
      <c r="D953" s="1">
        <v>15931</v>
      </c>
      <c r="E953" s="1">
        <v>80484</v>
      </c>
      <c r="F953" s="2">
        <v>36227</v>
      </c>
    </row>
    <row r="954" spans="1:6" x14ac:dyDescent="0.3">
      <c r="A954">
        <v>2019</v>
      </c>
      <c r="B954" t="s">
        <v>63</v>
      </c>
      <c r="C954" t="s">
        <v>47</v>
      </c>
      <c r="D954" s="1">
        <v>57504</v>
      </c>
      <c r="E954" s="1">
        <v>343287</v>
      </c>
      <c r="F954" s="2">
        <v>41110</v>
      </c>
    </row>
    <row r="955" spans="1:6" x14ac:dyDescent="0.3">
      <c r="A955">
        <v>2019</v>
      </c>
      <c r="B955" t="s">
        <v>63</v>
      </c>
      <c r="C955" t="s">
        <v>48</v>
      </c>
      <c r="D955" s="1">
        <v>6492</v>
      </c>
      <c r="E955" s="1">
        <v>37200</v>
      </c>
      <c r="F955" s="2">
        <v>37389</v>
      </c>
    </row>
    <row r="956" spans="1:6" x14ac:dyDescent="0.3">
      <c r="A956">
        <v>2019</v>
      </c>
      <c r="B956" t="s">
        <v>63</v>
      </c>
      <c r="C956" t="s">
        <v>49</v>
      </c>
      <c r="D956" s="1">
        <v>1990</v>
      </c>
      <c r="E956" s="1">
        <v>8772</v>
      </c>
      <c r="F956" s="2">
        <v>37394</v>
      </c>
    </row>
    <row r="957" spans="1:6" x14ac:dyDescent="0.3">
      <c r="A957">
        <v>2019</v>
      </c>
      <c r="B957" t="s">
        <v>63</v>
      </c>
      <c r="C957" t="s">
        <v>50</v>
      </c>
      <c r="D957" s="1">
        <v>29777</v>
      </c>
      <c r="E957" s="1">
        <v>140456</v>
      </c>
      <c r="F957" s="2">
        <v>45136</v>
      </c>
    </row>
    <row r="958" spans="1:6" x14ac:dyDescent="0.3">
      <c r="A958">
        <v>2019</v>
      </c>
      <c r="B958" t="s">
        <v>63</v>
      </c>
      <c r="C958" t="s">
        <v>51</v>
      </c>
      <c r="D958" s="1">
        <v>19915</v>
      </c>
      <c r="E958" s="1">
        <v>102632</v>
      </c>
      <c r="F958" s="2">
        <v>42585</v>
      </c>
    </row>
    <row r="959" spans="1:6" x14ac:dyDescent="0.3">
      <c r="A959">
        <v>2019</v>
      </c>
      <c r="B959" t="s">
        <v>63</v>
      </c>
      <c r="C959" t="s">
        <v>52</v>
      </c>
      <c r="D959" s="1">
        <v>5797</v>
      </c>
      <c r="E959" s="1">
        <v>20164</v>
      </c>
      <c r="F959" s="2">
        <v>32080</v>
      </c>
    </row>
    <row r="960" spans="1:6" x14ac:dyDescent="0.3">
      <c r="A960">
        <v>2019</v>
      </c>
      <c r="B960" t="s">
        <v>63</v>
      </c>
      <c r="C960" t="s">
        <v>53</v>
      </c>
      <c r="D960" s="1">
        <v>13757</v>
      </c>
      <c r="E960" s="1">
        <v>84267</v>
      </c>
      <c r="F960" s="2">
        <v>31908</v>
      </c>
    </row>
    <row r="961" spans="1:6" x14ac:dyDescent="0.3">
      <c r="A961">
        <v>2019</v>
      </c>
      <c r="B961" t="s">
        <v>63</v>
      </c>
      <c r="C961" t="s">
        <v>54</v>
      </c>
      <c r="D961" s="1">
        <v>1655</v>
      </c>
      <c r="E961" s="1">
        <v>7188</v>
      </c>
      <c r="F961" s="2">
        <v>39255</v>
      </c>
    </row>
    <row r="962" spans="1:6" x14ac:dyDescent="0.3">
      <c r="A962">
        <v>2018</v>
      </c>
      <c r="B962" t="s">
        <v>6</v>
      </c>
      <c r="C962" t="s">
        <v>7</v>
      </c>
      <c r="D962" s="1">
        <v>1843</v>
      </c>
      <c r="E962" s="1">
        <v>18397</v>
      </c>
      <c r="F962" s="2">
        <v>56388</v>
      </c>
    </row>
    <row r="963" spans="1:6" x14ac:dyDescent="0.3">
      <c r="A963">
        <v>2018</v>
      </c>
      <c r="B963" t="s">
        <v>6</v>
      </c>
      <c r="C963" t="s">
        <v>8</v>
      </c>
      <c r="D963" s="1">
        <v>1328</v>
      </c>
      <c r="E963" s="1">
        <v>38653</v>
      </c>
      <c r="F963" s="2">
        <v>50854</v>
      </c>
    </row>
    <row r="964" spans="1:6" x14ac:dyDescent="0.3">
      <c r="A964">
        <v>2018</v>
      </c>
      <c r="B964" t="s">
        <v>6</v>
      </c>
      <c r="C964" t="s">
        <v>9</v>
      </c>
      <c r="D964" s="1">
        <v>2525</v>
      </c>
      <c r="E964" s="1">
        <v>16334</v>
      </c>
      <c r="F964" s="2">
        <v>47616</v>
      </c>
    </row>
    <row r="965" spans="1:6" x14ac:dyDescent="0.3">
      <c r="A965">
        <v>2018</v>
      </c>
      <c r="B965" t="s">
        <v>6</v>
      </c>
      <c r="C965" t="s">
        <v>10</v>
      </c>
      <c r="D965" s="1">
        <v>17605</v>
      </c>
      <c r="E965" s="1">
        <v>443542</v>
      </c>
      <c r="F965" s="2">
        <v>38595</v>
      </c>
    </row>
    <row r="966" spans="1:6" x14ac:dyDescent="0.3">
      <c r="A966">
        <v>2018</v>
      </c>
      <c r="B966" t="s">
        <v>6</v>
      </c>
      <c r="C966" t="s">
        <v>11</v>
      </c>
      <c r="D966" s="1">
        <v>3256</v>
      </c>
      <c r="E966" s="1">
        <v>46357</v>
      </c>
      <c r="F966" s="2">
        <v>88489</v>
      </c>
    </row>
    <row r="967" spans="1:6" x14ac:dyDescent="0.3">
      <c r="A967">
        <v>2018</v>
      </c>
      <c r="B967" t="s">
        <v>6</v>
      </c>
      <c r="C967" t="s">
        <v>12</v>
      </c>
      <c r="D967">
        <v>441</v>
      </c>
      <c r="E967" s="1">
        <v>5272</v>
      </c>
      <c r="F967" s="2">
        <v>40054</v>
      </c>
    </row>
    <row r="968" spans="1:6" x14ac:dyDescent="0.3">
      <c r="A968">
        <v>2018</v>
      </c>
      <c r="B968" t="s">
        <v>6</v>
      </c>
      <c r="C968" t="s">
        <v>13</v>
      </c>
      <c r="D968">
        <v>177</v>
      </c>
      <c r="E968" s="1">
        <v>1535</v>
      </c>
      <c r="F968" s="2">
        <v>39987</v>
      </c>
    </row>
    <row r="969" spans="1:6" x14ac:dyDescent="0.3">
      <c r="A969">
        <v>2018</v>
      </c>
      <c r="B969" t="s">
        <v>6</v>
      </c>
      <c r="C969" t="s">
        <v>14</v>
      </c>
      <c r="D969" s="1">
        <v>5289</v>
      </c>
      <c r="E969" s="1">
        <v>72507</v>
      </c>
      <c r="F969" s="2">
        <v>34681</v>
      </c>
    </row>
    <row r="970" spans="1:6" x14ac:dyDescent="0.3">
      <c r="A970">
        <v>2018</v>
      </c>
      <c r="B970" t="s">
        <v>6</v>
      </c>
      <c r="C970" t="s">
        <v>15</v>
      </c>
      <c r="D970" s="1">
        <v>2630</v>
      </c>
      <c r="E970" s="1">
        <v>29395</v>
      </c>
      <c r="F970" s="2">
        <v>42010</v>
      </c>
    </row>
    <row r="971" spans="1:6" x14ac:dyDescent="0.3">
      <c r="A971">
        <v>2018</v>
      </c>
      <c r="B971" t="s">
        <v>6</v>
      </c>
      <c r="C971" t="s">
        <v>16</v>
      </c>
      <c r="D971" s="1">
        <v>2500</v>
      </c>
      <c r="E971" s="1">
        <v>26636</v>
      </c>
      <c r="F971" s="2">
        <v>39998</v>
      </c>
    </row>
    <row r="972" spans="1:6" x14ac:dyDescent="0.3">
      <c r="A972">
        <v>2018</v>
      </c>
      <c r="B972" t="s">
        <v>6</v>
      </c>
      <c r="C972" t="s">
        <v>17</v>
      </c>
      <c r="D972" s="1">
        <v>2785</v>
      </c>
      <c r="E972" s="1">
        <v>26452</v>
      </c>
      <c r="F972" s="2">
        <v>50101</v>
      </c>
    </row>
    <row r="973" spans="1:6" x14ac:dyDescent="0.3">
      <c r="A973">
        <v>2018</v>
      </c>
      <c r="B973" t="s">
        <v>6</v>
      </c>
      <c r="C973" t="s">
        <v>18</v>
      </c>
      <c r="D973" s="1">
        <v>2217</v>
      </c>
      <c r="E973" s="1">
        <v>21236</v>
      </c>
      <c r="F973" s="2">
        <v>48605</v>
      </c>
    </row>
    <row r="974" spans="1:6" x14ac:dyDescent="0.3">
      <c r="A974">
        <v>2018</v>
      </c>
      <c r="B974" t="s">
        <v>6</v>
      </c>
      <c r="C974" t="s">
        <v>19</v>
      </c>
      <c r="D974" s="1">
        <v>2830</v>
      </c>
      <c r="E974" s="1">
        <v>23077</v>
      </c>
      <c r="F974" s="2">
        <v>42989</v>
      </c>
    </row>
    <row r="975" spans="1:6" x14ac:dyDescent="0.3">
      <c r="A975">
        <v>2018</v>
      </c>
      <c r="B975" t="s">
        <v>6</v>
      </c>
      <c r="C975" t="s">
        <v>20</v>
      </c>
      <c r="D975" s="1">
        <v>2658</v>
      </c>
      <c r="E975" s="1">
        <v>19284</v>
      </c>
      <c r="F975" s="2">
        <v>47004</v>
      </c>
    </row>
    <row r="976" spans="1:6" x14ac:dyDescent="0.3">
      <c r="A976">
        <v>2018</v>
      </c>
      <c r="B976" t="s">
        <v>6</v>
      </c>
      <c r="C976" t="s">
        <v>21</v>
      </c>
      <c r="D976" s="1">
        <v>1559</v>
      </c>
      <c r="E976" s="1">
        <v>18569</v>
      </c>
      <c r="F976" s="2">
        <v>56223</v>
      </c>
    </row>
    <row r="977" spans="1:6" x14ac:dyDescent="0.3">
      <c r="A977">
        <v>2018</v>
      </c>
      <c r="B977" t="s">
        <v>6</v>
      </c>
      <c r="C977" t="s">
        <v>22</v>
      </c>
      <c r="D977" s="1">
        <v>3089</v>
      </c>
      <c r="E977" s="1">
        <v>43598</v>
      </c>
      <c r="F977" s="2">
        <v>84277</v>
      </c>
    </row>
    <row r="978" spans="1:6" x14ac:dyDescent="0.3">
      <c r="A978">
        <v>2018</v>
      </c>
      <c r="B978" t="s">
        <v>6</v>
      </c>
      <c r="C978" t="s">
        <v>23</v>
      </c>
      <c r="D978" s="1">
        <v>1372</v>
      </c>
      <c r="E978" s="1">
        <v>7143</v>
      </c>
      <c r="F978" s="2">
        <v>41187</v>
      </c>
    </row>
    <row r="979" spans="1:6" x14ac:dyDescent="0.3">
      <c r="A979">
        <v>2018</v>
      </c>
      <c r="B979" t="s">
        <v>6</v>
      </c>
      <c r="C979" t="s">
        <v>24</v>
      </c>
      <c r="D979">
        <v>723</v>
      </c>
      <c r="E979" s="1">
        <v>6447</v>
      </c>
      <c r="F979" s="2">
        <v>43100</v>
      </c>
    </row>
    <row r="980" spans="1:6" x14ac:dyDescent="0.3">
      <c r="A980">
        <v>2018</v>
      </c>
      <c r="B980" t="s">
        <v>6</v>
      </c>
      <c r="C980" t="s">
        <v>25</v>
      </c>
      <c r="D980">
        <v>985</v>
      </c>
      <c r="E980" s="1">
        <v>9626</v>
      </c>
      <c r="F980" s="2">
        <v>61244</v>
      </c>
    </row>
    <row r="981" spans="1:6" x14ac:dyDescent="0.3">
      <c r="A981">
        <v>2018</v>
      </c>
      <c r="B981" t="s">
        <v>6</v>
      </c>
      <c r="C981" t="s">
        <v>26</v>
      </c>
      <c r="D981" s="1">
        <v>3282</v>
      </c>
      <c r="E981" s="1">
        <v>35874</v>
      </c>
      <c r="F981" s="2">
        <v>40516</v>
      </c>
    </row>
    <row r="982" spans="1:6" x14ac:dyDescent="0.3">
      <c r="A982">
        <v>2018</v>
      </c>
      <c r="B982" t="s">
        <v>6</v>
      </c>
      <c r="C982" t="s">
        <v>27</v>
      </c>
      <c r="D982" s="1">
        <v>3071</v>
      </c>
      <c r="E982" s="1">
        <v>27642</v>
      </c>
      <c r="F982" s="2">
        <v>50521</v>
      </c>
    </row>
    <row r="983" spans="1:6" x14ac:dyDescent="0.3">
      <c r="A983">
        <v>2018</v>
      </c>
      <c r="B983" t="s">
        <v>6</v>
      </c>
      <c r="C983" t="s">
        <v>28</v>
      </c>
      <c r="D983" s="1">
        <v>2153</v>
      </c>
      <c r="E983" s="1">
        <v>16234</v>
      </c>
      <c r="F983" s="2">
        <v>47028</v>
      </c>
    </row>
    <row r="984" spans="1:6" x14ac:dyDescent="0.3">
      <c r="A984">
        <v>2018</v>
      </c>
      <c r="B984" t="s">
        <v>6</v>
      </c>
      <c r="C984" t="s">
        <v>29</v>
      </c>
      <c r="D984" s="1">
        <v>1935</v>
      </c>
      <c r="E984" s="1">
        <v>16642</v>
      </c>
      <c r="F984" s="2">
        <v>43331</v>
      </c>
    </row>
    <row r="985" spans="1:6" x14ac:dyDescent="0.3">
      <c r="A985">
        <v>2018</v>
      </c>
      <c r="B985" t="s">
        <v>6</v>
      </c>
      <c r="C985" t="s">
        <v>30</v>
      </c>
      <c r="D985" s="1">
        <v>1771</v>
      </c>
      <c r="E985" s="1">
        <v>12503</v>
      </c>
      <c r="F985" s="2">
        <v>67090</v>
      </c>
    </row>
    <row r="986" spans="1:6" x14ac:dyDescent="0.3">
      <c r="A986">
        <v>2018</v>
      </c>
      <c r="B986" t="s">
        <v>6</v>
      </c>
      <c r="C986" t="s">
        <v>31</v>
      </c>
      <c r="D986" s="1">
        <v>2378</v>
      </c>
      <c r="E986" s="1">
        <v>15823</v>
      </c>
      <c r="F986" s="2">
        <v>41084</v>
      </c>
    </row>
    <row r="987" spans="1:6" x14ac:dyDescent="0.3">
      <c r="A987">
        <v>2018</v>
      </c>
      <c r="B987" t="s">
        <v>6</v>
      </c>
      <c r="C987" t="s">
        <v>32</v>
      </c>
      <c r="D987">
        <v>641</v>
      </c>
      <c r="E987" s="1">
        <v>19336</v>
      </c>
      <c r="F987" s="2">
        <v>82872</v>
      </c>
    </row>
    <row r="988" spans="1:6" x14ac:dyDescent="0.3">
      <c r="A988">
        <v>2018</v>
      </c>
      <c r="B988" t="s">
        <v>6</v>
      </c>
      <c r="C988" t="s">
        <v>33</v>
      </c>
      <c r="D988">
        <v>344</v>
      </c>
      <c r="E988" s="1">
        <v>2619</v>
      </c>
      <c r="F988" s="2">
        <v>42081</v>
      </c>
    </row>
    <row r="989" spans="1:6" x14ac:dyDescent="0.3">
      <c r="A989">
        <v>2018</v>
      </c>
      <c r="B989" t="s">
        <v>6</v>
      </c>
      <c r="C989" t="s">
        <v>34</v>
      </c>
      <c r="D989" s="1">
        <v>1003</v>
      </c>
      <c r="E989" s="1">
        <v>12165</v>
      </c>
      <c r="F989" s="2">
        <v>39981</v>
      </c>
    </row>
    <row r="990" spans="1:6" x14ac:dyDescent="0.3">
      <c r="A990">
        <v>2018</v>
      </c>
      <c r="B990" t="s">
        <v>6</v>
      </c>
      <c r="C990" t="s">
        <v>35</v>
      </c>
      <c r="D990" s="1">
        <v>2007</v>
      </c>
      <c r="E990" s="1">
        <v>35856</v>
      </c>
      <c r="F990" s="2">
        <v>64393</v>
      </c>
    </row>
    <row r="991" spans="1:6" x14ac:dyDescent="0.3">
      <c r="A991">
        <v>2018</v>
      </c>
      <c r="B991" t="s">
        <v>6</v>
      </c>
      <c r="C991" t="s">
        <v>36</v>
      </c>
      <c r="D991" s="1">
        <v>3062</v>
      </c>
      <c r="E991" s="1">
        <v>31787</v>
      </c>
      <c r="F991" s="2">
        <v>41230</v>
      </c>
    </row>
    <row r="992" spans="1:6" x14ac:dyDescent="0.3">
      <c r="A992">
        <v>2018</v>
      </c>
      <c r="B992" t="s">
        <v>6</v>
      </c>
      <c r="C992" t="s">
        <v>37</v>
      </c>
      <c r="D992" s="1">
        <v>3330</v>
      </c>
      <c r="E992" s="1">
        <v>30208</v>
      </c>
      <c r="F992" s="2">
        <v>39062</v>
      </c>
    </row>
    <row r="993" spans="1:6" x14ac:dyDescent="0.3">
      <c r="A993">
        <v>2018</v>
      </c>
      <c r="B993" t="s">
        <v>6</v>
      </c>
      <c r="C993" t="s">
        <v>38</v>
      </c>
      <c r="D993" s="1">
        <v>1766</v>
      </c>
      <c r="E993" s="1">
        <v>25422</v>
      </c>
      <c r="F993" s="2">
        <v>95073</v>
      </c>
    </row>
    <row r="994" spans="1:6" x14ac:dyDescent="0.3">
      <c r="A994">
        <v>2018</v>
      </c>
      <c r="B994" t="s">
        <v>6</v>
      </c>
      <c r="C994" t="s">
        <v>39</v>
      </c>
      <c r="D994" s="1">
        <v>2470</v>
      </c>
      <c r="E994" s="1">
        <v>28520</v>
      </c>
      <c r="F994" s="2">
        <v>51145</v>
      </c>
    </row>
    <row r="995" spans="1:6" x14ac:dyDescent="0.3">
      <c r="A995">
        <v>2018</v>
      </c>
      <c r="B995" t="s">
        <v>6</v>
      </c>
      <c r="C995" t="s">
        <v>40</v>
      </c>
      <c r="D995" s="1">
        <v>4348</v>
      </c>
      <c r="E995" s="1">
        <v>64020</v>
      </c>
      <c r="F995" s="2">
        <v>91135</v>
      </c>
    </row>
    <row r="996" spans="1:6" x14ac:dyDescent="0.3">
      <c r="A996">
        <v>2018</v>
      </c>
      <c r="B996" t="s">
        <v>6</v>
      </c>
      <c r="C996" t="s">
        <v>41</v>
      </c>
      <c r="D996" s="1">
        <v>4560</v>
      </c>
      <c r="E996" s="1">
        <v>53530</v>
      </c>
      <c r="F996" s="2">
        <v>37495</v>
      </c>
    </row>
    <row r="997" spans="1:6" x14ac:dyDescent="0.3">
      <c r="A997">
        <v>2018</v>
      </c>
      <c r="B997" t="s">
        <v>6</v>
      </c>
      <c r="C997" t="s">
        <v>42</v>
      </c>
      <c r="D997" s="1">
        <v>3585</v>
      </c>
      <c r="E997" s="1">
        <v>52523</v>
      </c>
      <c r="F997" s="2">
        <v>62951</v>
      </c>
    </row>
    <row r="998" spans="1:6" x14ac:dyDescent="0.3">
      <c r="A998">
        <v>2018</v>
      </c>
      <c r="B998" t="s">
        <v>6</v>
      </c>
      <c r="C998" t="s">
        <v>43</v>
      </c>
      <c r="D998">
        <v>194</v>
      </c>
      <c r="E998" s="1">
        <v>1056</v>
      </c>
      <c r="F998" s="2">
        <v>39071</v>
      </c>
    </row>
    <row r="999" spans="1:6" x14ac:dyDescent="0.3">
      <c r="A999">
        <v>2018</v>
      </c>
      <c r="B999" t="s">
        <v>6</v>
      </c>
      <c r="C999" t="s">
        <v>44</v>
      </c>
      <c r="D999" s="1">
        <v>1286</v>
      </c>
      <c r="E999" s="1">
        <v>12662</v>
      </c>
      <c r="F999" s="2">
        <v>40536</v>
      </c>
    </row>
    <row r="1000" spans="1:6" x14ac:dyDescent="0.3">
      <c r="A1000">
        <v>2018</v>
      </c>
      <c r="B1000" t="s">
        <v>6</v>
      </c>
      <c r="C1000" t="s">
        <v>45</v>
      </c>
      <c r="D1000" s="1">
        <v>1047</v>
      </c>
      <c r="E1000" s="1">
        <v>6831</v>
      </c>
      <c r="F1000" s="2">
        <v>42904</v>
      </c>
    </row>
    <row r="1001" spans="1:6" x14ac:dyDescent="0.3">
      <c r="A1001">
        <v>2018</v>
      </c>
      <c r="B1001" t="s">
        <v>6</v>
      </c>
      <c r="C1001" t="s">
        <v>46</v>
      </c>
      <c r="D1001" s="1">
        <v>1099</v>
      </c>
      <c r="E1001" s="1">
        <v>11051</v>
      </c>
      <c r="F1001" s="2">
        <v>46634</v>
      </c>
    </row>
    <row r="1002" spans="1:6" x14ac:dyDescent="0.3">
      <c r="A1002">
        <v>2018</v>
      </c>
      <c r="B1002" t="s">
        <v>6</v>
      </c>
      <c r="C1002" t="s">
        <v>47</v>
      </c>
      <c r="D1002" s="1">
        <v>19761</v>
      </c>
      <c r="E1002" s="1">
        <v>304275</v>
      </c>
      <c r="F1002" s="2">
        <v>109449</v>
      </c>
    </row>
    <row r="1003" spans="1:6" x14ac:dyDescent="0.3">
      <c r="A1003">
        <v>2018</v>
      </c>
      <c r="B1003" t="s">
        <v>6</v>
      </c>
      <c r="C1003" t="s">
        <v>48</v>
      </c>
      <c r="D1003" s="1">
        <v>1002</v>
      </c>
      <c r="E1003" s="1">
        <v>15159</v>
      </c>
      <c r="F1003" s="2">
        <v>61171</v>
      </c>
    </row>
    <row r="1004" spans="1:6" x14ac:dyDescent="0.3">
      <c r="A1004">
        <v>2018</v>
      </c>
      <c r="B1004" t="s">
        <v>6</v>
      </c>
      <c r="C1004" t="s">
        <v>49</v>
      </c>
      <c r="D1004">
        <v>548</v>
      </c>
      <c r="E1004" s="1">
        <v>3930</v>
      </c>
      <c r="F1004" s="2">
        <v>38605</v>
      </c>
    </row>
    <row r="1005" spans="1:6" x14ac:dyDescent="0.3">
      <c r="A1005">
        <v>2018</v>
      </c>
      <c r="B1005" t="s">
        <v>6</v>
      </c>
      <c r="C1005" t="s">
        <v>50</v>
      </c>
      <c r="D1005" s="1">
        <v>2101</v>
      </c>
      <c r="E1005" s="1">
        <v>19281</v>
      </c>
      <c r="F1005" s="2">
        <v>47043</v>
      </c>
    </row>
    <row r="1006" spans="1:6" x14ac:dyDescent="0.3">
      <c r="A1006">
        <v>2018</v>
      </c>
      <c r="B1006" t="s">
        <v>6</v>
      </c>
      <c r="C1006" t="s">
        <v>51</v>
      </c>
      <c r="D1006" s="1">
        <v>7317</v>
      </c>
      <c r="E1006" s="1">
        <v>109210</v>
      </c>
      <c r="F1006" s="2">
        <v>33346</v>
      </c>
    </row>
    <row r="1007" spans="1:6" x14ac:dyDescent="0.3">
      <c r="A1007">
        <v>2018</v>
      </c>
      <c r="B1007" t="s">
        <v>6</v>
      </c>
      <c r="C1007" t="s">
        <v>52</v>
      </c>
      <c r="D1007" s="1">
        <v>1199</v>
      </c>
      <c r="E1007" s="1">
        <v>23481</v>
      </c>
      <c r="F1007" s="2">
        <v>80012</v>
      </c>
    </row>
    <row r="1008" spans="1:6" x14ac:dyDescent="0.3">
      <c r="A1008">
        <v>2018</v>
      </c>
      <c r="B1008" t="s">
        <v>6</v>
      </c>
      <c r="C1008" t="s">
        <v>53</v>
      </c>
      <c r="D1008" s="1">
        <v>2926</v>
      </c>
      <c r="E1008" s="1">
        <v>32257</v>
      </c>
      <c r="F1008" s="2">
        <v>39437</v>
      </c>
    </row>
    <row r="1009" spans="1:6" x14ac:dyDescent="0.3">
      <c r="A1009">
        <v>2018</v>
      </c>
      <c r="B1009" t="s">
        <v>6</v>
      </c>
      <c r="C1009" t="s">
        <v>54</v>
      </c>
      <c r="D1009" s="1">
        <v>1438</v>
      </c>
      <c r="E1009" s="1">
        <v>23488</v>
      </c>
      <c r="F1009" s="2">
        <v>83751</v>
      </c>
    </row>
    <row r="1010" spans="1:6" x14ac:dyDescent="0.3">
      <c r="A1010">
        <v>2018</v>
      </c>
      <c r="B1010" t="s">
        <v>55</v>
      </c>
      <c r="C1010" t="s">
        <v>7</v>
      </c>
      <c r="D1010" s="1">
        <v>9897</v>
      </c>
      <c r="E1010" s="1">
        <v>89207</v>
      </c>
      <c r="F1010" s="2">
        <v>53957</v>
      </c>
    </row>
    <row r="1011" spans="1:6" x14ac:dyDescent="0.3">
      <c r="A1011">
        <v>2018</v>
      </c>
      <c r="B1011" t="s">
        <v>55</v>
      </c>
      <c r="C1011" t="s">
        <v>8</v>
      </c>
      <c r="D1011" s="1">
        <v>12867</v>
      </c>
      <c r="E1011" s="1">
        <v>158251</v>
      </c>
      <c r="F1011" s="2">
        <v>55989</v>
      </c>
    </row>
    <row r="1012" spans="1:6" x14ac:dyDescent="0.3">
      <c r="A1012">
        <v>2018</v>
      </c>
      <c r="B1012" t="s">
        <v>55</v>
      </c>
      <c r="C1012" t="s">
        <v>9</v>
      </c>
      <c r="D1012" s="1">
        <v>6945</v>
      </c>
      <c r="E1012" s="1">
        <v>50848</v>
      </c>
      <c r="F1012" s="2">
        <v>47988</v>
      </c>
    </row>
    <row r="1013" spans="1:6" x14ac:dyDescent="0.3">
      <c r="A1013">
        <v>2018</v>
      </c>
      <c r="B1013" t="s">
        <v>55</v>
      </c>
      <c r="C1013" t="s">
        <v>10</v>
      </c>
      <c r="D1013" s="1">
        <v>80657</v>
      </c>
      <c r="E1013" s="1">
        <v>860278</v>
      </c>
      <c r="F1013" s="2">
        <v>70084</v>
      </c>
    </row>
    <row r="1014" spans="1:6" x14ac:dyDescent="0.3">
      <c r="A1014">
        <v>2018</v>
      </c>
      <c r="B1014" t="s">
        <v>55</v>
      </c>
      <c r="C1014" t="s">
        <v>11</v>
      </c>
      <c r="D1014" s="1">
        <v>19884</v>
      </c>
      <c r="E1014" s="1">
        <v>173096</v>
      </c>
      <c r="F1014" s="2">
        <v>62414</v>
      </c>
    </row>
    <row r="1015" spans="1:6" x14ac:dyDescent="0.3">
      <c r="A1015">
        <v>2018</v>
      </c>
      <c r="B1015" t="s">
        <v>55</v>
      </c>
      <c r="C1015" t="s">
        <v>12</v>
      </c>
      <c r="D1015" s="1">
        <v>9399</v>
      </c>
      <c r="E1015" s="1">
        <v>58769</v>
      </c>
      <c r="F1015" s="2">
        <v>69727</v>
      </c>
    </row>
    <row r="1016" spans="1:6" x14ac:dyDescent="0.3">
      <c r="A1016">
        <v>2018</v>
      </c>
      <c r="B1016" t="s">
        <v>55</v>
      </c>
      <c r="C1016" t="s">
        <v>13</v>
      </c>
      <c r="D1016" s="1">
        <v>2871</v>
      </c>
      <c r="E1016" s="1">
        <v>22192</v>
      </c>
      <c r="F1016" s="2">
        <v>59797</v>
      </c>
    </row>
    <row r="1017" spans="1:6" x14ac:dyDescent="0.3">
      <c r="A1017">
        <v>2018</v>
      </c>
      <c r="B1017" t="s">
        <v>55</v>
      </c>
      <c r="C1017" t="s">
        <v>14</v>
      </c>
      <c r="D1017" s="1">
        <v>70819</v>
      </c>
      <c r="E1017" s="1">
        <v>541083</v>
      </c>
      <c r="F1017" s="2">
        <v>51286</v>
      </c>
    </row>
    <row r="1018" spans="1:6" x14ac:dyDescent="0.3">
      <c r="A1018">
        <v>2018</v>
      </c>
      <c r="B1018" t="s">
        <v>55</v>
      </c>
      <c r="C1018" t="s">
        <v>15</v>
      </c>
      <c r="D1018" s="1">
        <v>20577</v>
      </c>
      <c r="E1018" s="1">
        <v>195221</v>
      </c>
      <c r="F1018" s="2">
        <v>61018</v>
      </c>
    </row>
    <row r="1019" spans="1:6" x14ac:dyDescent="0.3">
      <c r="A1019">
        <v>2018</v>
      </c>
      <c r="B1019" t="s">
        <v>55</v>
      </c>
      <c r="C1019" t="s">
        <v>16</v>
      </c>
      <c r="D1019" s="1">
        <v>8174</v>
      </c>
      <c r="E1019" s="1">
        <v>46827</v>
      </c>
      <c r="F1019" s="2">
        <v>44285</v>
      </c>
    </row>
    <row r="1020" spans="1:6" x14ac:dyDescent="0.3">
      <c r="A1020">
        <v>2018</v>
      </c>
      <c r="B1020" t="s">
        <v>55</v>
      </c>
      <c r="C1020" t="s">
        <v>17</v>
      </c>
      <c r="D1020" s="1">
        <v>32305</v>
      </c>
      <c r="E1020" s="1">
        <v>225991</v>
      </c>
      <c r="F1020" s="2">
        <v>71957</v>
      </c>
    </row>
    <row r="1021" spans="1:6" x14ac:dyDescent="0.3">
      <c r="A1021">
        <v>2018</v>
      </c>
      <c r="B1021" t="s">
        <v>55</v>
      </c>
      <c r="C1021" t="s">
        <v>18</v>
      </c>
      <c r="D1021" s="1">
        <v>15176</v>
      </c>
      <c r="E1021" s="1">
        <v>141028</v>
      </c>
      <c r="F1021" s="2">
        <v>58404</v>
      </c>
    </row>
    <row r="1022" spans="1:6" x14ac:dyDescent="0.3">
      <c r="A1022">
        <v>2018</v>
      </c>
      <c r="B1022" t="s">
        <v>55</v>
      </c>
      <c r="C1022" t="s">
        <v>19</v>
      </c>
      <c r="D1022" s="1">
        <v>9447</v>
      </c>
      <c r="E1022" s="1">
        <v>77230</v>
      </c>
      <c r="F1022" s="2">
        <v>57435</v>
      </c>
    </row>
    <row r="1023" spans="1:6" x14ac:dyDescent="0.3">
      <c r="A1023">
        <v>2018</v>
      </c>
      <c r="B1023" t="s">
        <v>55</v>
      </c>
      <c r="C1023" t="s">
        <v>20</v>
      </c>
      <c r="D1023" s="1">
        <v>7555</v>
      </c>
      <c r="E1023" s="1">
        <v>61206</v>
      </c>
      <c r="F1023" s="2">
        <v>54735</v>
      </c>
    </row>
    <row r="1024" spans="1:6" x14ac:dyDescent="0.3">
      <c r="A1024">
        <v>2018</v>
      </c>
      <c r="B1024" t="s">
        <v>55</v>
      </c>
      <c r="C1024" t="s">
        <v>21</v>
      </c>
      <c r="D1024" s="1">
        <v>9466</v>
      </c>
      <c r="E1024" s="1">
        <v>77934</v>
      </c>
      <c r="F1024" s="2">
        <v>53957</v>
      </c>
    </row>
    <row r="1025" spans="1:6" x14ac:dyDescent="0.3">
      <c r="A1025">
        <v>2018</v>
      </c>
      <c r="B1025" t="s">
        <v>55</v>
      </c>
      <c r="C1025" t="s">
        <v>22</v>
      </c>
      <c r="D1025" s="1">
        <v>10844</v>
      </c>
      <c r="E1025" s="1">
        <v>151993</v>
      </c>
      <c r="F1025" s="2">
        <v>63892</v>
      </c>
    </row>
    <row r="1026" spans="1:6" x14ac:dyDescent="0.3">
      <c r="A1026">
        <v>2018</v>
      </c>
      <c r="B1026" t="s">
        <v>55</v>
      </c>
      <c r="C1026" t="s">
        <v>23</v>
      </c>
      <c r="D1026" s="1">
        <v>5475</v>
      </c>
      <c r="E1026" s="1">
        <v>29285</v>
      </c>
      <c r="F1026" s="2">
        <v>49575</v>
      </c>
    </row>
    <row r="1027" spans="1:6" x14ac:dyDescent="0.3">
      <c r="A1027">
        <v>2018</v>
      </c>
      <c r="B1027" t="s">
        <v>55</v>
      </c>
      <c r="C1027" t="s">
        <v>24</v>
      </c>
      <c r="D1027" s="1">
        <v>16487</v>
      </c>
      <c r="E1027" s="1">
        <v>163210</v>
      </c>
      <c r="F1027" s="2">
        <v>65971</v>
      </c>
    </row>
    <row r="1028" spans="1:6" x14ac:dyDescent="0.3">
      <c r="A1028">
        <v>2018</v>
      </c>
      <c r="B1028" t="s">
        <v>55</v>
      </c>
      <c r="C1028" t="s">
        <v>25</v>
      </c>
      <c r="D1028" s="1">
        <v>21120</v>
      </c>
      <c r="E1028" s="1">
        <v>158656</v>
      </c>
      <c r="F1028" s="2">
        <v>78802</v>
      </c>
    </row>
    <row r="1029" spans="1:6" x14ac:dyDescent="0.3">
      <c r="A1029">
        <v>2018</v>
      </c>
      <c r="B1029" t="s">
        <v>55</v>
      </c>
      <c r="C1029" t="s">
        <v>26</v>
      </c>
      <c r="D1029" s="1">
        <v>19952</v>
      </c>
      <c r="E1029" s="1">
        <v>168632</v>
      </c>
      <c r="F1029" s="2">
        <v>62378</v>
      </c>
    </row>
    <row r="1030" spans="1:6" x14ac:dyDescent="0.3">
      <c r="A1030">
        <v>2018</v>
      </c>
      <c r="B1030" t="s">
        <v>55</v>
      </c>
      <c r="C1030" t="s">
        <v>27</v>
      </c>
      <c r="D1030" s="1">
        <v>16480</v>
      </c>
      <c r="E1030" s="1">
        <v>121665</v>
      </c>
      <c r="F1030" s="2">
        <v>67248</v>
      </c>
    </row>
    <row r="1031" spans="1:6" x14ac:dyDescent="0.3">
      <c r="A1031">
        <v>2018</v>
      </c>
      <c r="B1031" t="s">
        <v>55</v>
      </c>
      <c r="C1031" t="s">
        <v>28</v>
      </c>
      <c r="D1031" s="1">
        <v>5760</v>
      </c>
      <c r="E1031" s="1">
        <v>43911</v>
      </c>
      <c r="F1031" s="2">
        <v>50325</v>
      </c>
    </row>
    <row r="1032" spans="1:6" x14ac:dyDescent="0.3">
      <c r="A1032">
        <v>2018</v>
      </c>
      <c r="B1032" t="s">
        <v>55</v>
      </c>
      <c r="C1032" t="s">
        <v>29</v>
      </c>
      <c r="D1032" s="1">
        <v>14591</v>
      </c>
      <c r="E1032" s="1">
        <v>122662</v>
      </c>
      <c r="F1032" s="2">
        <v>59442</v>
      </c>
    </row>
    <row r="1033" spans="1:6" x14ac:dyDescent="0.3">
      <c r="A1033">
        <v>2018</v>
      </c>
      <c r="B1033" t="s">
        <v>55</v>
      </c>
      <c r="C1033" t="s">
        <v>30</v>
      </c>
      <c r="D1033" s="1">
        <v>6514</v>
      </c>
      <c r="E1033" s="1">
        <v>29077</v>
      </c>
      <c r="F1033" s="2">
        <v>52969</v>
      </c>
    </row>
    <row r="1034" spans="1:6" x14ac:dyDescent="0.3">
      <c r="A1034">
        <v>2018</v>
      </c>
      <c r="B1034" t="s">
        <v>55</v>
      </c>
      <c r="C1034" t="s">
        <v>31</v>
      </c>
      <c r="D1034" s="1">
        <v>7068</v>
      </c>
      <c r="E1034" s="1">
        <v>52320</v>
      </c>
      <c r="F1034" s="2">
        <v>51657</v>
      </c>
    </row>
    <row r="1035" spans="1:6" x14ac:dyDescent="0.3">
      <c r="A1035">
        <v>2018</v>
      </c>
      <c r="B1035" t="s">
        <v>55</v>
      </c>
      <c r="C1035" t="s">
        <v>32</v>
      </c>
      <c r="D1035" s="1">
        <v>5898</v>
      </c>
      <c r="E1035" s="1">
        <v>89125</v>
      </c>
      <c r="F1035" s="2">
        <v>61123</v>
      </c>
    </row>
    <row r="1036" spans="1:6" x14ac:dyDescent="0.3">
      <c r="A1036">
        <v>2018</v>
      </c>
      <c r="B1036" t="s">
        <v>55</v>
      </c>
      <c r="C1036" t="s">
        <v>33</v>
      </c>
      <c r="D1036" s="1">
        <v>4498</v>
      </c>
      <c r="E1036" s="1">
        <v>26890</v>
      </c>
      <c r="F1036" s="2">
        <v>62661</v>
      </c>
    </row>
    <row r="1037" spans="1:6" x14ac:dyDescent="0.3">
      <c r="A1037">
        <v>2018</v>
      </c>
      <c r="B1037" t="s">
        <v>55</v>
      </c>
      <c r="C1037" t="s">
        <v>34</v>
      </c>
      <c r="D1037" s="1">
        <v>22416</v>
      </c>
      <c r="E1037" s="1">
        <v>157147</v>
      </c>
      <c r="F1037" s="2">
        <v>72658</v>
      </c>
    </row>
    <row r="1038" spans="1:6" x14ac:dyDescent="0.3">
      <c r="A1038">
        <v>2018</v>
      </c>
      <c r="B1038" t="s">
        <v>55</v>
      </c>
      <c r="C1038" t="s">
        <v>35</v>
      </c>
      <c r="D1038" s="1">
        <v>5337</v>
      </c>
      <c r="E1038" s="1">
        <v>47224</v>
      </c>
      <c r="F1038" s="2">
        <v>49350</v>
      </c>
    </row>
    <row r="1039" spans="1:6" x14ac:dyDescent="0.3">
      <c r="A1039">
        <v>2018</v>
      </c>
      <c r="B1039" t="s">
        <v>55</v>
      </c>
      <c r="C1039" t="s">
        <v>36</v>
      </c>
      <c r="D1039" s="1">
        <v>50281</v>
      </c>
      <c r="E1039" s="1">
        <v>399629</v>
      </c>
      <c r="F1039" s="2">
        <v>73248</v>
      </c>
    </row>
    <row r="1040" spans="1:6" x14ac:dyDescent="0.3">
      <c r="A1040">
        <v>2018</v>
      </c>
      <c r="B1040" t="s">
        <v>55</v>
      </c>
      <c r="C1040" t="s">
        <v>37</v>
      </c>
      <c r="D1040" s="1">
        <v>26741</v>
      </c>
      <c r="E1040" s="1">
        <v>220692</v>
      </c>
      <c r="F1040" s="2">
        <v>54587</v>
      </c>
    </row>
    <row r="1041" spans="1:6" x14ac:dyDescent="0.3">
      <c r="A1041">
        <v>2018</v>
      </c>
      <c r="B1041" t="s">
        <v>55</v>
      </c>
      <c r="C1041" t="s">
        <v>38</v>
      </c>
      <c r="D1041" s="1">
        <v>3798</v>
      </c>
      <c r="E1041" s="1">
        <v>26002</v>
      </c>
      <c r="F1041" s="2">
        <v>64586</v>
      </c>
    </row>
    <row r="1042" spans="1:6" x14ac:dyDescent="0.3">
      <c r="A1042">
        <v>2018</v>
      </c>
      <c r="B1042" t="s">
        <v>55</v>
      </c>
      <c r="C1042" t="s">
        <v>39</v>
      </c>
      <c r="D1042" s="1">
        <v>23076</v>
      </c>
      <c r="E1042" s="1">
        <v>220709</v>
      </c>
      <c r="F1042" s="2">
        <v>61194</v>
      </c>
    </row>
    <row r="1043" spans="1:6" x14ac:dyDescent="0.3">
      <c r="A1043">
        <v>2018</v>
      </c>
      <c r="B1043" t="s">
        <v>55</v>
      </c>
      <c r="C1043" t="s">
        <v>40</v>
      </c>
      <c r="D1043" s="1">
        <v>9765</v>
      </c>
      <c r="E1043" s="1">
        <v>80295</v>
      </c>
      <c r="F1043" s="2">
        <v>52777</v>
      </c>
    </row>
    <row r="1044" spans="1:6" x14ac:dyDescent="0.3">
      <c r="A1044">
        <v>2018</v>
      </c>
      <c r="B1044" t="s">
        <v>55</v>
      </c>
      <c r="C1044" t="s">
        <v>41</v>
      </c>
      <c r="D1044" s="1">
        <v>14244</v>
      </c>
      <c r="E1044" s="1">
        <v>104561</v>
      </c>
      <c r="F1044" s="2">
        <v>60523</v>
      </c>
    </row>
    <row r="1045" spans="1:6" x14ac:dyDescent="0.3">
      <c r="A1045">
        <v>2018</v>
      </c>
      <c r="B1045" t="s">
        <v>55</v>
      </c>
      <c r="C1045" t="s">
        <v>42</v>
      </c>
      <c r="D1045" s="1">
        <v>28749</v>
      </c>
      <c r="E1045" s="1">
        <v>255910</v>
      </c>
      <c r="F1045" s="2">
        <v>66852</v>
      </c>
    </row>
    <row r="1046" spans="1:6" x14ac:dyDescent="0.3">
      <c r="A1046">
        <v>2018</v>
      </c>
      <c r="B1046" t="s">
        <v>55</v>
      </c>
      <c r="C1046" t="s">
        <v>43</v>
      </c>
      <c r="D1046" s="1">
        <v>3743</v>
      </c>
      <c r="E1046" s="1">
        <v>19229</v>
      </c>
      <c r="F1046" s="2">
        <v>61579</v>
      </c>
    </row>
    <row r="1047" spans="1:6" x14ac:dyDescent="0.3">
      <c r="A1047">
        <v>2018</v>
      </c>
      <c r="B1047" t="s">
        <v>55</v>
      </c>
      <c r="C1047" t="s">
        <v>44</v>
      </c>
      <c r="D1047" s="1">
        <v>12124</v>
      </c>
      <c r="E1047" s="1">
        <v>104324</v>
      </c>
      <c r="F1047" s="2">
        <v>52634</v>
      </c>
    </row>
    <row r="1048" spans="1:6" x14ac:dyDescent="0.3">
      <c r="A1048">
        <v>2018</v>
      </c>
      <c r="B1048" t="s">
        <v>55</v>
      </c>
      <c r="C1048" t="s">
        <v>45</v>
      </c>
      <c r="D1048" s="1">
        <v>3884</v>
      </c>
      <c r="E1048" s="1">
        <v>22971</v>
      </c>
      <c r="F1048" s="2">
        <v>48981</v>
      </c>
    </row>
    <row r="1049" spans="1:6" x14ac:dyDescent="0.3">
      <c r="A1049">
        <v>2018</v>
      </c>
      <c r="B1049" t="s">
        <v>55</v>
      </c>
      <c r="C1049" t="s">
        <v>46</v>
      </c>
      <c r="D1049" s="1">
        <v>12110</v>
      </c>
      <c r="E1049" s="1">
        <v>124488</v>
      </c>
      <c r="F1049" s="2">
        <v>57033</v>
      </c>
    </row>
    <row r="1050" spans="1:6" x14ac:dyDescent="0.3">
      <c r="A1050">
        <v>2018</v>
      </c>
      <c r="B1050" t="s">
        <v>55</v>
      </c>
      <c r="C1050" t="s">
        <v>47</v>
      </c>
      <c r="D1050" s="1">
        <v>51405</v>
      </c>
      <c r="E1050" s="1">
        <v>739156</v>
      </c>
      <c r="F1050" s="2">
        <v>65554</v>
      </c>
    </row>
    <row r="1051" spans="1:6" x14ac:dyDescent="0.3">
      <c r="A1051">
        <v>2018</v>
      </c>
      <c r="B1051" t="s">
        <v>55</v>
      </c>
      <c r="C1051" t="s">
        <v>48</v>
      </c>
      <c r="D1051" s="1">
        <v>11572</v>
      </c>
      <c r="E1051" s="1">
        <v>104339</v>
      </c>
      <c r="F1051" s="2">
        <v>51052</v>
      </c>
    </row>
    <row r="1052" spans="1:6" x14ac:dyDescent="0.3">
      <c r="A1052">
        <v>2018</v>
      </c>
      <c r="B1052" t="s">
        <v>55</v>
      </c>
      <c r="C1052" t="s">
        <v>49</v>
      </c>
      <c r="D1052" s="1">
        <v>2878</v>
      </c>
      <c r="E1052" s="1">
        <v>15262</v>
      </c>
      <c r="F1052" s="2">
        <v>51025</v>
      </c>
    </row>
    <row r="1053" spans="1:6" x14ac:dyDescent="0.3">
      <c r="A1053">
        <v>2018</v>
      </c>
      <c r="B1053" t="s">
        <v>55</v>
      </c>
      <c r="C1053" t="s">
        <v>50</v>
      </c>
      <c r="D1053" s="1">
        <v>21508</v>
      </c>
      <c r="E1053" s="1">
        <v>197292</v>
      </c>
      <c r="F1053" s="2">
        <v>58050</v>
      </c>
    </row>
    <row r="1054" spans="1:6" x14ac:dyDescent="0.3">
      <c r="A1054">
        <v>2018</v>
      </c>
      <c r="B1054" t="s">
        <v>55</v>
      </c>
      <c r="C1054" t="s">
        <v>51</v>
      </c>
      <c r="D1054" s="1">
        <v>26015</v>
      </c>
      <c r="E1054" s="1">
        <v>199867</v>
      </c>
      <c r="F1054" s="2">
        <v>64432</v>
      </c>
    </row>
    <row r="1055" spans="1:6" x14ac:dyDescent="0.3">
      <c r="A1055">
        <v>2018</v>
      </c>
      <c r="B1055" t="s">
        <v>55</v>
      </c>
      <c r="C1055" t="s">
        <v>52</v>
      </c>
      <c r="D1055" s="1">
        <v>4435</v>
      </c>
      <c r="E1055" s="1">
        <v>40126</v>
      </c>
      <c r="F1055" s="2">
        <v>72255</v>
      </c>
    </row>
    <row r="1056" spans="1:6" x14ac:dyDescent="0.3">
      <c r="A1056">
        <v>2018</v>
      </c>
      <c r="B1056" t="s">
        <v>55</v>
      </c>
      <c r="C1056" t="s">
        <v>53</v>
      </c>
      <c r="D1056" s="1">
        <v>14814</v>
      </c>
      <c r="E1056" s="1">
        <v>122396</v>
      </c>
      <c r="F1056" s="2">
        <v>62063</v>
      </c>
    </row>
    <row r="1057" spans="1:6" x14ac:dyDescent="0.3">
      <c r="A1057">
        <v>2018</v>
      </c>
      <c r="B1057" t="s">
        <v>55</v>
      </c>
      <c r="C1057" t="s">
        <v>54</v>
      </c>
      <c r="D1057" s="1">
        <v>3375</v>
      </c>
      <c r="E1057" s="1">
        <v>20253</v>
      </c>
      <c r="F1057" s="2">
        <v>53554</v>
      </c>
    </row>
    <row r="1058" spans="1:6" x14ac:dyDescent="0.3">
      <c r="A1058">
        <v>2018</v>
      </c>
      <c r="B1058" t="s">
        <v>56</v>
      </c>
      <c r="C1058" t="s">
        <v>7</v>
      </c>
      <c r="D1058" s="1">
        <v>5566</v>
      </c>
      <c r="E1058" s="1">
        <v>266798</v>
      </c>
      <c r="F1058" s="2">
        <v>57068</v>
      </c>
    </row>
    <row r="1059" spans="1:6" x14ac:dyDescent="0.3">
      <c r="A1059">
        <v>2018</v>
      </c>
      <c r="B1059" t="s">
        <v>56</v>
      </c>
      <c r="C1059" t="s">
        <v>8</v>
      </c>
      <c r="D1059" s="1">
        <v>4926</v>
      </c>
      <c r="E1059" s="1">
        <v>169675</v>
      </c>
      <c r="F1059" s="2">
        <v>76139</v>
      </c>
    </row>
    <row r="1060" spans="1:6" x14ac:dyDescent="0.3">
      <c r="A1060">
        <v>2018</v>
      </c>
      <c r="B1060" t="s">
        <v>56</v>
      </c>
      <c r="C1060" t="s">
        <v>9</v>
      </c>
      <c r="D1060" s="1">
        <v>2918</v>
      </c>
      <c r="E1060" s="1">
        <v>160597</v>
      </c>
      <c r="F1060" s="2">
        <v>47984</v>
      </c>
    </row>
    <row r="1061" spans="1:6" x14ac:dyDescent="0.3">
      <c r="A1061">
        <v>2018</v>
      </c>
      <c r="B1061" t="s">
        <v>56</v>
      </c>
      <c r="C1061" t="s">
        <v>10</v>
      </c>
      <c r="D1061" s="1">
        <v>44706</v>
      </c>
      <c r="E1061" s="1">
        <v>1320068</v>
      </c>
      <c r="F1061" s="2">
        <v>95627</v>
      </c>
    </row>
    <row r="1062" spans="1:6" x14ac:dyDescent="0.3">
      <c r="A1062">
        <v>2018</v>
      </c>
      <c r="B1062" t="s">
        <v>56</v>
      </c>
      <c r="C1062" t="s">
        <v>11</v>
      </c>
      <c r="D1062" s="1">
        <v>5804</v>
      </c>
      <c r="E1062" s="1">
        <v>147285</v>
      </c>
      <c r="F1062" s="2">
        <v>70677</v>
      </c>
    </row>
    <row r="1063" spans="1:6" x14ac:dyDescent="0.3">
      <c r="A1063">
        <v>2018</v>
      </c>
      <c r="B1063" t="s">
        <v>56</v>
      </c>
      <c r="C1063" t="s">
        <v>12</v>
      </c>
      <c r="D1063" s="1">
        <v>4408</v>
      </c>
      <c r="E1063" s="1">
        <v>160500</v>
      </c>
      <c r="F1063" s="2">
        <v>82569</v>
      </c>
    </row>
    <row r="1064" spans="1:6" x14ac:dyDescent="0.3">
      <c r="A1064">
        <v>2018</v>
      </c>
      <c r="B1064" t="s">
        <v>56</v>
      </c>
      <c r="C1064" t="s">
        <v>13</v>
      </c>
      <c r="D1064">
        <v>661</v>
      </c>
      <c r="E1064" s="1">
        <v>27077</v>
      </c>
      <c r="F1064" s="2">
        <v>64153</v>
      </c>
    </row>
    <row r="1065" spans="1:6" x14ac:dyDescent="0.3">
      <c r="A1065">
        <v>2018</v>
      </c>
      <c r="B1065" t="s">
        <v>56</v>
      </c>
      <c r="C1065" t="s">
        <v>14</v>
      </c>
      <c r="D1065" s="1">
        <v>20548</v>
      </c>
      <c r="E1065" s="1">
        <v>371590</v>
      </c>
      <c r="F1065" s="2">
        <v>61740</v>
      </c>
    </row>
    <row r="1066" spans="1:6" x14ac:dyDescent="0.3">
      <c r="A1066">
        <v>2018</v>
      </c>
      <c r="B1066" t="s">
        <v>56</v>
      </c>
      <c r="C1066" t="s">
        <v>15</v>
      </c>
      <c r="D1066" s="1">
        <v>9884</v>
      </c>
      <c r="E1066" s="1">
        <v>406818</v>
      </c>
      <c r="F1066" s="2">
        <v>59168</v>
      </c>
    </row>
    <row r="1067" spans="1:6" x14ac:dyDescent="0.3">
      <c r="A1067">
        <v>2018</v>
      </c>
      <c r="B1067" t="s">
        <v>56</v>
      </c>
      <c r="C1067" t="s">
        <v>16</v>
      </c>
      <c r="D1067" s="1">
        <v>2807</v>
      </c>
      <c r="E1067" s="1">
        <v>67792</v>
      </c>
      <c r="F1067" s="2">
        <v>63932</v>
      </c>
    </row>
    <row r="1068" spans="1:6" x14ac:dyDescent="0.3">
      <c r="A1068">
        <v>2018</v>
      </c>
      <c r="B1068" t="s">
        <v>56</v>
      </c>
      <c r="C1068" t="s">
        <v>17</v>
      </c>
      <c r="D1068" s="1">
        <v>17883</v>
      </c>
      <c r="E1068" s="1">
        <v>586130</v>
      </c>
      <c r="F1068" s="2">
        <v>71895</v>
      </c>
    </row>
    <row r="1069" spans="1:6" x14ac:dyDescent="0.3">
      <c r="A1069">
        <v>2018</v>
      </c>
      <c r="B1069" t="s">
        <v>56</v>
      </c>
      <c r="C1069" t="s">
        <v>18</v>
      </c>
      <c r="D1069" s="1">
        <v>8825</v>
      </c>
      <c r="E1069" s="1">
        <v>541836</v>
      </c>
      <c r="F1069" s="2">
        <v>62680</v>
      </c>
    </row>
    <row r="1070" spans="1:6" x14ac:dyDescent="0.3">
      <c r="A1070">
        <v>2018</v>
      </c>
      <c r="B1070" t="s">
        <v>56</v>
      </c>
      <c r="C1070" t="s">
        <v>19</v>
      </c>
      <c r="D1070" s="1">
        <v>4142</v>
      </c>
      <c r="E1070" s="1">
        <v>222586</v>
      </c>
      <c r="F1070" s="2">
        <v>60257</v>
      </c>
    </row>
    <row r="1071" spans="1:6" x14ac:dyDescent="0.3">
      <c r="A1071">
        <v>2018</v>
      </c>
      <c r="B1071" t="s">
        <v>56</v>
      </c>
      <c r="C1071" t="s">
        <v>20</v>
      </c>
      <c r="D1071" s="1">
        <v>3143</v>
      </c>
      <c r="E1071" s="1">
        <v>165056</v>
      </c>
      <c r="F1071" s="2">
        <v>59206</v>
      </c>
    </row>
    <row r="1072" spans="1:6" x14ac:dyDescent="0.3">
      <c r="A1072">
        <v>2018</v>
      </c>
      <c r="B1072" t="s">
        <v>56</v>
      </c>
      <c r="C1072" t="s">
        <v>21</v>
      </c>
      <c r="D1072" s="1">
        <v>4443</v>
      </c>
      <c r="E1072" s="1">
        <v>251454</v>
      </c>
      <c r="F1072" s="2">
        <v>59208</v>
      </c>
    </row>
    <row r="1073" spans="1:6" x14ac:dyDescent="0.3">
      <c r="A1073">
        <v>2018</v>
      </c>
      <c r="B1073" t="s">
        <v>56</v>
      </c>
      <c r="C1073" t="s">
        <v>22</v>
      </c>
      <c r="D1073" s="1">
        <v>4428</v>
      </c>
      <c r="E1073" s="1">
        <v>135510</v>
      </c>
      <c r="F1073" s="2">
        <v>75881</v>
      </c>
    </row>
    <row r="1074" spans="1:6" x14ac:dyDescent="0.3">
      <c r="A1074">
        <v>2018</v>
      </c>
      <c r="B1074" t="s">
        <v>56</v>
      </c>
      <c r="C1074" t="s">
        <v>23</v>
      </c>
      <c r="D1074" s="1">
        <v>1856</v>
      </c>
      <c r="E1074" s="1">
        <v>51836</v>
      </c>
      <c r="F1074" s="2">
        <v>55894</v>
      </c>
    </row>
    <row r="1075" spans="1:6" x14ac:dyDescent="0.3">
      <c r="A1075">
        <v>2018</v>
      </c>
      <c r="B1075" t="s">
        <v>56</v>
      </c>
      <c r="C1075" t="s">
        <v>24</v>
      </c>
      <c r="D1075" s="1">
        <v>4035</v>
      </c>
      <c r="E1075" s="1">
        <v>109683</v>
      </c>
      <c r="F1075" s="2">
        <v>78350</v>
      </c>
    </row>
    <row r="1076" spans="1:6" x14ac:dyDescent="0.3">
      <c r="A1076">
        <v>2018</v>
      </c>
      <c r="B1076" t="s">
        <v>56</v>
      </c>
      <c r="C1076" t="s">
        <v>25</v>
      </c>
      <c r="D1076" s="1">
        <v>6711</v>
      </c>
      <c r="E1076" s="1">
        <v>245091</v>
      </c>
      <c r="F1076" s="2">
        <v>88576</v>
      </c>
    </row>
    <row r="1077" spans="1:6" x14ac:dyDescent="0.3">
      <c r="A1077">
        <v>2018</v>
      </c>
      <c r="B1077" t="s">
        <v>56</v>
      </c>
      <c r="C1077" t="s">
        <v>26</v>
      </c>
      <c r="D1077" s="1">
        <v>16070</v>
      </c>
      <c r="E1077" s="1">
        <v>627751</v>
      </c>
      <c r="F1077" s="2">
        <v>67537</v>
      </c>
    </row>
    <row r="1078" spans="1:6" x14ac:dyDescent="0.3">
      <c r="A1078">
        <v>2018</v>
      </c>
      <c r="B1078" t="s">
        <v>56</v>
      </c>
      <c r="C1078" t="s">
        <v>27</v>
      </c>
      <c r="D1078" s="1">
        <v>8487</v>
      </c>
      <c r="E1078" s="1">
        <v>321908</v>
      </c>
      <c r="F1078" s="2">
        <v>67096</v>
      </c>
    </row>
    <row r="1079" spans="1:6" x14ac:dyDescent="0.3">
      <c r="A1079">
        <v>2018</v>
      </c>
      <c r="B1079" t="s">
        <v>56</v>
      </c>
      <c r="C1079" t="s">
        <v>28</v>
      </c>
      <c r="D1079" s="1">
        <v>2421</v>
      </c>
      <c r="E1079" s="1">
        <v>144816</v>
      </c>
      <c r="F1079" s="2">
        <v>49254</v>
      </c>
    </row>
    <row r="1080" spans="1:6" x14ac:dyDescent="0.3">
      <c r="A1080">
        <v>2018</v>
      </c>
      <c r="B1080" t="s">
        <v>56</v>
      </c>
      <c r="C1080" t="s">
        <v>29</v>
      </c>
      <c r="D1080" s="1">
        <v>6476</v>
      </c>
      <c r="E1080" s="1">
        <v>273163</v>
      </c>
      <c r="F1080" s="2">
        <v>58359</v>
      </c>
    </row>
    <row r="1081" spans="1:6" x14ac:dyDescent="0.3">
      <c r="A1081">
        <v>2018</v>
      </c>
      <c r="B1081" t="s">
        <v>56</v>
      </c>
      <c r="C1081" t="s">
        <v>30</v>
      </c>
      <c r="D1081" s="1">
        <v>1634</v>
      </c>
      <c r="E1081" s="1">
        <v>20560</v>
      </c>
      <c r="F1081" s="2">
        <v>50194</v>
      </c>
    </row>
    <row r="1082" spans="1:6" x14ac:dyDescent="0.3">
      <c r="A1082">
        <v>2018</v>
      </c>
      <c r="B1082" t="s">
        <v>56</v>
      </c>
      <c r="C1082" t="s">
        <v>31</v>
      </c>
      <c r="D1082" s="1">
        <v>1988</v>
      </c>
      <c r="E1082" s="1">
        <v>99807</v>
      </c>
      <c r="F1082" s="2">
        <v>51566</v>
      </c>
    </row>
    <row r="1083" spans="1:6" x14ac:dyDescent="0.3">
      <c r="A1083">
        <v>2018</v>
      </c>
      <c r="B1083" t="s">
        <v>56</v>
      </c>
      <c r="C1083" t="s">
        <v>32</v>
      </c>
      <c r="D1083" s="1">
        <v>2066</v>
      </c>
      <c r="E1083" s="1">
        <v>55405</v>
      </c>
      <c r="F1083" s="2">
        <v>58543</v>
      </c>
    </row>
    <row r="1084" spans="1:6" x14ac:dyDescent="0.3">
      <c r="A1084">
        <v>2018</v>
      </c>
      <c r="B1084" t="s">
        <v>56</v>
      </c>
      <c r="C1084" t="s">
        <v>33</v>
      </c>
      <c r="D1084" s="1">
        <v>2032</v>
      </c>
      <c r="E1084" s="1">
        <v>70582</v>
      </c>
      <c r="F1084" s="2">
        <v>71722</v>
      </c>
    </row>
    <row r="1085" spans="1:6" x14ac:dyDescent="0.3">
      <c r="A1085">
        <v>2018</v>
      </c>
      <c r="B1085" t="s">
        <v>56</v>
      </c>
      <c r="C1085" t="s">
        <v>34</v>
      </c>
      <c r="D1085" s="1">
        <v>8976</v>
      </c>
      <c r="E1085" s="1">
        <v>245593</v>
      </c>
      <c r="F1085" s="2">
        <v>80088</v>
      </c>
    </row>
    <row r="1086" spans="1:6" x14ac:dyDescent="0.3">
      <c r="A1086">
        <v>2018</v>
      </c>
      <c r="B1086" t="s">
        <v>56</v>
      </c>
      <c r="C1086" t="s">
        <v>35</v>
      </c>
      <c r="D1086" s="1">
        <v>1768</v>
      </c>
      <c r="E1086" s="1">
        <v>27145</v>
      </c>
      <c r="F1086" s="2">
        <v>53139</v>
      </c>
    </row>
    <row r="1087" spans="1:6" x14ac:dyDescent="0.3">
      <c r="A1087">
        <v>2018</v>
      </c>
      <c r="B1087" t="s">
        <v>56</v>
      </c>
      <c r="C1087" t="s">
        <v>36</v>
      </c>
      <c r="D1087" s="1">
        <v>16910</v>
      </c>
      <c r="E1087" s="1">
        <v>441590</v>
      </c>
      <c r="F1087" s="2">
        <v>67614</v>
      </c>
    </row>
    <row r="1088" spans="1:6" x14ac:dyDescent="0.3">
      <c r="A1088">
        <v>2018</v>
      </c>
      <c r="B1088" t="s">
        <v>56</v>
      </c>
      <c r="C1088" t="s">
        <v>37</v>
      </c>
      <c r="D1088" s="1">
        <v>10219</v>
      </c>
      <c r="E1088" s="1">
        <v>474932</v>
      </c>
      <c r="F1088" s="2">
        <v>59827</v>
      </c>
    </row>
    <row r="1089" spans="1:6" x14ac:dyDescent="0.3">
      <c r="A1089">
        <v>2018</v>
      </c>
      <c r="B1089" t="s">
        <v>56</v>
      </c>
      <c r="C1089" t="s">
        <v>38</v>
      </c>
      <c r="D1089">
        <v>807</v>
      </c>
      <c r="E1089" s="1">
        <v>25906</v>
      </c>
      <c r="F1089" s="2">
        <v>53882</v>
      </c>
    </row>
    <row r="1090" spans="1:6" x14ac:dyDescent="0.3">
      <c r="A1090">
        <v>2018</v>
      </c>
      <c r="B1090" t="s">
        <v>56</v>
      </c>
      <c r="C1090" t="s">
        <v>39</v>
      </c>
      <c r="D1090" s="1">
        <v>15409</v>
      </c>
      <c r="E1090" s="1">
        <v>698950</v>
      </c>
      <c r="F1090" s="2">
        <v>61487</v>
      </c>
    </row>
    <row r="1091" spans="1:6" x14ac:dyDescent="0.3">
      <c r="A1091">
        <v>2018</v>
      </c>
      <c r="B1091" t="s">
        <v>56</v>
      </c>
      <c r="C1091" t="s">
        <v>40</v>
      </c>
      <c r="D1091" s="1">
        <v>4164</v>
      </c>
      <c r="E1091" s="1">
        <v>137739</v>
      </c>
      <c r="F1091" s="2">
        <v>58770</v>
      </c>
    </row>
    <row r="1092" spans="1:6" x14ac:dyDescent="0.3">
      <c r="A1092">
        <v>2018</v>
      </c>
      <c r="B1092" t="s">
        <v>56</v>
      </c>
      <c r="C1092" t="s">
        <v>41</v>
      </c>
      <c r="D1092" s="1">
        <v>6240</v>
      </c>
      <c r="E1092" s="1">
        <v>194693</v>
      </c>
      <c r="F1092" s="2">
        <v>70641</v>
      </c>
    </row>
    <row r="1093" spans="1:6" x14ac:dyDescent="0.3">
      <c r="A1093">
        <v>2018</v>
      </c>
      <c r="B1093" t="s">
        <v>56</v>
      </c>
      <c r="C1093" t="s">
        <v>42</v>
      </c>
      <c r="D1093" s="1">
        <v>14407</v>
      </c>
      <c r="E1093" s="1">
        <v>569811</v>
      </c>
      <c r="F1093" s="2">
        <v>62561</v>
      </c>
    </row>
    <row r="1094" spans="1:6" x14ac:dyDescent="0.3">
      <c r="A1094">
        <v>2018</v>
      </c>
      <c r="B1094" t="s">
        <v>56</v>
      </c>
      <c r="C1094" t="s">
        <v>43</v>
      </c>
      <c r="D1094" s="1">
        <v>1572</v>
      </c>
      <c r="E1094" s="1">
        <v>40340</v>
      </c>
      <c r="F1094" s="2">
        <v>58468</v>
      </c>
    </row>
    <row r="1095" spans="1:6" x14ac:dyDescent="0.3">
      <c r="A1095">
        <v>2018</v>
      </c>
      <c r="B1095" t="s">
        <v>56</v>
      </c>
      <c r="C1095" t="s">
        <v>44</v>
      </c>
      <c r="D1095" s="1">
        <v>6087</v>
      </c>
      <c r="E1095" s="1">
        <v>249719</v>
      </c>
      <c r="F1095" s="2">
        <v>59522</v>
      </c>
    </row>
    <row r="1096" spans="1:6" x14ac:dyDescent="0.3">
      <c r="A1096">
        <v>2018</v>
      </c>
      <c r="B1096" t="s">
        <v>56</v>
      </c>
      <c r="C1096" t="s">
        <v>45</v>
      </c>
      <c r="D1096" s="1">
        <v>1084</v>
      </c>
      <c r="E1096" s="1">
        <v>44442</v>
      </c>
      <c r="F1096" s="2">
        <v>49320</v>
      </c>
    </row>
    <row r="1097" spans="1:6" x14ac:dyDescent="0.3">
      <c r="A1097">
        <v>2018</v>
      </c>
      <c r="B1097" t="s">
        <v>56</v>
      </c>
      <c r="C1097" t="s">
        <v>46</v>
      </c>
      <c r="D1097" s="1">
        <v>7051</v>
      </c>
      <c r="E1097" s="1">
        <v>351073</v>
      </c>
      <c r="F1097" s="2">
        <v>59495</v>
      </c>
    </row>
    <row r="1098" spans="1:6" x14ac:dyDescent="0.3">
      <c r="A1098">
        <v>2018</v>
      </c>
      <c r="B1098" t="s">
        <v>56</v>
      </c>
      <c r="C1098" t="s">
        <v>47</v>
      </c>
      <c r="D1098" s="1">
        <v>24758</v>
      </c>
      <c r="E1098" s="1">
        <v>879509</v>
      </c>
      <c r="F1098" s="2">
        <v>77648</v>
      </c>
    </row>
    <row r="1099" spans="1:6" x14ac:dyDescent="0.3">
      <c r="A1099">
        <v>2018</v>
      </c>
      <c r="B1099" t="s">
        <v>56</v>
      </c>
      <c r="C1099" t="s">
        <v>48</v>
      </c>
      <c r="D1099" s="1">
        <v>4386</v>
      </c>
      <c r="E1099" s="1">
        <v>132149</v>
      </c>
      <c r="F1099" s="2">
        <v>58006</v>
      </c>
    </row>
    <row r="1100" spans="1:6" x14ac:dyDescent="0.3">
      <c r="A1100">
        <v>2018</v>
      </c>
      <c r="B1100" t="s">
        <v>56</v>
      </c>
      <c r="C1100" t="s">
        <v>49</v>
      </c>
      <c r="D1100" s="1">
        <v>1108</v>
      </c>
      <c r="E1100" s="1">
        <v>29827</v>
      </c>
      <c r="F1100" s="2">
        <v>59390</v>
      </c>
    </row>
    <row r="1101" spans="1:6" x14ac:dyDescent="0.3">
      <c r="A1101">
        <v>2018</v>
      </c>
      <c r="B1101" t="s">
        <v>56</v>
      </c>
      <c r="C1101" t="s">
        <v>50</v>
      </c>
      <c r="D1101" s="1">
        <v>6750</v>
      </c>
      <c r="E1101" s="1">
        <v>238645</v>
      </c>
      <c r="F1101" s="2">
        <v>59974</v>
      </c>
    </row>
    <row r="1102" spans="1:6" x14ac:dyDescent="0.3">
      <c r="A1102">
        <v>2018</v>
      </c>
      <c r="B1102" t="s">
        <v>56</v>
      </c>
      <c r="C1102" t="s">
        <v>51</v>
      </c>
      <c r="D1102" s="1">
        <v>7798</v>
      </c>
      <c r="E1102" s="1">
        <v>284112</v>
      </c>
      <c r="F1102" s="2">
        <v>79321</v>
      </c>
    </row>
    <row r="1103" spans="1:6" x14ac:dyDescent="0.3">
      <c r="A1103">
        <v>2018</v>
      </c>
      <c r="B1103" t="s">
        <v>56</v>
      </c>
      <c r="C1103" t="s">
        <v>52</v>
      </c>
      <c r="D1103" s="1">
        <v>1268</v>
      </c>
      <c r="E1103" s="1">
        <v>46952</v>
      </c>
      <c r="F1103" s="2">
        <v>60459</v>
      </c>
    </row>
    <row r="1104" spans="1:6" x14ac:dyDescent="0.3">
      <c r="A1104">
        <v>2018</v>
      </c>
      <c r="B1104" t="s">
        <v>56</v>
      </c>
      <c r="C1104" t="s">
        <v>53</v>
      </c>
      <c r="D1104" s="1">
        <v>9432</v>
      </c>
      <c r="E1104" s="1">
        <v>475510</v>
      </c>
      <c r="F1104" s="2">
        <v>58047</v>
      </c>
    </row>
    <row r="1105" spans="1:6" x14ac:dyDescent="0.3">
      <c r="A1105">
        <v>2018</v>
      </c>
      <c r="B1105" t="s">
        <v>56</v>
      </c>
      <c r="C1105" t="s">
        <v>54</v>
      </c>
      <c r="D1105">
        <v>600</v>
      </c>
      <c r="E1105" s="1">
        <v>9721</v>
      </c>
      <c r="F1105" s="2">
        <v>67060</v>
      </c>
    </row>
    <row r="1106" spans="1:6" x14ac:dyDescent="0.3">
      <c r="A1106">
        <v>2018</v>
      </c>
      <c r="B1106" t="s">
        <v>57</v>
      </c>
      <c r="C1106" t="s">
        <v>7</v>
      </c>
      <c r="D1106" s="1">
        <v>32481</v>
      </c>
      <c r="E1106" s="1">
        <v>377561</v>
      </c>
      <c r="F1106" s="2">
        <v>41970</v>
      </c>
    </row>
    <row r="1107" spans="1:6" x14ac:dyDescent="0.3">
      <c r="A1107">
        <v>2018</v>
      </c>
      <c r="B1107" t="s">
        <v>57</v>
      </c>
      <c r="C1107" t="s">
        <v>8</v>
      </c>
      <c r="D1107" s="1">
        <v>31775</v>
      </c>
      <c r="E1107" s="1">
        <v>532318</v>
      </c>
      <c r="F1107" s="2">
        <v>46734</v>
      </c>
    </row>
    <row r="1108" spans="1:6" x14ac:dyDescent="0.3">
      <c r="A1108">
        <v>2018</v>
      </c>
      <c r="B1108" t="s">
        <v>57</v>
      </c>
      <c r="C1108" t="s">
        <v>9</v>
      </c>
      <c r="D1108" s="1">
        <v>21642</v>
      </c>
      <c r="E1108" s="1">
        <v>248584</v>
      </c>
      <c r="F1108" s="2">
        <v>41450</v>
      </c>
    </row>
    <row r="1109" spans="1:6" x14ac:dyDescent="0.3">
      <c r="A1109">
        <v>2018</v>
      </c>
      <c r="B1109" t="s">
        <v>57</v>
      </c>
      <c r="C1109" t="s">
        <v>10</v>
      </c>
      <c r="D1109" s="1">
        <v>196511</v>
      </c>
      <c r="E1109" s="1">
        <v>3033009</v>
      </c>
      <c r="F1109" s="2">
        <v>52020</v>
      </c>
    </row>
    <row r="1110" spans="1:6" x14ac:dyDescent="0.3">
      <c r="A1110">
        <v>2018</v>
      </c>
      <c r="B1110" t="s">
        <v>57</v>
      </c>
      <c r="C1110" t="s">
        <v>11</v>
      </c>
      <c r="D1110" s="1">
        <v>35891</v>
      </c>
      <c r="E1110" s="1">
        <v>466602</v>
      </c>
      <c r="F1110" s="2">
        <v>50043</v>
      </c>
    </row>
    <row r="1111" spans="1:6" x14ac:dyDescent="0.3">
      <c r="A1111">
        <v>2018</v>
      </c>
      <c r="B1111" t="s">
        <v>57</v>
      </c>
      <c r="C1111" t="s">
        <v>12</v>
      </c>
      <c r="D1111" s="1">
        <v>24902</v>
      </c>
      <c r="E1111" s="1">
        <v>296173</v>
      </c>
      <c r="F1111" s="2">
        <v>51041</v>
      </c>
    </row>
    <row r="1112" spans="1:6" x14ac:dyDescent="0.3">
      <c r="A1112">
        <v>2018</v>
      </c>
      <c r="B1112" t="s">
        <v>57</v>
      </c>
      <c r="C1112" t="s">
        <v>13</v>
      </c>
      <c r="D1112" s="1">
        <v>6850</v>
      </c>
      <c r="E1112" s="1">
        <v>79300</v>
      </c>
      <c r="F1112" s="2">
        <v>40843</v>
      </c>
    </row>
    <row r="1113" spans="1:6" x14ac:dyDescent="0.3">
      <c r="A1113">
        <v>2018</v>
      </c>
      <c r="B1113" t="s">
        <v>57</v>
      </c>
      <c r="C1113" t="s">
        <v>14</v>
      </c>
      <c r="D1113" s="1">
        <v>139486</v>
      </c>
      <c r="E1113" s="1">
        <v>1772605</v>
      </c>
      <c r="F1113" s="2">
        <v>44766</v>
      </c>
    </row>
    <row r="1114" spans="1:6" x14ac:dyDescent="0.3">
      <c r="A1114">
        <v>2018</v>
      </c>
      <c r="B1114" t="s">
        <v>57</v>
      </c>
      <c r="C1114" t="s">
        <v>15</v>
      </c>
      <c r="D1114" s="1">
        <v>60996</v>
      </c>
      <c r="E1114" s="1">
        <v>934259</v>
      </c>
      <c r="F1114" s="2">
        <v>49352</v>
      </c>
    </row>
    <row r="1115" spans="1:6" x14ac:dyDescent="0.3">
      <c r="A1115">
        <v>2018</v>
      </c>
      <c r="B1115" t="s">
        <v>57</v>
      </c>
      <c r="C1115" t="s">
        <v>16</v>
      </c>
      <c r="D1115" s="1">
        <v>11969</v>
      </c>
      <c r="E1115" s="1">
        <v>139473</v>
      </c>
      <c r="F1115" s="2">
        <v>39972</v>
      </c>
    </row>
    <row r="1116" spans="1:6" x14ac:dyDescent="0.3">
      <c r="A1116">
        <v>2018</v>
      </c>
      <c r="B1116" t="s">
        <v>57</v>
      </c>
      <c r="C1116" t="s">
        <v>17</v>
      </c>
      <c r="D1116" s="1">
        <v>78063</v>
      </c>
      <c r="E1116" s="1">
        <v>1192654</v>
      </c>
      <c r="F1116" s="2">
        <v>51570</v>
      </c>
    </row>
    <row r="1117" spans="1:6" x14ac:dyDescent="0.3">
      <c r="A1117">
        <v>2018</v>
      </c>
      <c r="B1117" t="s">
        <v>57</v>
      </c>
      <c r="C1117" t="s">
        <v>18</v>
      </c>
      <c r="D1117" s="1">
        <v>40681</v>
      </c>
      <c r="E1117" s="1">
        <v>591234</v>
      </c>
      <c r="F1117" s="2">
        <v>42092</v>
      </c>
    </row>
    <row r="1118" spans="1:6" x14ac:dyDescent="0.3">
      <c r="A1118">
        <v>2018</v>
      </c>
      <c r="B1118" t="s">
        <v>57</v>
      </c>
      <c r="C1118" t="s">
        <v>19</v>
      </c>
      <c r="D1118" s="1">
        <v>23521</v>
      </c>
      <c r="E1118" s="1">
        <v>309603</v>
      </c>
      <c r="F1118" s="2">
        <v>40539</v>
      </c>
    </row>
    <row r="1119" spans="1:6" x14ac:dyDescent="0.3">
      <c r="A1119">
        <v>2018</v>
      </c>
      <c r="B1119" t="s">
        <v>57</v>
      </c>
      <c r="C1119" t="s">
        <v>20</v>
      </c>
      <c r="D1119" s="1">
        <v>20370</v>
      </c>
      <c r="E1119" s="1">
        <v>263858</v>
      </c>
      <c r="F1119" s="2">
        <v>42235</v>
      </c>
    </row>
    <row r="1120" spans="1:6" x14ac:dyDescent="0.3">
      <c r="A1120">
        <v>2018</v>
      </c>
      <c r="B1120" t="s">
        <v>57</v>
      </c>
      <c r="C1120" t="s">
        <v>21</v>
      </c>
      <c r="D1120" s="1">
        <v>28056</v>
      </c>
      <c r="E1120" s="1">
        <v>399946</v>
      </c>
      <c r="F1120" s="2">
        <v>42623</v>
      </c>
    </row>
    <row r="1121" spans="1:6" x14ac:dyDescent="0.3">
      <c r="A1121">
        <v>2018</v>
      </c>
      <c r="B1121" t="s">
        <v>57</v>
      </c>
      <c r="C1121" t="s">
        <v>22</v>
      </c>
      <c r="D1121" s="1">
        <v>30545</v>
      </c>
      <c r="E1121" s="1">
        <v>377555</v>
      </c>
      <c r="F1121" s="2">
        <v>42196</v>
      </c>
    </row>
    <row r="1122" spans="1:6" x14ac:dyDescent="0.3">
      <c r="A1122">
        <v>2018</v>
      </c>
      <c r="B1122" t="s">
        <v>57</v>
      </c>
      <c r="C1122" t="s">
        <v>23</v>
      </c>
      <c r="D1122" s="1">
        <v>10761</v>
      </c>
      <c r="E1122" s="1">
        <v>118191</v>
      </c>
      <c r="F1122" s="2">
        <v>37589</v>
      </c>
    </row>
    <row r="1123" spans="1:6" x14ac:dyDescent="0.3">
      <c r="A1123">
        <v>2018</v>
      </c>
      <c r="B1123" t="s">
        <v>57</v>
      </c>
      <c r="C1123" t="s">
        <v>24</v>
      </c>
      <c r="D1123" s="1">
        <v>32767</v>
      </c>
      <c r="E1123" s="1">
        <v>462590</v>
      </c>
      <c r="F1123" s="2">
        <v>46648</v>
      </c>
    </row>
    <row r="1124" spans="1:6" x14ac:dyDescent="0.3">
      <c r="A1124">
        <v>2018</v>
      </c>
      <c r="B1124" t="s">
        <v>57</v>
      </c>
      <c r="C1124" t="s">
        <v>25</v>
      </c>
      <c r="D1124" s="1">
        <v>42171</v>
      </c>
      <c r="E1124" s="1">
        <v>577061</v>
      </c>
      <c r="F1124" s="2">
        <v>52937</v>
      </c>
    </row>
    <row r="1125" spans="1:6" x14ac:dyDescent="0.3">
      <c r="A1125">
        <v>2018</v>
      </c>
      <c r="B1125" t="s">
        <v>57</v>
      </c>
      <c r="C1125" t="s">
        <v>26</v>
      </c>
      <c r="D1125" s="1">
        <v>52459</v>
      </c>
      <c r="E1125" s="1">
        <v>786892</v>
      </c>
      <c r="F1125" s="2">
        <v>47200</v>
      </c>
    </row>
    <row r="1126" spans="1:6" x14ac:dyDescent="0.3">
      <c r="A1126">
        <v>2018</v>
      </c>
      <c r="B1126" t="s">
        <v>57</v>
      </c>
      <c r="C1126" t="s">
        <v>27</v>
      </c>
      <c r="D1126" s="1">
        <v>37272</v>
      </c>
      <c r="E1126" s="1">
        <v>531669</v>
      </c>
      <c r="F1126" s="2">
        <v>49570</v>
      </c>
    </row>
    <row r="1127" spans="1:6" x14ac:dyDescent="0.3">
      <c r="A1127">
        <v>2018</v>
      </c>
      <c r="B1127" t="s">
        <v>57</v>
      </c>
      <c r="C1127" t="s">
        <v>28</v>
      </c>
      <c r="D1127" s="1">
        <v>19763</v>
      </c>
      <c r="E1127" s="1">
        <v>229107</v>
      </c>
      <c r="F1127" s="2">
        <v>36497</v>
      </c>
    </row>
    <row r="1128" spans="1:6" x14ac:dyDescent="0.3">
      <c r="A1128">
        <v>2018</v>
      </c>
      <c r="B1128" t="s">
        <v>57</v>
      </c>
      <c r="C1128" t="s">
        <v>29</v>
      </c>
      <c r="D1128" s="1">
        <v>38808</v>
      </c>
      <c r="E1128" s="1">
        <v>537150</v>
      </c>
      <c r="F1128" s="2">
        <v>42469</v>
      </c>
    </row>
    <row r="1129" spans="1:6" x14ac:dyDescent="0.3">
      <c r="A1129">
        <v>2018</v>
      </c>
      <c r="B1129" t="s">
        <v>57</v>
      </c>
      <c r="C1129" t="s">
        <v>30</v>
      </c>
      <c r="D1129" s="1">
        <v>9250</v>
      </c>
      <c r="E1129" s="1">
        <v>91355</v>
      </c>
      <c r="F1129" s="2">
        <v>39170</v>
      </c>
    </row>
    <row r="1130" spans="1:6" x14ac:dyDescent="0.3">
      <c r="A1130">
        <v>2018</v>
      </c>
      <c r="B1130" t="s">
        <v>57</v>
      </c>
      <c r="C1130" t="s">
        <v>31</v>
      </c>
      <c r="D1130" s="1">
        <v>14923</v>
      </c>
      <c r="E1130" s="1">
        <v>189793</v>
      </c>
      <c r="F1130" s="2">
        <v>39891</v>
      </c>
    </row>
    <row r="1131" spans="1:6" x14ac:dyDescent="0.3">
      <c r="A1131">
        <v>2018</v>
      </c>
      <c r="B1131" t="s">
        <v>57</v>
      </c>
      <c r="C1131" t="s">
        <v>32</v>
      </c>
      <c r="D1131" s="1">
        <v>15829</v>
      </c>
      <c r="E1131" s="1">
        <v>254417</v>
      </c>
      <c r="F1131" s="2">
        <v>44190</v>
      </c>
    </row>
    <row r="1132" spans="1:6" x14ac:dyDescent="0.3">
      <c r="A1132">
        <v>2018</v>
      </c>
      <c r="B1132" t="s">
        <v>57</v>
      </c>
      <c r="C1132" t="s">
        <v>33</v>
      </c>
      <c r="D1132" s="1">
        <v>12509</v>
      </c>
      <c r="E1132" s="1">
        <v>139183</v>
      </c>
      <c r="F1132" s="2">
        <v>47777</v>
      </c>
    </row>
    <row r="1133" spans="1:6" x14ac:dyDescent="0.3">
      <c r="A1133">
        <v>2018</v>
      </c>
      <c r="B1133" t="s">
        <v>57</v>
      </c>
      <c r="C1133" t="s">
        <v>34</v>
      </c>
      <c r="D1133" s="1">
        <v>54238</v>
      </c>
      <c r="E1133" s="1">
        <v>876344</v>
      </c>
      <c r="F1133" s="2">
        <v>53723</v>
      </c>
    </row>
    <row r="1134" spans="1:6" x14ac:dyDescent="0.3">
      <c r="A1134">
        <v>2018</v>
      </c>
      <c r="B1134" t="s">
        <v>57</v>
      </c>
      <c r="C1134" t="s">
        <v>35</v>
      </c>
      <c r="D1134" s="1">
        <v>10758</v>
      </c>
      <c r="E1134" s="1">
        <v>135970</v>
      </c>
      <c r="F1134" s="2">
        <v>38078</v>
      </c>
    </row>
    <row r="1135" spans="1:6" x14ac:dyDescent="0.3">
      <c r="A1135">
        <v>2018</v>
      </c>
      <c r="B1135" t="s">
        <v>57</v>
      </c>
      <c r="C1135" t="s">
        <v>36</v>
      </c>
      <c r="D1135" s="1">
        <v>123741</v>
      </c>
      <c r="E1135" s="1">
        <v>1554768</v>
      </c>
      <c r="F1135" s="2">
        <v>51832</v>
      </c>
    </row>
    <row r="1136" spans="1:6" x14ac:dyDescent="0.3">
      <c r="A1136">
        <v>2018</v>
      </c>
      <c r="B1136" t="s">
        <v>57</v>
      </c>
      <c r="C1136" t="s">
        <v>37</v>
      </c>
      <c r="D1136" s="1">
        <v>61525</v>
      </c>
      <c r="E1136" s="1">
        <v>830550</v>
      </c>
      <c r="F1136" s="2">
        <v>43092</v>
      </c>
    </row>
    <row r="1137" spans="1:6" x14ac:dyDescent="0.3">
      <c r="A1137">
        <v>2018</v>
      </c>
      <c r="B1137" t="s">
        <v>57</v>
      </c>
      <c r="C1137" t="s">
        <v>38</v>
      </c>
      <c r="D1137" s="1">
        <v>7753</v>
      </c>
      <c r="E1137" s="1">
        <v>91635</v>
      </c>
      <c r="F1137" s="2">
        <v>49819</v>
      </c>
    </row>
    <row r="1138" spans="1:6" x14ac:dyDescent="0.3">
      <c r="A1138">
        <v>2018</v>
      </c>
      <c r="B1138" t="s">
        <v>57</v>
      </c>
      <c r="C1138" t="s">
        <v>39</v>
      </c>
      <c r="D1138" s="1">
        <v>68615</v>
      </c>
      <c r="E1138" s="1">
        <v>1017249</v>
      </c>
      <c r="F1138" s="2">
        <v>44247</v>
      </c>
    </row>
    <row r="1139" spans="1:6" x14ac:dyDescent="0.3">
      <c r="A1139">
        <v>2018</v>
      </c>
      <c r="B1139" t="s">
        <v>57</v>
      </c>
      <c r="C1139" t="s">
        <v>40</v>
      </c>
      <c r="D1139" s="1">
        <v>23748</v>
      </c>
      <c r="E1139" s="1">
        <v>297631</v>
      </c>
      <c r="F1139" s="2">
        <v>41554</v>
      </c>
    </row>
    <row r="1140" spans="1:6" x14ac:dyDescent="0.3">
      <c r="A1140">
        <v>2018</v>
      </c>
      <c r="B1140" t="s">
        <v>57</v>
      </c>
      <c r="C1140" t="s">
        <v>41</v>
      </c>
      <c r="D1140" s="1">
        <v>26503</v>
      </c>
      <c r="E1140" s="1">
        <v>349656</v>
      </c>
      <c r="F1140" s="2">
        <v>44347</v>
      </c>
    </row>
    <row r="1141" spans="1:6" x14ac:dyDescent="0.3">
      <c r="A1141">
        <v>2018</v>
      </c>
      <c r="B1141" t="s">
        <v>57</v>
      </c>
      <c r="C1141" t="s">
        <v>42</v>
      </c>
      <c r="D1141" s="1">
        <v>74845</v>
      </c>
      <c r="E1141" s="1">
        <v>1117054</v>
      </c>
      <c r="F1141" s="2">
        <v>45000</v>
      </c>
    </row>
    <row r="1142" spans="1:6" x14ac:dyDescent="0.3">
      <c r="A1142">
        <v>2018</v>
      </c>
      <c r="B1142" t="s">
        <v>57</v>
      </c>
      <c r="C1142" t="s">
        <v>43</v>
      </c>
      <c r="D1142" s="1">
        <v>7658</v>
      </c>
      <c r="E1142" s="1">
        <v>76762</v>
      </c>
      <c r="F1142" s="2">
        <v>43902</v>
      </c>
    </row>
    <row r="1143" spans="1:6" x14ac:dyDescent="0.3">
      <c r="A1143">
        <v>2018</v>
      </c>
      <c r="B1143" t="s">
        <v>57</v>
      </c>
      <c r="C1143" t="s">
        <v>44</v>
      </c>
      <c r="D1143" s="1">
        <v>30013</v>
      </c>
      <c r="E1143" s="1">
        <v>402308</v>
      </c>
      <c r="F1143" s="2">
        <v>39429</v>
      </c>
    </row>
    <row r="1144" spans="1:6" x14ac:dyDescent="0.3">
      <c r="A1144">
        <v>2018</v>
      </c>
      <c r="B1144" t="s">
        <v>57</v>
      </c>
      <c r="C1144" t="s">
        <v>45</v>
      </c>
      <c r="D1144" s="1">
        <v>8059</v>
      </c>
      <c r="E1144" s="1">
        <v>85734</v>
      </c>
      <c r="F1144" s="2">
        <v>39650</v>
      </c>
    </row>
    <row r="1145" spans="1:6" x14ac:dyDescent="0.3">
      <c r="A1145">
        <v>2018</v>
      </c>
      <c r="B1145" t="s">
        <v>57</v>
      </c>
      <c r="C1145" t="s">
        <v>46</v>
      </c>
      <c r="D1145" s="1">
        <v>40040</v>
      </c>
      <c r="E1145" s="1">
        <v>623566</v>
      </c>
      <c r="F1145" s="2">
        <v>46137</v>
      </c>
    </row>
    <row r="1146" spans="1:6" x14ac:dyDescent="0.3">
      <c r="A1146">
        <v>2018</v>
      </c>
      <c r="B1146" t="s">
        <v>57</v>
      </c>
      <c r="C1146" t="s">
        <v>47</v>
      </c>
      <c r="D1146" s="1">
        <v>147447</v>
      </c>
      <c r="E1146" s="1">
        <v>2465009</v>
      </c>
      <c r="F1146" s="2">
        <v>52337</v>
      </c>
    </row>
    <row r="1147" spans="1:6" x14ac:dyDescent="0.3">
      <c r="A1147">
        <v>2018</v>
      </c>
      <c r="B1147" t="s">
        <v>57</v>
      </c>
      <c r="C1147" t="s">
        <v>48</v>
      </c>
      <c r="D1147" s="1">
        <v>19531</v>
      </c>
      <c r="E1147" s="1">
        <v>284283</v>
      </c>
      <c r="F1147" s="2">
        <v>44163</v>
      </c>
    </row>
    <row r="1148" spans="1:6" x14ac:dyDescent="0.3">
      <c r="A1148">
        <v>2018</v>
      </c>
      <c r="B1148" t="s">
        <v>57</v>
      </c>
      <c r="C1148" t="s">
        <v>49</v>
      </c>
      <c r="D1148" s="1">
        <v>5084</v>
      </c>
      <c r="E1148" s="1">
        <v>54476</v>
      </c>
      <c r="F1148" s="2">
        <v>40351</v>
      </c>
    </row>
    <row r="1149" spans="1:6" x14ac:dyDescent="0.3">
      <c r="A1149">
        <v>2018</v>
      </c>
      <c r="B1149" t="s">
        <v>57</v>
      </c>
      <c r="C1149" t="s">
        <v>50</v>
      </c>
      <c r="D1149" s="1">
        <v>43180</v>
      </c>
      <c r="E1149" s="1">
        <v>650233</v>
      </c>
      <c r="F1149" s="2">
        <v>43886</v>
      </c>
    </row>
    <row r="1150" spans="1:6" x14ac:dyDescent="0.3">
      <c r="A1150">
        <v>2018</v>
      </c>
      <c r="B1150" t="s">
        <v>57</v>
      </c>
      <c r="C1150" t="s">
        <v>51</v>
      </c>
      <c r="D1150" s="1">
        <v>39324</v>
      </c>
      <c r="E1150" s="1">
        <v>621384</v>
      </c>
      <c r="F1150" s="2">
        <v>63994</v>
      </c>
    </row>
    <row r="1151" spans="1:6" x14ac:dyDescent="0.3">
      <c r="A1151">
        <v>2018</v>
      </c>
      <c r="B1151" t="s">
        <v>57</v>
      </c>
      <c r="C1151" t="s">
        <v>52</v>
      </c>
      <c r="D1151" s="1">
        <v>10925</v>
      </c>
      <c r="E1151" s="1">
        <v>128211</v>
      </c>
      <c r="F1151" s="2">
        <v>38698</v>
      </c>
    </row>
    <row r="1152" spans="1:6" x14ac:dyDescent="0.3">
      <c r="A1152">
        <v>2018</v>
      </c>
      <c r="B1152" t="s">
        <v>57</v>
      </c>
      <c r="C1152" t="s">
        <v>53</v>
      </c>
      <c r="D1152" s="1">
        <v>36496</v>
      </c>
      <c r="E1152" s="1">
        <v>541333</v>
      </c>
      <c r="F1152" s="2">
        <v>41512</v>
      </c>
    </row>
    <row r="1153" spans="1:6" x14ac:dyDescent="0.3">
      <c r="A1153">
        <v>2018</v>
      </c>
      <c r="B1153" t="s">
        <v>57</v>
      </c>
      <c r="C1153" t="s">
        <v>54</v>
      </c>
      <c r="D1153" s="1">
        <v>4830</v>
      </c>
      <c r="E1153" s="1">
        <v>49819</v>
      </c>
      <c r="F1153" s="2">
        <v>42737</v>
      </c>
    </row>
    <row r="1154" spans="1:6" x14ac:dyDescent="0.3">
      <c r="A1154">
        <v>2018</v>
      </c>
      <c r="B1154" t="s">
        <v>58</v>
      </c>
      <c r="C1154" t="s">
        <v>7</v>
      </c>
      <c r="D1154" s="1">
        <v>2168</v>
      </c>
      <c r="E1154" s="1">
        <v>21030</v>
      </c>
      <c r="F1154" s="2">
        <v>60025</v>
      </c>
    </row>
    <row r="1155" spans="1:6" x14ac:dyDescent="0.3">
      <c r="A1155">
        <v>2018</v>
      </c>
      <c r="B1155" t="s">
        <v>58</v>
      </c>
      <c r="C1155" t="s">
        <v>8</v>
      </c>
      <c r="D1155" s="1">
        <v>3113</v>
      </c>
      <c r="E1155" s="1">
        <v>47340</v>
      </c>
      <c r="F1155" s="2">
        <v>75499</v>
      </c>
    </row>
    <row r="1156" spans="1:6" x14ac:dyDescent="0.3">
      <c r="A1156">
        <v>2018</v>
      </c>
      <c r="B1156" t="s">
        <v>58</v>
      </c>
      <c r="C1156" t="s">
        <v>9</v>
      </c>
      <c r="D1156" s="1">
        <v>1210</v>
      </c>
      <c r="E1156" s="1">
        <v>10913</v>
      </c>
      <c r="F1156" s="2">
        <v>53828</v>
      </c>
    </row>
    <row r="1157" spans="1:6" x14ac:dyDescent="0.3">
      <c r="A1157">
        <v>2018</v>
      </c>
      <c r="B1157" t="s">
        <v>58</v>
      </c>
      <c r="C1157" t="s">
        <v>10</v>
      </c>
      <c r="D1157" s="1">
        <v>26592</v>
      </c>
      <c r="E1157" s="1">
        <v>525771</v>
      </c>
      <c r="F1157" s="2">
        <v>188173</v>
      </c>
    </row>
    <row r="1158" spans="1:6" x14ac:dyDescent="0.3">
      <c r="A1158">
        <v>2018</v>
      </c>
      <c r="B1158" t="s">
        <v>58</v>
      </c>
      <c r="C1158" t="s">
        <v>11</v>
      </c>
      <c r="D1158" s="1">
        <v>4173</v>
      </c>
      <c r="E1158" s="1">
        <v>75076</v>
      </c>
      <c r="F1158" s="2">
        <v>100735</v>
      </c>
    </row>
    <row r="1159" spans="1:6" x14ac:dyDescent="0.3">
      <c r="A1159">
        <v>2018</v>
      </c>
      <c r="B1159" t="s">
        <v>58</v>
      </c>
      <c r="C1159" t="s">
        <v>12</v>
      </c>
      <c r="D1159" s="1">
        <v>2306</v>
      </c>
      <c r="E1159" s="1">
        <v>31734</v>
      </c>
      <c r="F1159" s="2">
        <v>110642</v>
      </c>
    </row>
    <row r="1160" spans="1:6" x14ac:dyDescent="0.3">
      <c r="A1160">
        <v>2018</v>
      </c>
      <c r="B1160" t="s">
        <v>58</v>
      </c>
      <c r="C1160" t="s">
        <v>13</v>
      </c>
      <c r="D1160">
        <v>433</v>
      </c>
      <c r="E1160" s="1">
        <v>4065</v>
      </c>
      <c r="F1160" s="2">
        <v>65782</v>
      </c>
    </row>
    <row r="1161" spans="1:6" x14ac:dyDescent="0.3">
      <c r="A1161">
        <v>2018</v>
      </c>
      <c r="B1161" t="s">
        <v>58</v>
      </c>
      <c r="C1161" t="s">
        <v>14</v>
      </c>
      <c r="D1161" s="1">
        <v>11205</v>
      </c>
      <c r="E1161" s="1">
        <v>138995</v>
      </c>
      <c r="F1161" s="2">
        <v>81168</v>
      </c>
    </row>
    <row r="1162" spans="1:6" x14ac:dyDescent="0.3">
      <c r="A1162">
        <v>2018</v>
      </c>
      <c r="B1162" t="s">
        <v>58</v>
      </c>
      <c r="C1162" t="s">
        <v>15</v>
      </c>
      <c r="D1162" s="1">
        <v>5113</v>
      </c>
      <c r="E1162" s="1">
        <v>114231</v>
      </c>
      <c r="F1162" s="2">
        <v>96613</v>
      </c>
    </row>
    <row r="1163" spans="1:6" x14ac:dyDescent="0.3">
      <c r="A1163">
        <v>2018</v>
      </c>
      <c r="B1163" t="s">
        <v>58</v>
      </c>
      <c r="C1163" t="s">
        <v>16</v>
      </c>
      <c r="D1163" s="1">
        <v>1223</v>
      </c>
      <c r="E1163" s="1">
        <v>8798</v>
      </c>
      <c r="F1163" s="2">
        <v>52761</v>
      </c>
    </row>
    <row r="1164" spans="1:6" x14ac:dyDescent="0.3">
      <c r="A1164">
        <v>2018</v>
      </c>
      <c r="B1164" t="s">
        <v>58</v>
      </c>
      <c r="C1164" t="s">
        <v>17</v>
      </c>
      <c r="D1164" s="1">
        <v>6688</v>
      </c>
      <c r="E1164" s="1">
        <v>94330</v>
      </c>
      <c r="F1164" s="2">
        <v>91164</v>
      </c>
    </row>
    <row r="1165" spans="1:6" x14ac:dyDescent="0.3">
      <c r="A1165">
        <v>2018</v>
      </c>
      <c r="B1165" t="s">
        <v>58</v>
      </c>
      <c r="C1165" t="s">
        <v>18</v>
      </c>
      <c r="D1165" s="1">
        <v>2123</v>
      </c>
      <c r="E1165" s="1">
        <v>29375</v>
      </c>
      <c r="F1165" s="2">
        <v>60371</v>
      </c>
    </row>
    <row r="1166" spans="1:6" x14ac:dyDescent="0.3">
      <c r="A1166">
        <v>2018</v>
      </c>
      <c r="B1166" t="s">
        <v>58</v>
      </c>
      <c r="C1166" t="s">
        <v>19</v>
      </c>
      <c r="D1166" s="1">
        <v>1742</v>
      </c>
      <c r="E1166" s="1">
        <v>22018</v>
      </c>
      <c r="F1166" s="2">
        <v>58519</v>
      </c>
    </row>
    <row r="1167" spans="1:6" x14ac:dyDescent="0.3">
      <c r="A1167">
        <v>2018</v>
      </c>
      <c r="B1167" t="s">
        <v>58</v>
      </c>
      <c r="C1167" t="s">
        <v>20</v>
      </c>
      <c r="D1167" s="1">
        <v>1308</v>
      </c>
      <c r="E1167" s="1">
        <v>18664</v>
      </c>
      <c r="F1167" s="2">
        <v>63399</v>
      </c>
    </row>
    <row r="1168" spans="1:6" x14ac:dyDescent="0.3">
      <c r="A1168">
        <v>2018</v>
      </c>
      <c r="B1168" t="s">
        <v>58</v>
      </c>
      <c r="C1168" t="s">
        <v>21</v>
      </c>
      <c r="D1168" s="1">
        <v>1785</v>
      </c>
      <c r="E1168" s="1">
        <v>21989</v>
      </c>
      <c r="F1168" s="2">
        <v>54629</v>
      </c>
    </row>
    <row r="1169" spans="1:6" x14ac:dyDescent="0.3">
      <c r="A1169">
        <v>2018</v>
      </c>
      <c r="B1169" t="s">
        <v>58</v>
      </c>
      <c r="C1169" t="s">
        <v>22</v>
      </c>
      <c r="D1169" s="1">
        <v>1716</v>
      </c>
      <c r="E1169" s="1">
        <v>22869</v>
      </c>
      <c r="F1169" s="2">
        <v>58223</v>
      </c>
    </row>
    <row r="1170" spans="1:6" x14ac:dyDescent="0.3">
      <c r="A1170">
        <v>2018</v>
      </c>
      <c r="B1170" t="s">
        <v>58</v>
      </c>
      <c r="C1170" t="s">
        <v>23</v>
      </c>
      <c r="D1170">
        <v>849</v>
      </c>
      <c r="E1170" s="1">
        <v>7397</v>
      </c>
      <c r="F1170" s="2">
        <v>54502</v>
      </c>
    </row>
    <row r="1171" spans="1:6" x14ac:dyDescent="0.3">
      <c r="A1171">
        <v>2018</v>
      </c>
      <c r="B1171" t="s">
        <v>58</v>
      </c>
      <c r="C1171" t="s">
        <v>24</v>
      </c>
      <c r="D1171" s="1">
        <v>2737</v>
      </c>
      <c r="E1171" s="1">
        <v>36210</v>
      </c>
      <c r="F1171" s="2">
        <v>92844</v>
      </c>
    </row>
    <row r="1172" spans="1:6" x14ac:dyDescent="0.3">
      <c r="A1172">
        <v>2018</v>
      </c>
      <c r="B1172" t="s">
        <v>58</v>
      </c>
      <c r="C1172" t="s">
        <v>25</v>
      </c>
      <c r="D1172" s="1">
        <v>5379</v>
      </c>
      <c r="E1172" s="1">
        <v>91783</v>
      </c>
      <c r="F1172" s="2">
        <v>123118</v>
      </c>
    </row>
    <row r="1173" spans="1:6" x14ac:dyDescent="0.3">
      <c r="A1173">
        <v>2018</v>
      </c>
      <c r="B1173" t="s">
        <v>58</v>
      </c>
      <c r="C1173" t="s">
        <v>26</v>
      </c>
      <c r="D1173" s="1">
        <v>6287</v>
      </c>
      <c r="E1173" s="1">
        <v>56247</v>
      </c>
      <c r="F1173" s="2">
        <v>73556</v>
      </c>
    </row>
    <row r="1174" spans="1:6" x14ac:dyDescent="0.3">
      <c r="A1174">
        <v>2018</v>
      </c>
      <c r="B1174" t="s">
        <v>58</v>
      </c>
      <c r="C1174" t="s">
        <v>27</v>
      </c>
      <c r="D1174" s="1">
        <v>3977</v>
      </c>
      <c r="E1174" s="1">
        <v>49170</v>
      </c>
      <c r="F1174" s="2">
        <v>78903</v>
      </c>
    </row>
    <row r="1175" spans="1:6" x14ac:dyDescent="0.3">
      <c r="A1175">
        <v>2018</v>
      </c>
      <c r="B1175" t="s">
        <v>58</v>
      </c>
      <c r="C1175" t="s">
        <v>28</v>
      </c>
      <c r="D1175">
        <v>940</v>
      </c>
      <c r="E1175" s="1">
        <v>10980</v>
      </c>
      <c r="F1175" s="2">
        <v>49173</v>
      </c>
    </row>
    <row r="1176" spans="1:6" x14ac:dyDescent="0.3">
      <c r="A1176">
        <v>2018</v>
      </c>
      <c r="B1176" t="s">
        <v>58</v>
      </c>
      <c r="C1176" t="s">
        <v>29</v>
      </c>
      <c r="D1176" s="1">
        <v>3049</v>
      </c>
      <c r="E1176" s="1">
        <v>47666</v>
      </c>
      <c r="F1176" s="2">
        <v>81842</v>
      </c>
    </row>
    <row r="1177" spans="1:6" x14ac:dyDescent="0.3">
      <c r="A1177">
        <v>2018</v>
      </c>
      <c r="B1177" t="s">
        <v>58</v>
      </c>
      <c r="C1177" t="s">
        <v>30</v>
      </c>
      <c r="D1177">
        <v>801</v>
      </c>
      <c r="E1177" s="1">
        <v>6350</v>
      </c>
      <c r="F1177" s="2">
        <v>54475</v>
      </c>
    </row>
    <row r="1178" spans="1:6" x14ac:dyDescent="0.3">
      <c r="A1178">
        <v>2018</v>
      </c>
      <c r="B1178" t="s">
        <v>58</v>
      </c>
      <c r="C1178" t="s">
        <v>31</v>
      </c>
      <c r="D1178">
        <v>973</v>
      </c>
      <c r="E1178" s="1">
        <v>17653</v>
      </c>
      <c r="F1178" s="2">
        <v>64407</v>
      </c>
    </row>
    <row r="1179" spans="1:6" x14ac:dyDescent="0.3">
      <c r="A1179">
        <v>2018</v>
      </c>
      <c r="B1179" t="s">
        <v>58</v>
      </c>
      <c r="C1179" t="s">
        <v>32</v>
      </c>
      <c r="D1179" s="1">
        <v>1541</v>
      </c>
      <c r="E1179" s="1">
        <v>15646</v>
      </c>
      <c r="F1179" s="2">
        <v>70292</v>
      </c>
    </row>
    <row r="1180" spans="1:6" x14ac:dyDescent="0.3">
      <c r="A1180">
        <v>2018</v>
      </c>
      <c r="B1180" t="s">
        <v>58</v>
      </c>
      <c r="C1180" t="s">
        <v>33</v>
      </c>
      <c r="D1180">
        <v>892</v>
      </c>
      <c r="E1180" s="1">
        <v>12351</v>
      </c>
      <c r="F1180" s="2">
        <v>93599</v>
      </c>
    </row>
    <row r="1181" spans="1:6" x14ac:dyDescent="0.3">
      <c r="A1181">
        <v>2018</v>
      </c>
      <c r="B1181" t="s">
        <v>58</v>
      </c>
      <c r="C1181" t="s">
        <v>34</v>
      </c>
      <c r="D1181" s="1">
        <v>3722</v>
      </c>
      <c r="E1181" s="1">
        <v>69519</v>
      </c>
      <c r="F1181" s="2">
        <v>114630</v>
      </c>
    </row>
    <row r="1182" spans="1:6" x14ac:dyDescent="0.3">
      <c r="A1182">
        <v>2018</v>
      </c>
      <c r="B1182" t="s">
        <v>58</v>
      </c>
      <c r="C1182" t="s">
        <v>35</v>
      </c>
      <c r="D1182">
        <v>987</v>
      </c>
      <c r="E1182" s="1">
        <v>12015</v>
      </c>
      <c r="F1182" s="2">
        <v>53204</v>
      </c>
    </row>
    <row r="1183" spans="1:6" x14ac:dyDescent="0.3">
      <c r="A1183">
        <v>2018</v>
      </c>
      <c r="B1183" t="s">
        <v>58</v>
      </c>
      <c r="C1183" t="s">
        <v>36</v>
      </c>
      <c r="D1183" s="1">
        <v>12672</v>
      </c>
      <c r="E1183" s="1">
        <v>275598</v>
      </c>
      <c r="F1183" s="2">
        <v>129853</v>
      </c>
    </row>
    <row r="1184" spans="1:6" x14ac:dyDescent="0.3">
      <c r="A1184">
        <v>2018</v>
      </c>
      <c r="B1184" t="s">
        <v>58</v>
      </c>
      <c r="C1184" t="s">
        <v>37</v>
      </c>
      <c r="D1184" s="1">
        <v>5238</v>
      </c>
      <c r="E1184" s="1">
        <v>79945</v>
      </c>
      <c r="F1184" s="2">
        <v>83920</v>
      </c>
    </row>
    <row r="1185" spans="1:6" x14ac:dyDescent="0.3">
      <c r="A1185">
        <v>2018</v>
      </c>
      <c r="B1185" t="s">
        <v>58</v>
      </c>
      <c r="C1185" t="s">
        <v>38</v>
      </c>
      <c r="D1185">
        <v>395</v>
      </c>
      <c r="E1185" s="1">
        <v>6221</v>
      </c>
      <c r="F1185" s="2">
        <v>70208</v>
      </c>
    </row>
    <row r="1186" spans="1:6" x14ac:dyDescent="0.3">
      <c r="A1186">
        <v>2018</v>
      </c>
      <c r="B1186" t="s">
        <v>58</v>
      </c>
      <c r="C1186" t="s">
        <v>39</v>
      </c>
      <c r="D1186" s="1">
        <v>4616</v>
      </c>
      <c r="E1186" s="1">
        <v>70930</v>
      </c>
      <c r="F1186" s="2">
        <v>70006</v>
      </c>
    </row>
    <row r="1187" spans="1:6" x14ac:dyDescent="0.3">
      <c r="A1187">
        <v>2018</v>
      </c>
      <c r="B1187" t="s">
        <v>58</v>
      </c>
      <c r="C1187" t="s">
        <v>40</v>
      </c>
      <c r="D1187" s="1">
        <v>1469</v>
      </c>
      <c r="E1187" s="1">
        <v>19859</v>
      </c>
      <c r="F1187" s="2">
        <v>58997</v>
      </c>
    </row>
    <row r="1188" spans="1:6" x14ac:dyDescent="0.3">
      <c r="A1188">
        <v>2018</v>
      </c>
      <c r="B1188" t="s">
        <v>58</v>
      </c>
      <c r="C1188" t="s">
        <v>41</v>
      </c>
      <c r="D1188" s="1">
        <v>3768</v>
      </c>
      <c r="E1188" s="1">
        <v>34277</v>
      </c>
      <c r="F1188" s="2">
        <v>87733</v>
      </c>
    </row>
    <row r="1189" spans="1:6" x14ac:dyDescent="0.3">
      <c r="A1189">
        <v>2018</v>
      </c>
      <c r="B1189" t="s">
        <v>58</v>
      </c>
      <c r="C1189" t="s">
        <v>42</v>
      </c>
      <c r="D1189" s="1">
        <v>4896</v>
      </c>
      <c r="E1189" s="1">
        <v>85970</v>
      </c>
      <c r="F1189" s="2">
        <v>87091</v>
      </c>
    </row>
    <row r="1190" spans="1:6" x14ac:dyDescent="0.3">
      <c r="A1190">
        <v>2018</v>
      </c>
      <c r="B1190" t="s">
        <v>58</v>
      </c>
      <c r="C1190" t="s">
        <v>43</v>
      </c>
      <c r="D1190">
        <v>715</v>
      </c>
      <c r="E1190" s="1">
        <v>5930</v>
      </c>
      <c r="F1190" s="2">
        <v>74327</v>
      </c>
    </row>
    <row r="1191" spans="1:6" x14ac:dyDescent="0.3">
      <c r="A1191">
        <v>2018</v>
      </c>
      <c r="B1191" t="s">
        <v>58</v>
      </c>
      <c r="C1191" t="s">
        <v>44</v>
      </c>
      <c r="D1191" s="1">
        <v>2548</v>
      </c>
      <c r="E1191" s="1">
        <v>28067</v>
      </c>
      <c r="F1191" s="2">
        <v>61977</v>
      </c>
    </row>
    <row r="1192" spans="1:6" x14ac:dyDescent="0.3">
      <c r="A1192">
        <v>2018</v>
      </c>
      <c r="B1192" t="s">
        <v>58</v>
      </c>
      <c r="C1192" t="s">
        <v>45</v>
      </c>
      <c r="D1192">
        <v>561</v>
      </c>
      <c r="E1192" s="1">
        <v>5589</v>
      </c>
      <c r="F1192" s="2">
        <v>49334</v>
      </c>
    </row>
    <row r="1193" spans="1:6" x14ac:dyDescent="0.3">
      <c r="A1193">
        <v>2018</v>
      </c>
      <c r="B1193" t="s">
        <v>58</v>
      </c>
      <c r="C1193" t="s">
        <v>46</v>
      </c>
      <c r="D1193" s="1">
        <v>3519</v>
      </c>
      <c r="E1193" s="1">
        <v>44851</v>
      </c>
      <c r="F1193" s="2">
        <v>73821</v>
      </c>
    </row>
    <row r="1194" spans="1:6" x14ac:dyDescent="0.3">
      <c r="A1194">
        <v>2018</v>
      </c>
      <c r="B1194" t="s">
        <v>58</v>
      </c>
      <c r="C1194" t="s">
        <v>47</v>
      </c>
      <c r="D1194" s="1">
        <v>9828</v>
      </c>
      <c r="E1194" s="1">
        <v>203822</v>
      </c>
      <c r="F1194" s="2">
        <v>87085</v>
      </c>
    </row>
    <row r="1195" spans="1:6" x14ac:dyDescent="0.3">
      <c r="A1195">
        <v>2018</v>
      </c>
      <c r="B1195" t="s">
        <v>58</v>
      </c>
      <c r="C1195" t="s">
        <v>48</v>
      </c>
      <c r="D1195" s="1">
        <v>2489</v>
      </c>
      <c r="E1195" s="1">
        <v>36783</v>
      </c>
      <c r="F1195" s="2">
        <v>78404</v>
      </c>
    </row>
    <row r="1196" spans="1:6" x14ac:dyDescent="0.3">
      <c r="A1196">
        <v>2018</v>
      </c>
      <c r="B1196" t="s">
        <v>58</v>
      </c>
      <c r="C1196" t="s">
        <v>49</v>
      </c>
      <c r="D1196">
        <v>505</v>
      </c>
      <c r="E1196" s="1">
        <v>4280</v>
      </c>
      <c r="F1196" s="2">
        <v>59800</v>
      </c>
    </row>
    <row r="1197" spans="1:6" x14ac:dyDescent="0.3">
      <c r="A1197">
        <v>2018</v>
      </c>
      <c r="B1197" t="s">
        <v>58</v>
      </c>
      <c r="C1197" t="s">
        <v>50</v>
      </c>
      <c r="D1197" s="1">
        <v>4379</v>
      </c>
      <c r="E1197" s="1">
        <v>66998</v>
      </c>
      <c r="F1197" s="2">
        <v>100731</v>
      </c>
    </row>
    <row r="1198" spans="1:6" x14ac:dyDescent="0.3">
      <c r="A1198">
        <v>2018</v>
      </c>
      <c r="B1198" t="s">
        <v>58</v>
      </c>
      <c r="C1198" t="s">
        <v>51</v>
      </c>
      <c r="D1198" s="1">
        <v>4629</v>
      </c>
      <c r="E1198" s="1">
        <v>133126</v>
      </c>
      <c r="F1198" s="2">
        <v>194631</v>
      </c>
    </row>
    <row r="1199" spans="1:6" x14ac:dyDescent="0.3">
      <c r="A1199">
        <v>2018</v>
      </c>
      <c r="B1199" t="s">
        <v>58</v>
      </c>
      <c r="C1199" t="s">
        <v>52</v>
      </c>
      <c r="D1199">
        <v>789</v>
      </c>
      <c r="E1199" s="1">
        <v>8288</v>
      </c>
      <c r="F1199" s="2">
        <v>52508</v>
      </c>
    </row>
    <row r="1200" spans="1:6" x14ac:dyDescent="0.3">
      <c r="A1200">
        <v>2018</v>
      </c>
      <c r="B1200" t="s">
        <v>58</v>
      </c>
      <c r="C1200" t="s">
        <v>53</v>
      </c>
      <c r="D1200" s="1">
        <v>2298</v>
      </c>
      <c r="E1200" s="1">
        <v>47152</v>
      </c>
      <c r="F1200" s="2">
        <v>75414</v>
      </c>
    </row>
    <row r="1201" spans="1:6" x14ac:dyDescent="0.3">
      <c r="A1201">
        <v>2018</v>
      </c>
      <c r="B1201" t="s">
        <v>58</v>
      </c>
      <c r="C1201" t="s">
        <v>54</v>
      </c>
      <c r="D1201">
        <v>398</v>
      </c>
      <c r="E1201" s="1">
        <v>3554</v>
      </c>
      <c r="F1201" s="2">
        <v>47401</v>
      </c>
    </row>
    <row r="1202" spans="1:6" x14ac:dyDescent="0.3">
      <c r="A1202">
        <v>2018</v>
      </c>
      <c r="B1202" t="s">
        <v>59</v>
      </c>
      <c r="C1202" t="s">
        <v>7</v>
      </c>
      <c r="D1202" s="1">
        <v>13364</v>
      </c>
      <c r="E1202" s="1">
        <v>94561</v>
      </c>
      <c r="F1202" s="2">
        <v>69240</v>
      </c>
    </row>
    <row r="1203" spans="1:6" x14ac:dyDescent="0.3">
      <c r="A1203">
        <v>2018</v>
      </c>
      <c r="B1203" t="s">
        <v>59</v>
      </c>
      <c r="C1203" t="s">
        <v>8</v>
      </c>
      <c r="D1203" s="1">
        <v>17978</v>
      </c>
      <c r="E1203" s="1">
        <v>214637</v>
      </c>
      <c r="F1203" s="2">
        <v>70877</v>
      </c>
    </row>
    <row r="1204" spans="1:6" x14ac:dyDescent="0.3">
      <c r="A1204">
        <v>2018</v>
      </c>
      <c r="B1204" t="s">
        <v>59</v>
      </c>
      <c r="C1204" t="s">
        <v>9</v>
      </c>
      <c r="D1204" s="1">
        <v>8418</v>
      </c>
      <c r="E1204" s="1">
        <v>50647</v>
      </c>
      <c r="F1204" s="2">
        <v>58119</v>
      </c>
    </row>
    <row r="1205" spans="1:6" x14ac:dyDescent="0.3">
      <c r="A1205">
        <v>2018</v>
      </c>
      <c r="B1205" t="s">
        <v>59</v>
      </c>
      <c r="C1205" t="s">
        <v>10</v>
      </c>
      <c r="D1205" s="1">
        <v>106953</v>
      </c>
      <c r="E1205" s="1">
        <v>835896</v>
      </c>
      <c r="F1205" s="2">
        <v>107228</v>
      </c>
    </row>
    <row r="1206" spans="1:6" x14ac:dyDescent="0.3">
      <c r="A1206">
        <v>2018</v>
      </c>
      <c r="B1206" t="s">
        <v>59</v>
      </c>
      <c r="C1206" t="s">
        <v>11</v>
      </c>
      <c r="D1206" s="1">
        <v>23326</v>
      </c>
      <c r="E1206" s="1">
        <v>164801</v>
      </c>
      <c r="F1206" s="2">
        <v>84615</v>
      </c>
    </row>
    <row r="1207" spans="1:6" x14ac:dyDescent="0.3">
      <c r="A1207">
        <v>2018</v>
      </c>
      <c r="B1207" t="s">
        <v>59</v>
      </c>
      <c r="C1207" t="s">
        <v>12</v>
      </c>
      <c r="D1207" s="1">
        <v>10879</v>
      </c>
      <c r="E1207" s="1">
        <v>123655</v>
      </c>
      <c r="F1207" s="2">
        <v>155433</v>
      </c>
    </row>
    <row r="1208" spans="1:6" x14ac:dyDescent="0.3">
      <c r="A1208">
        <v>2018</v>
      </c>
      <c r="B1208" t="s">
        <v>59</v>
      </c>
      <c r="C1208" t="s">
        <v>13</v>
      </c>
      <c r="D1208" s="1">
        <v>2859</v>
      </c>
      <c r="E1208" s="1">
        <v>47609</v>
      </c>
      <c r="F1208" s="2">
        <v>95574</v>
      </c>
    </row>
    <row r="1209" spans="1:6" x14ac:dyDescent="0.3">
      <c r="A1209">
        <v>2018</v>
      </c>
      <c r="B1209" t="s">
        <v>59</v>
      </c>
      <c r="C1209" t="s">
        <v>14</v>
      </c>
      <c r="D1209" s="1">
        <v>73412</v>
      </c>
      <c r="E1209" s="1">
        <v>570645</v>
      </c>
      <c r="F1209" s="2">
        <v>75337</v>
      </c>
    </row>
    <row r="1210" spans="1:6" x14ac:dyDescent="0.3">
      <c r="A1210">
        <v>2018</v>
      </c>
      <c r="B1210" t="s">
        <v>59</v>
      </c>
      <c r="C1210" t="s">
        <v>15</v>
      </c>
      <c r="D1210" s="1">
        <v>26225</v>
      </c>
      <c r="E1210" s="1">
        <v>237900</v>
      </c>
      <c r="F1210" s="2">
        <v>84587</v>
      </c>
    </row>
    <row r="1211" spans="1:6" x14ac:dyDescent="0.3">
      <c r="A1211">
        <v>2018</v>
      </c>
      <c r="B1211" t="s">
        <v>59</v>
      </c>
      <c r="C1211" t="s">
        <v>16</v>
      </c>
      <c r="D1211" s="1">
        <v>5824</v>
      </c>
      <c r="E1211" s="1">
        <v>32493</v>
      </c>
      <c r="F1211" s="2">
        <v>56024</v>
      </c>
    </row>
    <row r="1212" spans="1:6" x14ac:dyDescent="0.3">
      <c r="A1212">
        <v>2018</v>
      </c>
      <c r="B1212" t="s">
        <v>59</v>
      </c>
      <c r="C1212" t="s">
        <v>17</v>
      </c>
      <c r="D1212" s="1">
        <v>32448</v>
      </c>
      <c r="E1212" s="1">
        <v>373685</v>
      </c>
      <c r="F1212" s="2">
        <v>109598</v>
      </c>
    </row>
    <row r="1213" spans="1:6" x14ac:dyDescent="0.3">
      <c r="A1213">
        <v>2018</v>
      </c>
      <c r="B1213" t="s">
        <v>59</v>
      </c>
      <c r="C1213" t="s">
        <v>18</v>
      </c>
      <c r="D1213" s="1">
        <v>16542</v>
      </c>
      <c r="E1213" s="1">
        <v>133603</v>
      </c>
      <c r="F1213" s="2">
        <v>65167</v>
      </c>
    </row>
    <row r="1214" spans="1:6" x14ac:dyDescent="0.3">
      <c r="A1214">
        <v>2018</v>
      </c>
      <c r="B1214" t="s">
        <v>59</v>
      </c>
      <c r="C1214" t="s">
        <v>19</v>
      </c>
      <c r="D1214" s="1">
        <v>10213</v>
      </c>
      <c r="E1214" s="1">
        <v>109030</v>
      </c>
      <c r="F1214" s="2">
        <v>73894</v>
      </c>
    </row>
    <row r="1215" spans="1:6" x14ac:dyDescent="0.3">
      <c r="A1215">
        <v>2018</v>
      </c>
      <c r="B1215" t="s">
        <v>59</v>
      </c>
      <c r="C1215" t="s">
        <v>20</v>
      </c>
      <c r="D1215" s="1">
        <v>8870</v>
      </c>
      <c r="E1215" s="1">
        <v>73500</v>
      </c>
      <c r="F1215" s="2">
        <v>67710</v>
      </c>
    </row>
    <row r="1216" spans="1:6" x14ac:dyDescent="0.3">
      <c r="A1216">
        <v>2018</v>
      </c>
      <c r="B1216" t="s">
        <v>59</v>
      </c>
      <c r="C1216" t="s">
        <v>21</v>
      </c>
      <c r="D1216" s="1">
        <v>11035</v>
      </c>
      <c r="E1216" s="1">
        <v>92881</v>
      </c>
      <c r="F1216" s="2">
        <v>67733</v>
      </c>
    </row>
    <row r="1217" spans="1:6" x14ac:dyDescent="0.3">
      <c r="A1217">
        <v>2018</v>
      </c>
      <c r="B1217" t="s">
        <v>59</v>
      </c>
      <c r="C1217" t="s">
        <v>22</v>
      </c>
      <c r="D1217" s="1">
        <v>13754</v>
      </c>
      <c r="E1217" s="1">
        <v>85071</v>
      </c>
      <c r="F1217" s="2">
        <v>62731</v>
      </c>
    </row>
    <row r="1218" spans="1:6" x14ac:dyDescent="0.3">
      <c r="A1218">
        <v>2018</v>
      </c>
      <c r="B1218" t="s">
        <v>59</v>
      </c>
      <c r="C1218" t="s">
        <v>23</v>
      </c>
      <c r="D1218" s="1">
        <v>3804</v>
      </c>
      <c r="E1218" s="1">
        <v>29811</v>
      </c>
      <c r="F1218" s="2">
        <v>68174</v>
      </c>
    </row>
    <row r="1219" spans="1:6" x14ac:dyDescent="0.3">
      <c r="A1219">
        <v>2018</v>
      </c>
      <c r="B1219" t="s">
        <v>59</v>
      </c>
      <c r="C1219" t="s">
        <v>24</v>
      </c>
      <c r="D1219" s="1">
        <v>15277</v>
      </c>
      <c r="E1219" s="1">
        <v>138261</v>
      </c>
      <c r="F1219" s="2">
        <v>94201</v>
      </c>
    </row>
    <row r="1220" spans="1:6" x14ac:dyDescent="0.3">
      <c r="A1220">
        <v>2018</v>
      </c>
      <c r="B1220" t="s">
        <v>59</v>
      </c>
      <c r="C1220" t="s">
        <v>25</v>
      </c>
      <c r="D1220" s="1">
        <v>17504</v>
      </c>
      <c r="E1220" s="1">
        <v>217151</v>
      </c>
      <c r="F1220" s="2">
        <v>144514</v>
      </c>
    </row>
    <row r="1221" spans="1:6" x14ac:dyDescent="0.3">
      <c r="A1221">
        <v>2018</v>
      </c>
      <c r="B1221" t="s">
        <v>59</v>
      </c>
      <c r="C1221" t="s">
        <v>26</v>
      </c>
      <c r="D1221" s="1">
        <v>19082</v>
      </c>
      <c r="E1221" s="1">
        <v>203261</v>
      </c>
      <c r="F1221" s="2">
        <v>71568</v>
      </c>
    </row>
    <row r="1222" spans="1:6" x14ac:dyDescent="0.3">
      <c r="A1222">
        <v>2018</v>
      </c>
      <c r="B1222" t="s">
        <v>59</v>
      </c>
      <c r="C1222" t="s">
        <v>27</v>
      </c>
      <c r="D1222" s="1">
        <v>15877</v>
      </c>
      <c r="E1222" s="1">
        <v>178309</v>
      </c>
      <c r="F1222" s="2">
        <v>95604</v>
      </c>
    </row>
    <row r="1223" spans="1:6" x14ac:dyDescent="0.3">
      <c r="A1223">
        <v>2018</v>
      </c>
      <c r="B1223" t="s">
        <v>59</v>
      </c>
      <c r="C1223" t="s">
        <v>28</v>
      </c>
      <c r="D1223" s="1">
        <v>7959</v>
      </c>
      <c r="E1223" s="1">
        <v>42911</v>
      </c>
      <c r="F1223" s="2">
        <v>53281</v>
      </c>
    </row>
    <row r="1224" spans="1:6" x14ac:dyDescent="0.3">
      <c r="A1224">
        <v>2018</v>
      </c>
      <c r="B1224" t="s">
        <v>59</v>
      </c>
      <c r="C1224" t="s">
        <v>29</v>
      </c>
      <c r="D1224" s="1">
        <v>17251</v>
      </c>
      <c r="E1224" s="1">
        <v>162755</v>
      </c>
      <c r="F1224" s="2">
        <v>72947</v>
      </c>
    </row>
    <row r="1225" spans="1:6" x14ac:dyDescent="0.3">
      <c r="A1225">
        <v>2018</v>
      </c>
      <c r="B1225" t="s">
        <v>59</v>
      </c>
      <c r="C1225" t="s">
        <v>30</v>
      </c>
      <c r="D1225" s="1">
        <v>4297</v>
      </c>
      <c r="E1225" s="1">
        <v>21204</v>
      </c>
      <c r="F1225" s="2">
        <v>59315</v>
      </c>
    </row>
    <row r="1226" spans="1:6" x14ac:dyDescent="0.3">
      <c r="A1226">
        <v>2018</v>
      </c>
      <c r="B1226" t="s">
        <v>59</v>
      </c>
      <c r="C1226" t="s">
        <v>31</v>
      </c>
      <c r="D1226" s="1">
        <v>6683</v>
      </c>
      <c r="E1226" s="1">
        <v>66245</v>
      </c>
      <c r="F1226" s="2">
        <v>66817</v>
      </c>
    </row>
    <row r="1227" spans="1:6" x14ac:dyDescent="0.3">
      <c r="A1227">
        <v>2018</v>
      </c>
      <c r="B1227" t="s">
        <v>59</v>
      </c>
      <c r="C1227" t="s">
        <v>32</v>
      </c>
      <c r="D1227" s="1">
        <v>9082</v>
      </c>
      <c r="E1227" s="1">
        <v>63303</v>
      </c>
      <c r="F1227" s="2">
        <v>66612</v>
      </c>
    </row>
    <row r="1228" spans="1:6" x14ac:dyDescent="0.3">
      <c r="A1228">
        <v>2018</v>
      </c>
      <c r="B1228" t="s">
        <v>59</v>
      </c>
      <c r="C1228" t="s">
        <v>33</v>
      </c>
      <c r="D1228" s="1">
        <v>3838</v>
      </c>
      <c r="E1228" s="1">
        <v>33486</v>
      </c>
      <c r="F1228" s="2">
        <v>94889</v>
      </c>
    </row>
    <row r="1229" spans="1:6" x14ac:dyDescent="0.3">
      <c r="A1229">
        <v>2018</v>
      </c>
      <c r="B1229" t="s">
        <v>59</v>
      </c>
      <c r="C1229" t="s">
        <v>34</v>
      </c>
      <c r="D1229" s="1">
        <v>19963</v>
      </c>
      <c r="E1229" s="1">
        <v>242994</v>
      </c>
      <c r="F1229" s="2">
        <v>115066</v>
      </c>
    </row>
    <row r="1230" spans="1:6" x14ac:dyDescent="0.3">
      <c r="A1230">
        <v>2018</v>
      </c>
      <c r="B1230" t="s">
        <v>59</v>
      </c>
      <c r="C1230" t="s">
        <v>35</v>
      </c>
      <c r="D1230" s="1">
        <v>5293</v>
      </c>
      <c r="E1230" s="1">
        <v>32955</v>
      </c>
      <c r="F1230" s="2">
        <v>56048</v>
      </c>
    </row>
    <row r="1231" spans="1:6" x14ac:dyDescent="0.3">
      <c r="A1231">
        <v>2018</v>
      </c>
      <c r="B1231" t="s">
        <v>59</v>
      </c>
      <c r="C1231" t="s">
        <v>36</v>
      </c>
      <c r="D1231" s="1">
        <v>64317</v>
      </c>
      <c r="E1231" s="1">
        <v>714540</v>
      </c>
      <c r="F1231" s="2">
        <v>186871</v>
      </c>
    </row>
    <row r="1232" spans="1:6" x14ac:dyDescent="0.3">
      <c r="A1232">
        <v>2018</v>
      </c>
      <c r="B1232" t="s">
        <v>59</v>
      </c>
      <c r="C1232" t="s">
        <v>37</v>
      </c>
      <c r="D1232" s="1">
        <v>27776</v>
      </c>
      <c r="E1232" s="1">
        <v>233277</v>
      </c>
      <c r="F1232" s="2">
        <v>87311</v>
      </c>
    </row>
    <row r="1233" spans="1:6" x14ac:dyDescent="0.3">
      <c r="A1233">
        <v>2018</v>
      </c>
      <c r="B1233" t="s">
        <v>59</v>
      </c>
      <c r="C1233" t="s">
        <v>38</v>
      </c>
      <c r="D1233" s="1">
        <v>2995</v>
      </c>
      <c r="E1233" s="1">
        <v>23145</v>
      </c>
      <c r="F1233" s="2">
        <v>63251</v>
      </c>
    </row>
    <row r="1234" spans="1:6" x14ac:dyDescent="0.3">
      <c r="A1234">
        <v>2018</v>
      </c>
      <c r="B1234" t="s">
        <v>59</v>
      </c>
      <c r="C1234" t="s">
        <v>39</v>
      </c>
      <c r="D1234" s="1">
        <v>28783</v>
      </c>
      <c r="E1234" s="1">
        <v>293549</v>
      </c>
      <c r="F1234" s="2">
        <v>72736</v>
      </c>
    </row>
    <row r="1235" spans="1:6" x14ac:dyDescent="0.3">
      <c r="A1235">
        <v>2018</v>
      </c>
      <c r="B1235" t="s">
        <v>59</v>
      </c>
      <c r="C1235" t="s">
        <v>40</v>
      </c>
      <c r="D1235" s="1">
        <v>11458</v>
      </c>
      <c r="E1235" s="1">
        <v>77052</v>
      </c>
      <c r="F1235" s="2">
        <v>58044</v>
      </c>
    </row>
    <row r="1236" spans="1:6" x14ac:dyDescent="0.3">
      <c r="A1236">
        <v>2018</v>
      </c>
      <c r="B1236" t="s">
        <v>59</v>
      </c>
      <c r="C1236" t="s">
        <v>41</v>
      </c>
      <c r="D1236" s="1">
        <v>13030</v>
      </c>
      <c r="E1236" s="1">
        <v>84865</v>
      </c>
      <c r="F1236" s="2">
        <v>69649</v>
      </c>
    </row>
    <row r="1237" spans="1:6" x14ac:dyDescent="0.3">
      <c r="A1237">
        <v>2018</v>
      </c>
      <c r="B1237" t="s">
        <v>59</v>
      </c>
      <c r="C1237" t="s">
        <v>42</v>
      </c>
      <c r="D1237" s="1">
        <v>28823</v>
      </c>
      <c r="E1237" s="1">
        <v>325130</v>
      </c>
      <c r="F1237" s="2">
        <v>88831</v>
      </c>
    </row>
    <row r="1238" spans="1:6" x14ac:dyDescent="0.3">
      <c r="A1238">
        <v>2018</v>
      </c>
      <c r="B1238" t="s">
        <v>59</v>
      </c>
      <c r="C1238" t="s">
        <v>43</v>
      </c>
      <c r="D1238" s="1">
        <v>2869</v>
      </c>
      <c r="E1238" s="1">
        <v>32305</v>
      </c>
      <c r="F1238" s="2">
        <v>88061</v>
      </c>
    </row>
    <row r="1239" spans="1:6" x14ac:dyDescent="0.3">
      <c r="A1239">
        <v>2018</v>
      </c>
      <c r="B1239" t="s">
        <v>59</v>
      </c>
      <c r="C1239" t="s">
        <v>44</v>
      </c>
      <c r="D1239" s="1">
        <v>13166</v>
      </c>
      <c r="E1239" s="1">
        <v>100794</v>
      </c>
      <c r="F1239" s="2">
        <v>61713</v>
      </c>
    </row>
    <row r="1240" spans="1:6" x14ac:dyDescent="0.3">
      <c r="A1240">
        <v>2018</v>
      </c>
      <c r="B1240" t="s">
        <v>59</v>
      </c>
      <c r="C1240" t="s">
        <v>45</v>
      </c>
      <c r="D1240" s="1">
        <v>3259</v>
      </c>
      <c r="E1240" s="1">
        <v>28739</v>
      </c>
      <c r="F1240" s="2">
        <v>60160</v>
      </c>
    </row>
    <row r="1241" spans="1:6" x14ac:dyDescent="0.3">
      <c r="A1241">
        <v>2018</v>
      </c>
      <c r="B1241" t="s">
        <v>59</v>
      </c>
      <c r="C1241" t="s">
        <v>46</v>
      </c>
      <c r="D1241" s="1">
        <v>15698</v>
      </c>
      <c r="E1241" s="1">
        <v>150833</v>
      </c>
      <c r="F1241" s="2">
        <v>76718</v>
      </c>
    </row>
    <row r="1242" spans="1:6" x14ac:dyDescent="0.3">
      <c r="A1242">
        <v>2018</v>
      </c>
      <c r="B1242" t="s">
        <v>59</v>
      </c>
      <c r="C1242" t="s">
        <v>47</v>
      </c>
      <c r="D1242" s="1">
        <v>73679</v>
      </c>
      <c r="E1242" s="1">
        <v>756318</v>
      </c>
      <c r="F1242" s="2">
        <v>83356</v>
      </c>
    </row>
    <row r="1243" spans="1:6" x14ac:dyDescent="0.3">
      <c r="A1243">
        <v>2018</v>
      </c>
      <c r="B1243" t="s">
        <v>59</v>
      </c>
      <c r="C1243" t="s">
        <v>48</v>
      </c>
      <c r="D1243" s="1">
        <v>11520</v>
      </c>
      <c r="E1243" s="1">
        <v>87530</v>
      </c>
      <c r="F1243" s="2">
        <v>67933</v>
      </c>
    </row>
    <row r="1244" spans="1:6" x14ac:dyDescent="0.3">
      <c r="A1244">
        <v>2018</v>
      </c>
      <c r="B1244" t="s">
        <v>59</v>
      </c>
      <c r="C1244" t="s">
        <v>49</v>
      </c>
      <c r="D1244" s="1">
        <v>1694</v>
      </c>
      <c r="E1244" s="1">
        <v>11814</v>
      </c>
      <c r="F1244" s="2">
        <v>72078</v>
      </c>
    </row>
    <row r="1245" spans="1:6" x14ac:dyDescent="0.3">
      <c r="A1245">
        <v>2018</v>
      </c>
      <c r="B1245" t="s">
        <v>59</v>
      </c>
      <c r="C1245" t="s">
        <v>50</v>
      </c>
      <c r="D1245" s="1">
        <v>21938</v>
      </c>
      <c r="E1245" s="1">
        <v>194731</v>
      </c>
      <c r="F1245" s="2">
        <v>85723</v>
      </c>
    </row>
    <row r="1246" spans="1:6" x14ac:dyDescent="0.3">
      <c r="A1246">
        <v>2018</v>
      </c>
      <c r="B1246" t="s">
        <v>59</v>
      </c>
      <c r="C1246" t="s">
        <v>51</v>
      </c>
      <c r="D1246" s="1">
        <v>17577</v>
      </c>
      <c r="E1246" s="1">
        <v>147871</v>
      </c>
      <c r="F1246" s="2">
        <v>80466</v>
      </c>
    </row>
    <row r="1247" spans="1:6" x14ac:dyDescent="0.3">
      <c r="A1247">
        <v>2018</v>
      </c>
      <c r="B1247" t="s">
        <v>59</v>
      </c>
      <c r="C1247" t="s">
        <v>52</v>
      </c>
      <c r="D1247" s="1">
        <v>4029</v>
      </c>
      <c r="E1247" s="1">
        <v>24510</v>
      </c>
      <c r="F1247" s="2">
        <v>53206</v>
      </c>
    </row>
    <row r="1248" spans="1:6" x14ac:dyDescent="0.3">
      <c r="A1248">
        <v>2018</v>
      </c>
      <c r="B1248" t="s">
        <v>59</v>
      </c>
      <c r="C1248" t="s">
        <v>53</v>
      </c>
      <c r="D1248" s="1">
        <v>13917</v>
      </c>
      <c r="E1248" s="1">
        <v>148837</v>
      </c>
      <c r="F1248" s="2">
        <v>71561</v>
      </c>
    </row>
    <row r="1249" spans="1:6" x14ac:dyDescent="0.3">
      <c r="A1249">
        <v>2018</v>
      </c>
      <c r="B1249" t="s">
        <v>59</v>
      </c>
      <c r="C1249" t="s">
        <v>54</v>
      </c>
      <c r="D1249" s="1">
        <v>2283</v>
      </c>
      <c r="E1249" s="1">
        <v>11124</v>
      </c>
      <c r="F1249" s="2">
        <v>57486</v>
      </c>
    </row>
    <row r="1250" spans="1:6" x14ac:dyDescent="0.3">
      <c r="A1250">
        <v>2018</v>
      </c>
      <c r="B1250" t="s">
        <v>60</v>
      </c>
      <c r="C1250" t="s">
        <v>7</v>
      </c>
      <c r="D1250" s="1">
        <v>21888</v>
      </c>
      <c r="E1250" s="1">
        <v>245234</v>
      </c>
      <c r="F1250" s="2">
        <v>55653</v>
      </c>
    </row>
    <row r="1251" spans="1:6" x14ac:dyDescent="0.3">
      <c r="A1251">
        <v>2018</v>
      </c>
      <c r="B1251" t="s">
        <v>60</v>
      </c>
      <c r="C1251" t="s">
        <v>8</v>
      </c>
      <c r="D1251" s="1">
        <v>35993</v>
      </c>
      <c r="E1251" s="1">
        <v>430516</v>
      </c>
      <c r="F1251" s="2">
        <v>56745</v>
      </c>
    </row>
    <row r="1252" spans="1:6" x14ac:dyDescent="0.3">
      <c r="A1252">
        <v>2018</v>
      </c>
      <c r="B1252" t="s">
        <v>60</v>
      </c>
      <c r="C1252" t="s">
        <v>9</v>
      </c>
      <c r="D1252" s="1">
        <v>14308</v>
      </c>
      <c r="E1252" s="1">
        <v>146700</v>
      </c>
      <c r="F1252" s="2">
        <v>60316</v>
      </c>
    </row>
    <row r="1253" spans="1:6" x14ac:dyDescent="0.3">
      <c r="A1253">
        <v>2018</v>
      </c>
      <c r="B1253" t="s">
        <v>60</v>
      </c>
      <c r="C1253" t="s">
        <v>10</v>
      </c>
      <c r="D1253" s="1">
        <v>208425</v>
      </c>
      <c r="E1253" s="1">
        <v>2667839</v>
      </c>
      <c r="F1253" s="2">
        <v>91070</v>
      </c>
    </row>
    <row r="1254" spans="1:6" x14ac:dyDescent="0.3">
      <c r="A1254">
        <v>2018</v>
      </c>
      <c r="B1254" t="s">
        <v>60</v>
      </c>
      <c r="C1254" t="s">
        <v>11</v>
      </c>
      <c r="D1254" s="1">
        <v>52525</v>
      </c>
      <c r="E1254" s="1">
        <v>423946</v>
      </c>
      <c r="F1254" s="2">
        <v>81401</v>
      </c>
    </row>
    <row r="1255" spans="1:6" x14ac:dyDescent="0.3">
      <c r="A1255">
        <v>2018</v>
      </c>
      <c r="B1255" t="s">
        <v>60</v>
      </c>
      <c r="C1255" t="s">
        <v>12</v>
      </c>
      <c r="D1255" s="1">
        <v>23279</v>
      </c>
      <c r="E1255" s="1">
        <v>221029</v>
      </c>
      <c r="F1255" s="2">
        <v>87958</v>
      </c>
    </row>
    <row r="1256" spans="1:6" x14ac:dyDescent="0.3">
      <c r="A1256">
        <v>2018</v>
      </c>
      <c r="B1256" t="s">
        <v>60</v>
      </c>
      <c r="C1256" t="s">
        <v>13</v>
      </c>
      <c r="D1256" s="1">
        <v>8956</v>
      </c>
      <c r="E1256" s="1">
        <v>63405</v>
      </c>
      <c r="F1256" s="2">
        <v>80066</v>
      </c>
    </row>
    <row r="1257" spans="1:6" x14ac:dyDescent="0.3">
      <c r="A1257">
        <v>2018</v>
      </c>
      <c r="B1257" t="s">
        <v>60</v>
      </c>
      <c r="C1257" t="s">
        <v>14</v>
      </c>
      <c r="D1257" s="1">
        <v>161890</v>
      </c>
      <c r="E1257" s="1">
        <v>1365136</v>
      </c>
      <c r="F1257" s="2">
        <v>60914</v>
      </c>
    </row>
    <row r="1258" spans="1:6" x14ac:dyDescent="0.3">
      <c r="A1258">
        <v>2018</v>
      </c>
      <c r="B1258" t="s">
        <v>60</v>
      </c>
      <c r="C1258" t="s">
        <v>15</v>
      </c>
      <c r="D1258" s="1">
        <v>54714</v>
      </c>
      <c r="E1258" s="1">
        <v>687321</v>
      </c>
      <c r="F1258" s="2">
        <v>66989</v>
      </c>
    </row>
    <row r="1259" spans="1:6" x14ac:dyDescent="0.3">
      <c r="A1259">
        <v>2018</v>
      </c>
      <c r="B1259" t="s">
        <v>60</v>
      </c>
      <c r="C1259" t="s">
        <v>16</v>
      </c>
      <c r="D1259" s="1">
        <v>11562</v>
      </c>
      <c r="E1259" s="1">
        <v>91631</v>
      </c>
      <c r="F1259" s="2">
        <v>51695</v>
      </c>
    </row>
    <row r="1260" spans="1:6" x14ac:dyDescent="0.3">
      <c r="A1260">
        <v>2018</v>
      </c>
      <c r="B1260" t="s">
        <v>60</v>
      </c>
      <c r="C1260" t="s">
        <v>17</v>
      </c>
      <c r="D1260" s="1">
        <v>74587</v>
      </c>
      <c r="E1260" s="1">
        <v>948766</v>
      </c>
      <c r="F1260" s="2">
        <v>76586</v>
      </c>
    </row>
    <row r="1261" spans="1:6" x14ac:dyDescent="0.3">
      <c r="A1261">
        <v>2018</v>
      </c>
      <c r="B1261" t="s">
        <v>60</v>
      </c>
      <c r="C1261" t="s">
        <v>18</v>
      </c>
      <c r="D1261" s="1">
        <v>29755</v>
      </c>
      <c r="E1261" s="1">
        <v>342835</v>
      </c>
      <c r="F1261" s="2">
        <v>52468</v>
      </c>
    </row>
    <row r="1262" spans="1:6" x14ac:dyDescent="0.3">
      <c r="A1262">
        <v>2018</v>
      </c>
      <c r="B1262" t="s">
        <v>60</v>
      </c>
      <c r="C1262" t="s">
        <v>19</v>
      </c>
      <c r="D1262" s="1">
        <v>15839</v>
      </c>
      <c r="E1262" s="1">
        <v>140535</v>
      </c>
      <c r="F1262" s="2">
        <v>54071</v>
      </c>
    </row>
    <row r="1263" spans="1:6" x14ac:dyDescent="0.3">
      <c r="A1263">
        <v>2018</v>
      </c>
      <c r="B1263" t="s">
        <v>60</v>
      </c>
      <c r="C1263" t="s">
        <v>20</v>
      </c>
      <c r="D1263" s="1">
        <v>16731</v>
      </c>
      <c r="E1263" s="1">
        <v>179413</v>
      </c>
      <c r="F1263" s="2">
        <v>61288</v>
      </c>
    </row>
    <row r="1264" spans="1:6" x14ac:dyDescent="0.3">
      <c r="A1264">
        <v>2018</v>
      </c>
      <c r="B1264" t="s">
        <v>60</v>
      </c>
      <c r="C1264" t="s">
        <v>21</v>
      </c>
      <c r="D1264" s="1">
        <v>20542</v>
      </c>
      <c r="E1264" s="1">
        <v>217081</v>
      </c>
      <c r="F1264" s="2">
        <v>50087</v>
      </c>
    </row>
    <row r="1265" spans="1:6" x14ac:dyDescent="0.3">
      <c r="A1265">
        <v>2018</v>
      </c>
      <c r="B1265" t="s">
        <v>60</v>
      </c>
      <c r="C1265" t="s">
        <v>22</v>
      </c>
      <c r="D1265" s="1">
        <v>24537</v>
      </c>
      <c r="E1265" s="1">
        <v>213171</v>
      </c>
      <c r="F1265" s="2">
        <v>56446</v>
      </c>
    </row>
    <row r="1266" spans="1:6" x14ac:dyDescent="0.3">
      <c r="A1266">
        <v>2018</v>
      </c>
      <c r="B1266" t="s">
        <v>60</v>
      </c>
      <c r="C1266" t="s">
        <v>23</v>
      </c>
      <c r="D1266" s="1">
        <v>9940</v>
      </c>
      <c r="E1266" s="1">
        <v>69285</v>
      </c>
      <c r="F1266" s="2">
        <v>57328</v>
      </c>
    </row>
    <row r="1267" spans="1:6" x14ac:dyDescent="0.3">
      <c r="A1267">
        <v>2018</v>
      </c>
      <c r="B1267" t="s">
        <v>60</v>
      </c>
      <c r="C1267" t="s">
        <v>24</v>
      </c>
      <c r="D1267" s="1">
        <v>42809</v>
      </c>
      <c r="E1267" s="1">
        <v>452753</v>
      </c>
      <c r="F1267" s="2">
        <v>79500</v>
      </c>
    </row>
    <row r="1268" spans="1:6" x14ac:dyDescent="0.3">
      <c r="A1268">
        <v>2018</v>
      </c>
      <c r="B1268" t="s">
        <v>60</v>
      </c>
      <c r="C1268" t="s">
        <v>25</v>
      </c>
      <c r="D1268" s="1">
        <v>47416</v>
      </c>
      <c r="E1268" s="1">
        <v>587518</v>
      </c>
      <c r="F1268" s="2">
        <v>107875</v>
      </c>
    </row>
    <row r="1269" spans="1:6" x14ac:dyDescent="0.3">
      <c r="A1269">
        <v>2018</v>
      </c>
      <c r="B1269" t="s">
        <v>60</v>
      </c>
      <c r="C1269" t="s">
        <v>26</v>
      </c>
      <c r="D1269" s="1">
        <v>42545</v>
      </c>
      <c r="E1269" s="1">
        <v>657930</v>
      </c>
      <c r="F1269" s="2">
        <v>69377</v>
      </c>
    </row>
    <row r="1270" spans="1:6" x14ac:dyDescent="0.3">
      <c r="A1270">
        <v>2018</v>
      </c>
      <c r="B1270" t="s">
        <v>60</v>
      </c>
      <c r="C1270" t="s">
        <v>27</v>
      </c>
      <c r="D1270" s="1">
        <v>32020</v>
      </c>
      <c r="E1270" s="1">
        <v>378493</v>
      </c>
      <c r="F1270" s="2">
        <v>82535</v>
      </c>
    </row>
    <row r="1271" spans="1:6" x14ac:dyDescent="0.3">
      <c r="A1271">
        <v>2018</v>
      </c>
      <c r="B1271" t="s">
        <v>60</v>
      </c>
      <c r="C1271" t="s">
        <v>28</v>
      </c>
      <c r="D1271" s="1">
        <v>12259</v>
      </c>
      <c r="E1271" s="1">
        <v>109842</v>
      </c>
      <c r="F1271" s="2">
        <v>42132</v>
      </c>
    </row>
    <row r="1272" spans="1:6" x14ac:dyDescent="0.3">
      <c r="A1272">
        <v>2018</v>
      </c>
      <c r="B1272" t="s">
        <v>60</v>
      </c>
      <c r="C1272" t="s">
        <v>29</v>
      </c>
      <c r="D1272" s="1">
        <v>32577</v>
      </c>
      <c r="E1272" s="1">
        <v>385727</v>
      </c>
      <c r="F1272" s="2">
        <v>66429</v>
      </c>
    </row>
    <row r="1273" spans="1:6" x14ac:dyDescent="0.3">
      <c r="A1273">
        <v>2018</v>
      </c>
      <c r="B1273" t="s">
        <v>60</v>
      </c>
      <c r="C1273" t="s">
        <v>30</v>
      </c>
      <c r="D1273" s="1">
        <v>9359</v>
      </c>
      <c r="E1273" s="1">
        <v>42410</v>
      </c>
      <c r="F1273" s="2">
        <v>52271</v>
      </c>
    </row>
    <row r="1274" spans="1:6" x14ac:dyDescent="0.3">
      <c r="A1274">
        <v>2018</v>
      </c>
      <c r="B1274" t="s">
        <v>60</v>
      </c>
      <c r="C1274" t="s">
        <v>31</v>
      </c>
      <c r="D1274" s="1">
        <v>11582</v>
      </c>
      <c r="E1274" s="1">
        <v>119167</v>
      </c>
      <c r="F1274" s="2">
        <v>58836</v>
      </c>
    </row>
    <row r="1275" spans="1:6" x14ac:dyDescent="0.3">
      <c r="A1275">
        <v>2018</v>
      </c>
      <c r="B1275" t="s">
        <v>60</v>
      </c>
      <c r="C1275" t="s">
        <v>32</v>
      </c>
      <c r="D1275" s="1">
        <v>19970</v>
      </c>
      <c r="E1275" s="1">
        <v>190736</v>
      </c>
      <c r="F1275" s="2">
        <v>61821</v>
      </c>
    </row>
    <row r="1276" spans="1:6" x14ac:dyDescent="0.3">
      <c r="A1276">
        <v>2018</v>
      </c>
      <c r="B1276" t="s">
        <v>60</v>
      </c>
      <c r="C1276" t="s">
        <v>33</v>
      </c>
      <c r="D1276" s="1">
        <v>12323</v>
      </c>
      <c r="E1276" s="1">
        <v>82831</v>
      </c>
      <c r="F1276" s="2">
        <v>77486</v>
      </c>
    </row>
    <row r="1277" spans="1:6" x14ac:dyDescent="0.3">
      <c r="A1277">
        <v>2018</v>
      </c>
      <c r="B1277" t="s">
        <v>60</v>
      </c>
      <c r="C1277" t="s">
        <v>34</v>
      </c>
      <c r="D1277" s="1">
        <v>51837</v>
      </c>
      <c r="E1277" s="1">
        <v>671419</v>
      </c>
      <c r="F1277" s="2">
        <v>90784</v>
      </c>
    </row>
    <row r="1278" spans="1:6" x14ac:dyDescent="0.3">
      <c r="A1278">
        <v>2018</v>
      </c>
      <c r="B1278" t="s">
        <v>60</v>
      </c>
      <c r="C1278" t="s">
        <v>35</v>
      </c>
      <c r="D1278" s="1">
        <v>10669</v>
      </c>
      <c r="E1278" s="1">
        <v>106930</v>
      </c>
      <c r="F1278" s="2">
        <v>61899</v>
      </c>
    </row>
    <row r="1279" spans="1:6" x14ac:dyDescent="0.3">
      <c r="A1279">
        <v>2018</v>
      </c>
      <c r="B1279" t="s">
        <v>60</v>
      </c>
      <c r="C1279" t="s">
        <v>36</v>
      </c>
      <c r="D1279" s="1">
        <v>112471</v>
      </c>
      <c r="E1279" s="1">
        <v>1339421</v>
      </c>
      <c r="F1279" s="2">
        <v>95057</v>
      </c>
    </row>
    <row r="1280" spans="1:6" x14ac:dyDescent="0.3">
      <c r="A1280">
        <v>2018</v>
      </c>
      <c r="B1280" t="s">
        <v>60</v>
      </c>
      <c r="C1280" t="s">
        <v>37</v>
      </c>
      <c r="D1280" s="1">
        <v>58892</v>
      </c>
      <c r="E1280" s="1">
        <v>635554</v>
      </c>
      <c r="F1280" s="2">
        <v>65609</v>
      </c>
    </row>
    <row r="1281" spans="1:6" x14ac:dyDescent="0.3">
      <c r="A1281">
        <v>2018</v>
      </c>
      <c r="B1281" t="s">
        <v>60</v>
      </c>
      <c r="C1281" t="s">
        <v>38</v>
      </c>
      <c r="D1281" s="1">
        <v>5130</v>
      </c>
      <c r="E1281" s="1">
        <v>34560</v>
      </c>
      <c r="F1281" s="2">
        <v>61774</v>
      </c>
    </row>
    <row r="1282" spans="1:6" x14ac:dyDescent="0.3">
      <c r="A1282">
        <v>2018</v>
      </c>
      <c r="B1282" t="s">
        <v>60</v>
      </c>
      <c r="C1282" t="s">
        <v>39</v>
      </c>
      <c r="D1282" s="1">
        <v>53280</v>
      </c>
      <c r="E1282" s="1">
        <v>729430</v>
      </c>
      <c r="F1282" s="2">
        <v>64006</v>
      </c>
    </row>
    <row r="1283" spans="1:6" x14ac:dyDescent="0.3">
      <c r="A1283">
        <v>2018</v>
      </c>
      <c r="B1283" t="s">
        <v>60</v>
      </c>
      <c r="C1283" t="s">
        <v>40</v>
      </c>
      <c r="D1283" s="1">
        <v>20594</v>
      </c>
      <c r="E1283" s="1">
        <v>191261</v>
      </c>
      <c r="F1283" s="2">
        <v>52227</v>
      </c>
    </row>
    <row r="1284" spans="1:6" x14ac:dyDescent="0.3">
      <c r="A1284">
        <v>2018</v>
      </c>
      <c r="B1284" t="s">
        <v>60</v>
      </c>
      <c r="C1284" t="s">
        <v>41</v>
      </c>
      <c r="D1284" s="1">
        <v>25462</v>
      </c>
      <c r="E1284" s="1">
        <v>248627</v>
      </c>
      <c r="F1284" s="2">
        <v>69806</v>
      </c>
    </row>
    <row r="1285" spans="1:6" x14ac:dyDescent="0.3">
      <c r="A1285">
        <v>2018</v>
      </c>
      <c r="B1285" t="s">
        <v>60</v>
      </c>
      <c r="C1285" t="s">
        <v>42</v>
      </c>
      <c r="D1285" s="1">
        <v>63415</v>
      </c>
      <c r="E1285" s="1">
        <v>806555</v>
      </c>
      <c r="F1285" s="2">
        <v>78092</v>
      </c>
    </row>
    <row r="1286" spans="1:6" x14ac:dyDescent="0.3">
      <c r="A1286">
        <v>2018</v>
      </c>
      <c r="B1286" t="s">
        <v>60</v>
      </c>
      <c r="C1286" t="s">
        <v>43</v>
      </c>
      <c r="D1286" s="1">
        <v>8651</v>
      </c>
      <c r="E1286" s="1">
        <v>68430</v>
      </c>
      <c r="F1286" s="2">
        <v>68957</v>
      </c>
    </row>
    <row r="1287" spans="1:6" x14ac:dyDescent="0.3">
      <c r="A1287">
        <v>2018</v>
      </c>
      <c r="B1287" t="s">
        <v>60</v>
      </c>
      <c r="C1287" t="s">
        <v>44</v>
      </c>
      <c r="D1287" s="1">
        <v>26993</v>
      </c>
      <c r="E1287" s="1">
        <v>293499</v>
      </c>
      <c r="F1287" s="2">
        <v>50391</v>
      </c>
    </row>
    <row r="1288" spans="1:6" x14ac:dyDescent="0.3">
      <c r="A1288">
        <v>2018</v>
      </c>
      <c r="B1288" t="s">
        <v>60</v>
      </c>
      <c r="C1288" t="s">
        <v>45</v>
      </c>
      <c r="D1288" s="1">
        <v>5205</v>
      </c>
      <c r="E1288" s="1">
        <v>32354</v>
      </c>
      <c r="F1288" s="2">
        <v>56384</v>
      </c>
    </row>
    <row r="1289" spans="1:6" x14ac:dyDescent="0.3">
      <c r="A1289">
        <v>2018</v>
      </c>
      <c r="B1289" t="s">
        <v>60</v>
      </c>
      <c r="C1289" t="s">
        <v>46</v>
      </c>
      <c r="D1289" s="1">
        <v>29519</v>
      </c>
      <c r="E1289" s="1">
        <v>417345</v>
      </c>
      <c r="F1289" s="2">
        <v>59851</v>
      </c>
    </row>
    <row r="1290" spans="1:6" x14ac:dyDescent="0.3">
      <c r="A1290">
        <v>2018</v>
      </c>
      <c r="B1290" t="s">
        <v>60</v>
      </c>
      <c r="C1290" t="s">
        <v>47</v>
      </c>
      <c r="D1290" s="1">
        <v>134025</v>
      </c>
      <c r="E1290" s="1">
        <v>1736415</v>
      </c>
      <c r="F1290" s="2">
        <v>74443</v>
      </c>
    </row>
    <row r="1291" spans="1:6" x14ac:dyDescent="0.3">
      <c r="A1291">
        <v>2018</v>
      </c>
      <c r="B1291" t="s">
        <v>60</v>
      </c>
      <c r="C1291" t="s">
        <v>48</v>
      </c>
      <c r="D1291" s="1">
        <v>23036</v>
      </c>
      <c r="E1291" s="1">
        <v>215564</v>
      </c>
      <c r="F1291" s="2">
        <v>59543</v>
      </c>
    </row>
    <row r="1292" spans="1:6" x14ac:dyDescent="0.3">
      <c r="A1292">
        <v>2018</v>
      </c>
      <c r="B1292" t="s">
        <v>60</v>
      </c>
      <c r="C1292" t="s">
        <v>49</v>
      </c>
      <c r="D1292" s="1">
        <v>5661</v>
      </c>
      <c r="E1292" s="1">
        <v>28976</v>
      </c>
      <c r="F1292" s="2">
        <v>64917</v>
      </c>
    </row>
    <row r="1293" spans="1:6" x14ac:dyDescent="0.3">
      <c r="A1293">
        <v>2018</v>
      </c>
      <c r="B1293" t="s">
        <v>60</v>
      </c>
      <c r="C1293" t="s">
        <v>50</v>
      </c>
      <c r="D1293" s="1">
        <v>58849</v>
      </c>
      <c r="E1293" s="1">
        <v>746452</v>
      </c>
      <c r="F1293" s="2">
        <v>87511</v>
      </c>
    </row>
    <row r="1294" spans="1:6" x14ac:dyDescent="0.3">
      <c r="A1294">
        <v>2018</v>
      </c>
      <c r="B1294" t="s">
        <v>60</v>
      </c>
      <c r="C1294" t="s">
        <v>51</v>
      </c>
      <c r="D1294" s="1">
        <v>40209</v>
      </c>
      <c r="E1294" s="1">
        <v>414712</v>
      </c>
      <c r="F1294" s="2">
        <v>82245</v>
      </c>
    </row>
    <row r="1295" spans="1:6" x14ac:dyDescent="0.3">
      <c r="A1295">
        <v>2018</v>
      </c>
      <c r="B1295" t="s">
        <v>60</v>
      </c>
      <c r="C1295" t="s">
        <v>52</v>
      </c>
      <c r="D1295" s="1">
        <v>8323</v>
      </c>
      <c r="E1295" s="1">
        <v>68965</v>
      </c>
      <c r="F1295" s="2">
        <v>51745</v>
      </c>
    </row>
    <row r="1296" spans="1:6" x14ac:dyDescent="0.3">
      <c r="A1296">
        <v>2018</v>
      </c>
      <c r="B1296" t="s">
        <v>60</v>
      </c>
      <c r="C1296" t="s">
        <v>53</v>
      </c>
      <c r="D1296" s="1">
        <v>25856</v>
      </c>
      <c r="E1296" s="1">
        <v>327719</v>
      </c>
      <c r="F1296" s="2">
        <v>60773</v>
      </c>
    </row>
    <row r="1297" spans="1:6" x14ac:dyDescent="0.3">
      <c r="A1297">
        <v>2018</v>
      </c>
      <c r="B1297" t="s">
        <v>60</v>
      </c>
      <c r="C1297" t="s">
        <v>54</v>
      </c>
      <c r="D1297" s="1">
        <v>4559</v>
      </c>
      <c r="E1297" s="1">
        <v>18733</v>
      </c>
      <c r="F1297" s="2">
        <v>52783</v>
      </c>
    </row>
    <row r="1298" spans="1:6" x14ac:dyDescent="0.3">
      <c r="A1298">
        <v>2018</v>
      </c>
      <c r="B1298" t="s">
        <v>61</v>
      </c>
      <c r="C1298" t="s">
        <v>7</v>
      </c>
      <c r="D1298" s="1">
        <v>12678</v>
      </c>
      <c r="E1298" s="1">
        <v>233306</v>
      </c>
      <c r="F1298" s="2">
        <v>46432</v>
      </c>
    </row>
    <row r="1299" spans="1:6" x14ac:dyDescent="0.3">
      <c r="A1299">
        <v>2018</v>
      </c>
      <c r="B1299" t="s">
        <v>61</v>
      </c>
      <c r="C1299" t="s">
        <v>8</v>
      </c>
      <c r="D1299" s="1">
        <v>18037</v>
      </c>
      <c r="E1299" s="1">
        <v>440616</v>
      </c>
      <c r="F1299" s="2">
        <v>51125</v>
      </c>
    </row>
    <row r="1300" spans="1:6" x14ac:dyDescent="0.3">
      <c r="A1300">
        <v>2018</v>
      </c>
      <c r="B1300" t="s">
        <v>61</v>
      </c>
      <c r="C1300" t="s">
        <v>9</v>
      </c>
      <c r="D1300" s="1">
        <v>15788</v>
      </c>
      <c r="E1300" s="1">
        <v>186119</v>
      </c>
      <c r="F1300" s="2">
        <v>42468</v>
      </c>
    </row>
    <row r="1301" spans="1:6" x14ac:dyDescent="0.3">
      <c r="A1301">
        <v>2018</v>
      </c>
      <c r="B1301" t="s">
        <v>61</v>
      </c>
      <c r="C1301" t="s">
        <v>10</v>
      </c>
      <c r="D1301" s="1">
        <v>618901</v>
      </c>
      <c r="E1301" s="1">
        <v>2649228</v>
      </c>
      <c r="F1301" s="2">
        <v>52187</v>
      </c>
    </row>
    <row r="1302" spans="1:6" x14ac:dyDescent="0.3">
      <c r="A1302">
        <v>2018</v>
      </c>
      <c r="B1302" t="s">
        <v>61</v>
      </c>
      <c r="C1302" t="s">
        <v>11</v>
      </c>
      <c r="D1302" s="1">
        <v>21666</v>
      </c>
      <c r="E1302" s="1">
        <v>335274</v>
      </c>
      <c r="F1302" s="2">
        <v>50156</v>
      </c>
    </row>
    <row r="1303" spans="1:6" x14ac:dyDescent="0.3">
      <c r="A1303">
        <v>2018</v>
      </c>
      <c r="B1303" t="s">
        <v>61</v>
      </c>
      <c r="C1303" t="s">
        <v>12</v>
      </c>
      <c r="D1303" s="1">
        <v>13090</v>
      </c>
      <c r="E1303" s="1">
        <v>326866</v>
      </c>
      <c r="F1303" s="2">
        <v>55369</v>
      </c>
    </row>
    <row r="1304" spans="1:6" x14ac:dyDescent="0.3">
      <c r="A1304">
        <v>2018</v>
      </c>
      <c r="B1304" t="s">
        <v>61</v>
      </c>
      <c r="C1304" t="s">
        <v>13</v>
      </c>
      <c r="D1304" s="1">
        <v>5063</v>
      </c>
      <c r="E1304" s="1">
        <v>75524</v>
      </c>
      <c r="F1304" s="2">
        <v>53795</v>
      </c>
    </row>
    <row r="1305" spans="1:6" x14ac:dyDescent="0.3">
      <c r="A1305">
        <v>2018</v>
      </c>
      <c r="B1305" t="s">
        <v>61</v>
      </c>
      <c r="C1305" t="s">
        <v>14</v>
      </c>
      <c r="D1305" s="1">
        <v>73761</v>
      </c>
      <c r="E1305" s="1">
        <v>1287814</v>
      </c>
      <c r="F1305" s="2">
        <v>50781</v>
      </c>
    </row>
    <row r="1306" spans="1:6" x14ac:dyDescent="0.3">
      <c r="A1306">
        <v>2018</v>
      </c>
      <c r="B1306" t="s">
        <v>61</v>
      </c>
      <c r="C1306" t="s">
        <v>15</v>
      </c>
      <c r="D1306" s="1">
        <v>28952</v>
      </c>
      <c r="E1306" s="1">
        <v>562436</v>
      </c>
      <c r="F1306" s="2">
        <v>52062</v>
      </c>
    </row>
    <row r="1307" spans="1:6" x14ac:dyDescent="0.3">
      <c r="A1307">
        <v>2018</v>
      </c>
      <c r="B1307" t="s">
        <v>61</v>
      </c>
      <c r="C1307" t="s">
        <v>16</v>
      </c>
      <c r="D1307" s="1">
        <v>7824</v>
      </c>
      <c r="E1307" s="1">
        <v>100212</v>
      </c>
      <c r="F1307" s="2">
        <v>42047</v>
      </c>
    </row>
    <row r="1308" spans="1:6" x14ac:dyDescent="0.3">
      <c r="A1308">
        <v>2018</v>
      </c>
      <c r="B1308" t="s">
        <v>61</v>
      </c>
      <c r="C1308" t="s">
        <v>17</v>
      </c>
      <c r="D1308" s="1">
        <v>34720</v>
      </c>
      <c r="E1308" s="1">
        <v>919288</v>
      </c>
      <c r="F1308" s="2">
        <v>50959</v>
      </c>
    </row>
    <row r="1309" spans="1:6" x14ac:dyDescent="0.3">
      <c r="A1309">
        <v>2018</v>
      </c>
      <c r="B1309" t="s">
        <v>61</v>
      </c>
      <c r="C1309" t="s">
        <v>18</v>
      </c>
      <c r="D1309" s="1">
        <v>15692</v>
      </c>
      <c r="E1309" s="1">
        <v>459398</v>
      </c>
      <c r="F1309" s="2">
        <v>47681</v>
      </c>
    </row>
    <row r="1310" spans="1:6" x14ac:dyDescent="0.3">
      <c r="A1310">
        <v>2018</v>
      </c>
      <c r="B1310" t="s">
        <v>61</v>
      </c>
      <c r="C1310" t="s">
        <v>19</v>
      </c>
      <c r="D1310" s="1">
        <v>11589</v>
      </c>
      <c r="E1310" s="1">
        <v>219674</v>
      </c>
      <c r="F1310" s="2">
        <v>43022</v>
      </c>
    </row>
    <row r="1311" spans="1:6" x14ac:dyDescent="0.3">
      <c r="A1311">
        <v>2018</v>
      </c>
      <c r="B1311" t="s">
        <v>61</v>
      </c>
      <c r="C1311" t="s">
        <v>20</v>
      </c>
      <c r="D1311" s="1">
        <v>10277</v>
      </c>
      <c r="E1311" s="1">
        <v>195132</v>
      </c>
      <c r="F1311" s="2">
        <v>42586</v>
      </c>
    </row>
    <row r="1312" spans="1:6" x14ac:dyDescent="0.3">
      <c r="A1312">
        <v>2018</v>
      </c>
      <c r="B1312" t="s">
        <v>61</v>
      </c>
      <c r="C1312" t="s">
        <v>21</v>
      </c>
      <c r="D1312" s="1">
        <v>18161</v>
      </c>
      <c r="E1312" s="1">
        <v>267486</v>
      </c>
      <c r="F1312" s="2">
        <v>48210</v>
      </c>
    </row>
    <row r="1313" spans="1:6" x14ac:dyDescent="0.3">
      <c r="A1313">
        <v>2018</v>
      </c>
      <c r="B1313" t="s">
        <v>61</v>
      </c>
      <c r="C1313" t="s">
        <v>22</v>
      </c>
      <c r="D1313" s="1">
        <v>15480</v>
      </c>
      <c r="E1313" s="1">
        <v>300015</v>
      </c>
      <c r="F1313" s="2">
        <v>43339</v>
      </c>
    </row>
    <row r="1314" spans="1:6" x14ac:dyDescent="0.3">
      <c r="A1314">
        <v>2018</v>
      </c>
      <c r="B1314" t="s">
        <v>61</v>
      </c>
      <c r="C1314" t="s">
        <v>23</v>
      </c>
      <c r="D1314" s="1">
        <v>5483</v>
      </c>
      <c r="E1314" s="1">
        <v>118009</v>
      </c>
      <c r="F1314" s="2">
        <v>47535</v>
      </c>
    </row>
    <row r="1315" spans="1:6" x14ac:dyDescent="0.3">
      <c r="A1315">
        <v>2018</v>
      </c>
      <c r="B1315" t="s">
        <v>61</v>
      </c>
      <c r="C1315" t="s">
        <v>24</v>
      </c>
      <c r="D1315" s="1">
        <v>20856</v>
      </c>
      <c r="E1315" s="1">
        <v>445328</v>
      </c>
      <c r="F1315" s="2">
        <v>54310</v>
      </c>
    </row>
    <row r="1316" spans="1:6" x14ac:dyDescent="0.3">
      <c r="A1316">
        <v>2018</v>
      </c>
      <c r="B1316" t="s">
        <v>61</v>
      </c>
      <c r="C1316" t="s">
        <v>25</v>
      </c>
      <c r="D1316" s="1">
        <v>66364</v>
      </c>
      <c r="E1316" s="1">
        <v>773683</v>
      </c>
      <c r="F1316" s="2">
        <v>58448</v>
      </c>
    </row>
    <row r="1317" spans="1:6" x14ac:dyDescent="0.3">
      <c r="A1317">
        <v>2018</v>
      </c>
      <c r="B1317" t="s">
        <v>61</v>
      </c>
      <c r="C1317" t="s">
        <v>26</v>
      </c>
      <c r="D1317" s="1">
        <v>24822</v>
      </c>
      <c r="E1317" s="1">
        <v>659230</v>
      </c>
      <c r="F1317" s="2">
        <v>49739</v>
      </c>
    </row>
    <row r="1318" spans="1:6" x14ac:dyDescent="0.3">
      <c r="A1318">
        <v>2018</v>
      </c>
      <c r="B1318" t="s">
        <v>61</v>
      </c>
      <c r="C1318" t="s">
        <v>27</v>
      </c>
      <c r="D1318" s="1">
        <v>19210</v>
      </c>
      <c r="E1318" s="1">
        <v>526556</v>
      </c>
      <c r="F1318" s="2">
        <v>51469</v>
      </c>
    </row>
    <row r="1319" spans="1:6" x14ac:dyDescent="0.3">
      <c r="A1319">
        <v>2018</v>
      </c>
      <c r="B1319" t="s">
        <v>61</v>
      </c>
      <c r="C1319" t="s">
        <v>28</v>
      </c>
      <c r="D1319" s="1">
        <v>7531</v>
      </c>
      <c r="E1319" s="1">
        <v>144105</v>
      </c>
      <c r="F1319" s="2">
        <v>41620</v>
      </c>
    </row>
    <row r="1320" spans="1:6" x14ac:dyDescent="0.3">
      <c r="A1320">
        <v>2018</v>
      </c>
      <c r="B1320" t="s">
        <v>61</v>
      </c>
      <c r="C1320" t="s">
        <v>29</v>
      </c>
      <c r="D1320" s="1">
        <v>48555</v>
      </c>
      <c r="E1320" s="1">
        <v>454728</v>
      </c>
      <c r="F1320" s="2">
        <v>46127</v>
      </c>
    </row>
    <row r="1321" spans="1:6" x14ac:dyDescent="0.3">
      <c r="A1321">
        <v>2018</v>
      </c>
      <c r="B1321" t="s">
        <v>61</v>
      </c>
      <c r="C1321" t="s">
        <v>30</v>
      </c>
      <c r="D1321" s="1">
        <v>4637</v>
      </c>
      <c r="E1321" s="1">
        <v>73530</v>
      </c>
      <c r="F1321" s="2">
        <v>47539</v>
      </c>
    </row>
    <row r="1322" spans="1:6" x14ac:dyDescent="0.3">
      <c r="A1322">
        <v>2018</v>
      </c>
      <c r="B1322" t="s">
        <v>61</v>
      </c>
      <c r="C1322" t="s">
        <v>31</v>
      </c>
      <c r="D1322" s="1">
        <v>12205</v>
      </c>
      <c r="E1322" s="1">
        <v>138155</v>
      </c>
      <c r="F1322" s="2">
        <v>46678</v>
      </c>
    </row>
    <row r="1323" spans="1:6" x14ac:dyDescent="0.3">
      <c r="A1323">
        <v>2018</v>
      </c>
      <c r="B1323" t="s">
        <v>61</v>
      </c>
      <c r="C1323" t="s">
        <v>32</v>
      </c>
      <c r="D1323" s="1">
        <v>8913</v>
      </c>
      <c r="E1323" s="1">
        <v>139036</v>
      </c>
      <c r="F1323" s="2">
        <v>54167</v>
      </c>
    </row>
    <row r="1324" spans="1:6" x14ac:dyDescent="0.3">
      <c r="A1324">
        <v>2018</v>
      </c>
      <c r="B1324" t="s">
        <v>61</v>
      </c>
      <c r="C1324" t="s">
        <v>33</v>
      </c>
      <c r="D1324" s="1">
        <v>4700</v>
      </c>
      <c r="E1324" s="1">
        <v>112567</v>
      </c>
      <c r="F1324" s="2">
        <v>56317</v>
      </c>
    </row>
    <row r="1325" spans="1:6" x14ac:dyDescent="0.3">
      <c r="A1325">
        <v>2018</v>
      </c>
      <c r="B1325" t="s">
        <v>61</v>
      </c>
      <c r="C1325" t="s">
        <v>34</v>
      </c>
      <c r="D1325" s="1">
        <v>37328</v>
      </c>
      <c r="E1325" s="1">
        <v>656716</v>
      </c>
      <c r="F1325" s="2">
        <v>53402</v>
      </c>
    </row>
    <row r="1326" spans="1:6" x14ac:dyDescent="0.3">
      <c r="A1326">
        <v>2018</v>
      </c>
      <c r="B1326" t="s">
        <v>61</v>
      </c>
      <c r="C1326" t="s">
        <v>35</v>
      </c>
      <c r="D1326" s="1">
        <v>10221</v>
      </c>
      <c r="E1326" s="1">
        <v>128590</v>
      </c>
      <c r="F1326" s="2">
        <v>41645</v>
      </c>
    </row>
    <row r="1327" spans="1:6" x14ac:dyDescent="0.3">
      <c r="A1327">
        <v>2018</v>
      </c>
      <c r="B1327" t="s">
        <v>61</v>
      </c>
      <c r="C1327" t="s">
        <v>36</v>
      </c>
      <c r="D1327" s="1">
        <v>67399</v>
      </c>
      <c r="E1327" s="1">
        <v>1914153</v>
      </c>
      <c r="F1327" s="2">
        <v>53467</v>
      </c>
    </row>
    <row r="1328" spans="1:6" x14ac:dyDescent="0.3">
      <c r="A1328">
        <v>2018</v>
      </c>
      <c r="B1328" t="s">
        <v>61</v>
      </c>
      <c r="C1328" t="s">
        <v>37</v>
      </c>
      <c r="D1328" s="1">
        <v>27210</v>
      </c>
      <c r="E1328" s="1">
        <v>592067</v>
      </c>
      <c r="F1328" s="2">
        <v>48381</v>
      </c>
    </row>
    <row r="1329" spans="1:6" x14ac:dyDescent="0.3">
      <c r="A1329">
        <v>2018</v>
      </c>
      <c r="B1329" t="s">
        <v>61</v>
      </c>
      <c r="C1329" t="s">
        <v>38</v>
      </c>
      <c r="D1329" s="1">
        <v>2558</v>
      </c>
      <c r="E1329" s="1">
        <v>62184</v>
      </c>
      <c r="F1329" s="2">
        <v>51404</v>
      </c>
    </row>
    <row r="1330" spans="1:6" x14ac:dyDescent="0.3">
      <c r="A1330">
        <v>2018</v>
      </c>
      <c r="B1330" t="s">
        <v>61</v>
      </c>
      <c r="C1330" t="s">
        <v>39</v>
      </c>
      <c r="D1330" s="1">
        <v>34508</v>
      </c>
      <c r="E1330" s="1">
        <v>904140</v>
      </c>
      <c r="F1330" s="2">
        <v>46408</v>
      </c>
    </row>
    <row r="1331" spans="1:6" x14ac:dyDescent="0.3">
      <c r="A1331">
        <v>2018</v>
      </c>
      <c r="B1331" t="s">
        <v>61</v>
      </c>
      <c r="C1331" t="s">
        <v>40</v>
      </c>
      <c r="D1331" s="1">
        <v>13563</v>
      </c>
      <c r="E1331" s="1">
        <v>209863</v>
      </c>
      <c r="F1331" s="2">
        <v>45570</v>
      </c>
    </row>
    <row r="1332" spans="1:6" x14ac:dyDescent="0.3">
      <c r="A1332">
        <v>2018</v>
      </c>
      <c r="B1332" t="s">
        <v>61</v>
      </c>
      <c r="C1332" t="s">
        <v>41</v>
      </c>
      <c r="D1332" s="1">
        <v>15708</v>
      </c>
      <c r="E1332" s="1">
        <v>288939</v>
      </c>
      <c r="F1332" s="2">
        <v>50107</v>
      </c>
    </row>
    <row r="1333" spans="1:6" x14ac:dyDescent="0.3">
      <c r="A1333">
        <v>2018</v>
      </c>
      <c r="B1333" t="s">
        <v>61</v>
      </c>
      <c r="C1333" t="s">
        <v>42</v>
      </c>
      <c r="D1333" s="1">
        <v>57768</v>
      </c>
      <c r="E1333" s="1">
        <v>1209344</v>
      </c>
      <c r="F1333" s="2">
        <v>51808</v>
      </c>
    </row>
    <row r="1334" spans="1:6" x14ac:dyDescent="0.3">
      <c r="A1334">
        <v>2018</v>
      </c>
      <c r="B1334" t="s">
        <v>61</v>
      </c>
      <c r="C1334" t="s">
        <v>43</v>
      </c>
      <c r="D1334" s="1">
        <v>4545</v>
      </c>
      <c r="E1334" s="1">
        <v>100506</v>
      </c>
      <c r="F1334" s="2">
        <v>48716</v>
      </c>
    </row>
    <row r="1335" spans="1:6" x14ac:dyDescent="0.3">
      <c r="A1335">
        <v>2018</v>
      </c>
      <c r="B1335" t="s">
        <v>61</v>
      </c>
      <c r="C1335" t="s">
        <v>44</v>
      </c>
      <c r="D1335" s="1">
        <v>11971</v>
      </c>
      <c r="E1335" s="1">
        <v>234487</v>
      </c>
      <c r="F1335" s="2">
        <v>45993</v>
      </c>
    </row>
    <row r="1336" spans="1:6" x14ac:dyDescent="0.3">
      <c r="A1336">
        <v>2018</v>
      </c>
      <c r="B1336" t="s">
        <v>61</v>
      </c>
      <c r="C1336" t="s">
        <v>45</v>
      </c>
      <c r="D1336" s="1">
        <v>2839</v>
      </c>
      <c r="E1336" s="1">
        <v>67868</v>
      </c>
      <c r="F1336" s="2">
        <v>50399</v>
      </c>
    </row>
    <row r="1337" spans="1:6" x14ac:dyDescent="0.3">
      <c r="A1337">
        <v>2018</v>
      </c>
      <c r="B1337" t="s">
        <v>61</v>
      </c>
      <c r="C1337" t="s">
        <v>46</v>
      </c>
      <c r="D1337" s="1">
        <v>16127</v>
      </c>
      <c r="E1337" s="1">
        <v>420817</v>
      </c>
      <c r="F1337" s="2">
        <v>52099</v>
      </c>
    </row>
    <row r="1338" spans="1:6" x14ac:dyDescent="0.3">
      <c r="A1338">
        <v>2018</v>
      </c>
      <c r="B1338" t="s">
        <v>61</v>
      </c>
      <c r="C1338" t="s">
        <v>47</v>
      </c>
      <c r="D1338" s="1">
        <v>90552</v>
      </c>
      <c r="E1338" s="1">
        <v>1641637</v>
      </c>
      <c r="F1338" s="2">
        <v>48036</v>
      </c>
    </row>
    <row r="1339" spans="1:6" x14ac:dyDescent="0.3">
      <c r="A1339">
        <v>2018</v>
      </c>
      <c r="B1339" t="s">
        <v>61</v>
      </c>
      <c r="C1339" t="s">
        <v>48</v>
      </c>
      <c r="D1339" s="1">
        <v>12264</v>
      </c>
      <c r="E1339" s="1">
        <v>186785</v>
      </c>
      <c r="F1339" s="2">
        <v>43696</v>
      </c>
    </row>
    <row r="1340" spans="1:6" x14ac:dyDescent="0.3">
      <c r="A1340">
        <v>2018</v>
      </c>
      <c r="B1340" t="s">
        <v>61</v>
      </c>
      <c r="C1340" t="s">
        <v>49</v>
      </c>
      <c r="D1340" s="1">
        <v>2463</v>
      </c>
      <c r="E1340" s="1">
        <v>62630</v>
      </c>
      <c r="F1340" s="2">
        <v>46699</v>
      </c>
    </row>
    <row r="1341" spans="1:6" x14ac:dyDescent="0.3">
      <c r="A1341">
        <v>2018</v>
      </c>
      <c r="B1341" t="s">
        <v>61</v>
      </c>
      <c r="C1341" t="s">
        <v>50</v>
      </c>
      <c r="D1341" s="1">
        <v>43566</v>
      </c>
      <c r="E1341" s="1">
        <v>505487</v>
      </c>
      <c r="F1341" s="2">
        <v>49627</v>
      </c>
    </row>
    <row r="1342" spans="1:6" x14ac:dyDescent="0.3">
      <c r="A1342">
        <v>2018</v>
      </c>
      <c r="B1342" t="s">
        <v>61</v>
      </c>
      <c r="C1342" t="s">
        <v>51</v>
      </c>
      <c r="D1342" s="1">
        <v>61026</v>
      </c>
      <c r="E1342" s="1">
        <v>465717</v>
      </c>
      <c r="F1342" s="2">
        <v>51354</v>
      </c>
    </row>
    <row r="1343" spans="1:6" x14ac:dyDescent="0.3">
      <c r="A1343">
        <v>2018</v>
      </c>
      <c r="B1343" t="s">
        <v>61</v>
      </c>
      <c r="C1343" t="s">
        <v>52</v>
      </c>
      <c r="D1343" s="1">
        <v>5765</v>
      </c>
      <c r="E1343" s="1">
        <v>124431</v>
      </c>
      <c r="F1343" s="2">
        <v>46182</v>
      </c>
    </row>
    <row r="1344" spans="1:6" x14ac:dyDescent="0.3">
      <c r="A1344">
        <v>2018</v>
      </c>
      <c r="B1344" t="s">
        <v>61</v>
      </c>
      <c r="C1344" t="s">
        <v>53</v>
      </c>
      <c r="D1344" s="1">
        <v>28013</v>
      </c>
      <c r="E1344" s="1">
        <v>434143</v>
      </c>
      <c r="F1344" s="2">
        <v>49195</v>
      </c>
    </row>
    <row r="1345" spans="1:6" x14ac:dyDescent="0.3">
      <c r="A1345">
        <v>2018</v>
      </c>
      <c r="B1345" t="s">
        <v>61</v>
      </c>
      <c r="C1345" t="s">
        <v>54</v>
      </c>
      <c r="D1345" s="1">
        <v>3338</v>
      </c>
      <c r="E1345" s="1">
        <v>26972</v>
      </c>
      <c r="F1345" s="2">
        <v>42906</v>
      </c>
    </row>
    <row r="1346" spans="1:6" x14ac:dyDescent="0.3">
      <c r="A1346">
        <v>2018</v>
      </c>
      <c r="B1346" t="s">
        <v>62</v>
      </c>
      <c r="C1346" t="s">
        <v>7</v>
      </c>
      <c r="D1346" s="1">
        <v>10993</v>
      </c>
      <c r="E1346" s="1">
        <v>205942</v>
      </c>
      <c r="F1346" s="2">
        <v>16798</v>
      </c>
    </row>
    <row r="1347" spans="1:6" x14ac:dyDescent="0.3">
      <c r="A1347">
        <v>2018</v>
      </c>
      <c r="B1347" t="s">
        <v>62</v>
      </c>
      <c r="C1347" t="s">
        <v>8</v>
      </c>
      <c r="D1347" s="1">
        <v>13627</v>
      </c>
      <c r="E1347" s="1">
        <v>325897</v>
      </c>
      <c r="F1347" s="2">
        <v>24580</v>
      </c>
    </row>
    <row r="1348" spans="1:6" x14ac:dyDescent="0.3">
      <c r="A1348">
        <v>2018</v>
      </c>
      <c r="B1348" t="s">
        <v>62</v>
      </c>
      <c r="C1348" t="s">
        <v>9</v>
      </c>
      <c r="D1348" s="1">
        <v>7168</v>
      </c>
      <c r="E1348" s="1">
        <v>118405</v>
      </c>
      <c r="F1348" s="2">
        <v>16536</v>
      </c>
    </row>
    <row r="1349" spans="1:6" x14ac:dyDescent="0.3">
      <c r="A1349">
        <v>2018</v>
      </c>
      <c r="B1349" t="s">
        <v>62</v>
      </c>
      <c r="C1349" t="s">
        <v>10</v>
      </c>
      <c r="D1349" s="1">
        <v>111455</v>
      </c>
      <c r="E1349" s="1">
        <v>1988750</v>
      </c>
      <c r="F1349" s="2">
        <v>30527</v>
      </c>
    </row>
    <row r="1350" spans="1:6" x14ac:dyDescent="0.3">
      <c r="A1350">
        <v>2018</v>
      </c>
      <c r="B1350" t="s">
        <v>62</v>
      </c>
      <c r="C1350" t="s">
        <v>11</v>
      </c>
      <c r="D1350" s="1">
        <v>16939</v>
      </c>
      <c r="E1350" s="1">
        <v>339407</v>
      </c>
      <c r="F1350" s="2">
        <v>25878</v>
      </c>
    </row>
    <row r="1351" spans="1:6" x14ac:dyDescent="0.3">
      <c r="A1351">
        <v>2018</v>
      </c>
      <c r="B1351" t="s">
        <v>62</v>
      </c>
      <c r="C1351" t="s">
        <v>12</v>
      </c>
      <c r="D1351" s="1">
        <v>10668</v>
      </c>
      <c r="E1351" s="1">
        <v>157709</v>
      </c>
      <c r="F1351" s="2">
        <v>23705</v>
      </c>
    </row>
    <row r="1352" spans="1:6" x14ac:dyDescent="0.3">
      <c r="A1352">
        <v>2018</v>
      </c>
      <c r="B1352" t="s">
        <v>62</v>
      </c>
      <c r="C1352" t="s">
        <v>13</v>
      </c>
      <c r="D1352" s="1">
        <v>2637</v>
      </c>
      <c r="E1352" s="1">
        <v>51696</v>
      </c>
      <c r="F1352" s="2">
        <v>20414</v>
      </c>
    </row>
    <row r="1353" spans="1:6" x14ac:dyDescent="0.3">
      <c r="A1353">
        <v>2018</v>
      </c>
      <c r="B1353" t="s">
        <v>62</v>
      </c>
      <c r="C1353" t="s">
        <v>14</v>
      </c>
      <c r="D1353" s="1">
        <v>56587</v>
      </c>
      <c r="E1353" s="1">
        <v>1226786</v>
      </c>
      <c r="F1353" s="2">
        <v>25881</v>
      </c>
    </row>
    <row r="1354" spans="1:6" x14ac:dyDescent="0.3">
      <c r="A1354">
        <v>2018</v>
      </c>
      <c r="B1354" t="s">
        <v>62</v>
      </c>
      <c r="C1354" t="s">
        <v>15</v>
      </c>
      <c r="D1354" s="1">
        <v>24275</v>
      </c>
      <c r="E1354" s="1">
        <v>487598</v>
      </c>
      <c r="F1354" s="2">
        <v>20604</v>
      </c>
    </row>
    <row r="1355" spans="1:6" x14ac:dyDescent="0.3">
      <c r="A1355">
        <v>2018</v>
      </c>
      <c r="B1355" t="s">
        <v>62</v>
      </c>
      <c r="C1355" t="s">
        <v>16</v>
      </c>
      <c r="D1355" s="1">
        <v>5008</v>
      </c>
      <c r="E1355" s="1">
        <v>78912</v>
      </c>
      <c r="F1355" s="2">
        <v>17141</v>
      </c>
    </row>
    <row r="1356" spans="1:6" x14ac:dyDescent="0.3">
      <c r="A1356">
        <v>2018</v>
      </c>
      <c r="B1356" t="s">
        <v>62</v>
      </c>
      <c r="C1356" t="s">
        <v>17</v>
      </c>
      <c r="D1356" s="1">
        <v>32619</v>
      </c>
      <c r="E1356" s="1">
        <v>617101</v>
      </c>
      <c r="F1356" s="2">
        <v>23765</v>
      </c>
    </row>
    <row r="1357" spans="1:6" x14ac:dyDescent="0.3">
      <c r="A1357">
        <v>2018</v>
      </c>
      <c r="B1357" t="s">
        <v>62</v>
      </c>
      <c r="C1357" t="s">
        <v>18</v>
      </c>
      <c r="D1357" s="1">
        <v>15564</v>
      </c>
      <c r="E1357" s="1">
        <v>310335</v>
      </c>
      <c r="F1357" s="2">
        <v>18981</v>
      </c>
    </row>
    <row r="1358" spans="1:6" x14ac:dyDescent="0.3">
      <c r="A1358">
        <v>2018</v>
      </c>
      <c r="B1358" t="s">
        <v>62</v>
      </c>
      <c r="C1358" t="s">
        <v>19</v>
      </c>
      <c r="D1358" s="1">
        <v>8670</v>
      </c>
      <c r="E1358" s="1">
        <v>143729</v>
      </c>
      <c r="F1358" s="2">
        <v>16799</v>
      </c>
    </row>
    <row r="1359" spans="1:6" x14ac:dyDescent="0.3">
      <c r="A1359">
        <v>2018</v>
      </c>
      <c r="B1359" t="s">
        <v>62</v>
      </c>
      <c r="C1359" t="s">
        <v>20</v>
      </c>
      <c r="D1359" s="1">
        <v>6895</v>
      </c>
      <c r="E1359" s="1">
        <v>129372</v>
      </c>
      <c r="F1359" s="2">
        <v>16764</v>
      </c>
    </row>
    <row r="1360" spans="1:6" x14ac:dyDescent="0.3">
      <c r="A1360">
        <v>2018</v>
      </c>
      <c r="B1360" t="s">
        <v>62</v>
      </c>
      <c r="C1360" t="s">
        <v>21</v>
      </c>
      <c r="D1360" s="1">
        <v>10080</v>
      </c>
      <c r="E1360" s="1">
        <v>197894</v>
      </c>
      <c r="F1360" s="2">
        <v>17719</v>
      </c>
    </row>
    <row r="1361" spans="1:6" x14ac:dyDescent="0.3">
      <c r="A1361">
        <v>2018</v>
      </c>
      <c r="B1361" t="s">
        <v>62</v>
      </c>
      <c r="C1361" t="s">
        <v>22</v>
      </c>
      <c r="D1361" s="1">
        <v>12415</v>
      </c>
      <c r="E1361" s="1">
        <v>236357</v>
      </c>
      <c r="F1361" s="2">
        <v>21264</v>
      </c>
    </row>
    <row r="1362" spans="1:6" x14ac:dyDescent="0.3">
      <c r="A1362">
        <v>2018</v>
      </c>
      <c r="B1362" t="s">
        <v>62</v>
      </c>
      <c r="C1362" t="s">
        <v>23</v>
      </c>
      <c r="D1362" s="1">
        <v>5047</v>
      </c>
      <c r="E1362" s="1">
        <v>68406</v>
      </c>
      <c r="F1362" s="2">
        <v>22087</v>
      </c>
    </row>
    <row r="1363" spans="1:6" x14ac:dyDescent="0.3">
      <c r="A1363">
        <v>2018</v>
      </c>
      <c r="B1363" t="s">
        <v>62</v>
      </c>
      <c r="C1363" t="s">
        <v>24</v>
      </c>
      <c r="D1363" s="1">
        <v>14772</v>
      </c>
      <c r="E1363" s="1">
        <v>282009</v>
      </c>
      <c r="F1363" s="2">
        <v>24012</v>
      </c>
    </row>
    <row r="1364" spans="1:6" x14ac:dyDescent="0.3">
      <c r="A1364">
        <v>2018</v>
      </c>
      <c r="B1364" t="s">
        <v>62</v>
      </c>
      <c r="C1364" t="s">
        <v>25</v>
      </c>
      <c r="D1364" s="1">
        <v>20642</v>
      </c>
      <c r="E1364" s="1">
        <v>375767</v>
      </c>
      <c r="F1364" s="2">
        <v>27758</v>
      </c>
    </row>
    <row r="1365" spans="1:6" x14ac:dyDescent="0.3">
      <c r="A1365">
        <v>2018</v>
      </c>
      <c r="B1365" t="s">
        <v>62</v>
      </c>
      <c r="C1365" t="s">
        <v>26</v>
      </c>
      <c r="D1365" s="1">
        <v>22025</v>
      </c>
      <c r="E1365" s="1">
        <v>432290</v>
      </c>
      <c r="F1365" s="2">
        <v>20566</v>
      </c>
    </row>
    <row r="1366" spans="1:6" x14ac:dyDescent="0.3">
      <c r="A1366">
        <v>2018</v>
      </c>
      <c r="B1366" t="s">
        <v>62</v>
      </c>
      <c r="C1366" t="s">
        <v>27</v>
      </c>
      <c r="D1366" s="1">
        <v>15294</v>
      </c>
      <c r="E1366" s="1">
        <v>272821</v>
      </c>
      <c r="F1366" s="2">
        <v>22507</v>
      </c>
    </row>
    <row r="1367" spans="1:6" x14ac:dyDescent="0.3">
      <c r="A1367">
        <v>2018</v>
      </c>
      <c r="B1367" t="s">
        <v>62</v>
      </c>
      <c r="C1367" t="s">
        <v>28</v>
      </c>
      <c r="D1367" s="1">
        <v>6464</v>
      </c>
      <c r="E1367" s="1">
        <v>134785</v>
      </c>
      <c r="F1367" s="2">
        <v>17523</v>
      </c>
    </row>
    <row r="1368" spans="1:6" x14ac:dyDescent="0.3">
      <c r="A1368">
        <v>2018</v>
      </c>
      <c r="B1368" t="s">
        <v>62</v>
      </c>
      <c r="C1368" t="s">
        <v>29</v>
      </c>
      <c r="D1368" s="1">
        <v>14797</v>
      </c>
      <c r="E1368" s="1">
        <v>305418</v>
      </c>
      <c r="F1368" s="2">
        <v>20892</v>
      </c>
    </row>
    <row r="1369" spans="1:6" x14ac:dyDescent="0.3">
      <c r="A1369">
        <v>2018</v>
      </c>
      <c r="B1369" t="s">
        <v>62</v>
      </c>
      <c r="C1369" t="s">
        <v>30</v>
      </c>
      <c r="D1369" s="1">
        <v>5071</v>
      </c>
      <c r="E1369" s="1">
        <v>66044</v>
      </c>
      <c r="F1369" s="2">
        <v>19150</v>
      </c>
    </row>
    <row r="1370" spans="1:6" x14ac:dyDescent="0.3">
      <c r="A1370">
        <v>2018</v>
      </c>
      <c r="B1370" t="s">
        <v>62</v>
      </c>
      <c r="C1370" t="s">
        <v>31</v>
      </c>
      <c r="D1370" s="1">
        <v>5561</v>
      </c>
      <c r="E1370" s="1">
        <v>92581</v>
      </c>
      <c r="F1370" s="2">
        <v>16715</v>
      </c>
    </row>
    <row r="1371" spans="1:6" x14ac:dyDescent="0.3">
      <c r="A1371">
        <v>2018</v>
      </c>
      <c r="B1371" t="s">
        <v>62</v>
      </c>
      <c r="C1371" t="s">
        <v>32</v>
      </c>
      <c r="D1371" s="1">
        <v>8499</v>
      </c>
      <c r="E1371" s="1">
        <v>352051</v>
      </c>
      <c r="F1371" s="2">
        <v>33688</v>
      </c>
    </row>
    <row r="1372" spans="1:6" x14ac:dyDescent="0.3">
      <c r="A1372">
        <v>2018</v>
      </c>
      <c r="B1372" t="s">
        <v>62</v>
      </c>
      <c r="C1372" t="s">
        <v>33</v>
      </c>
      <c r="D1372" s="1">
        <v>4595</v>
      </c>
      <c r="E1372" s="1">
        <v>71975</v>
      </c>
      <c r="F1372" s="2">
        <v>21945</v>
      </c>
    </row>
    <row r="1373" spans="1:6" x14ac:dyDescent="0.3">
      <c r="A1373">
        <v>2018</v>
      </c>
      <c r="B1373" t="s">
        <v>62</v>
      </c>
      <c r="C1373" t="s">
        <v>34</v>
      </c>
      <c r="D1373" s="1">
        <v>24132</v>
      </c>
      <c r="E1373" s="1">
        <v>385616</v>
      </c>
      <c r="F1373" s="2">
        <v>26316</v>
      </c>
    </row>
    <row r="1374" spans="1:6" x14ac:dyDescent="0.3">
      <c r="A1374">
        <v>2018</v>
      </c>
      <c r="B1374" t="s">
        <v>62</v>
      </c>
      <c r="C1374" t="s">
        <v>35</v>
      </c>
      <c r="D1374" s="1">
        <v>5107</v>
      </c>
      <c r="E1374" s="1">
        <v>97785</v>
      </c>
      <c r="F1374" s="2">
        <v>18651</v>
      </c>
    </row>
    <row r="1375" spans="1:6" x14ac:dyDescent="0.3">
      <c r="A1375">
        <v>2018</v>
      </c>
      <c r="B1375" t="s">
        <v>62</v>
      </c>
      <c r="C1375" t="s">
        <v>36</v>
      </c>
      <c r="D1375" s="1">
        <v>66285</v>
      </c>
      <c r="E1375" s="1">
        <v>957343</v>
      </c>
      <c r="F1375" s="2">
        <v>33850</v>
      </c>
    </row>
    <row r="1376" spans="1:6" x14ac:dyDescent="0.3">
      <c r="A1376">
        <v>2018</v>
      </c>
      <c r="B1376" t="s">
        <v>62</v>
      </c>
      <c r="C1376" t="s">
        <v>37</v>
      </c>
      <c r="D1376" s="1">
        <v>25859</v>
      </c>
      <c r="E1376" s="1">
        <v>502877</v>
      </c>
      <c r="F1376" s="2">
        <v>19767</v>
      </c>
    </row>
    <row r="1377" spans="1:6" x14ac:dyDescent="0.3">
      <c r="A1377">
        <v>2018</v>
      </c>
      <c r="B1377" t="s">
        <v>62</v>
      </c>
      <c r="C1377" t="s">
        <v>38</v>
      </c>
      <c r="D1377" s="1">
        <v>2627</v>
      </c>
      <c r="E1377" s="1">
        <v>40375</v>
      </c>
      <c r="F1377" s="2">
        <v>17889</v>
      </c>
    </row>
    <row r="1378" spans="1:6" x14ac:dyDescent="0.3">
      <c r="A1378">
        <v>2018</v>
      </c>
      <c r="B1378" t="s">
        <v>62</v>
      </c>
      <c r="C1378" t="s">
        <v>39</v>
      </c>
      <c r="D1378" s="1">
        <v>28523</v>
      </c>
      <c r="E1378" s="1">
        <v>566681</v>
      </c>
      <c r="F1378" s="2">
        <v>19459</v>
      </c>
    </row>
    <row r="1379" spans="1:6" x14ac:dyDescent="0.3">
      <c r="A1379">
        <v>2018</v>
      </c>
      <c r="B1379" t="s">
        <v>62</v>
      </c>
      <c r="C1379" t="s">
        <v>40</v>
      </c>
      <c r="D1379" s="1">
        <v>9140</v>
      </c>
      <c r="E1379" s="1">
        <v>171567</v>
      </c>
      <c r="F1379" s="2">
        <v>18204</v>
      </c>
    </row>
    <row r="1380" spans="1:6" x14ac:dyDescent="0.3">
      <c r="A1380">
        <v>2018</v>
      </c>
      <c r="B1380" t="s">
        <v>62</v>
      </c>
      <c r="C1380" t="s">
        <v>41</v>
      </c>
      <c r="D1380" s="1">
        <v>13794</v>
      </c>
      <c r="E1380" s="1">
        <v>210781</v>
      </c>
      <c r="F1380" s="2">
        <v>22754</v>
      </c>
    </row>
    <row r="1381" spans="1:6" x14ac:dyDescent="0.3">
      <c r="A1381">
        <v>2018</v>
      </c>
      <c r="B1381" t="s">
        <v>62</v>
      </c>
      <c r="C1381" t="s">
        <v>42</v>
      </c>
      <c r="D1381" s="1">
        <v>33471</v>
      </c>
      <c r="E1381" s="1">
        <v>571799</v>
      </c>
      <c r="F1381" s="2">
        <v>21102</v>
      </c>
    </row>
    <row r="1382" spans="1:6" x14ac:dyDescent="0.3">
      <c r="A1382">
        <v>2018</v>
      </c>
      <c r="B1382" t="s">
        <v>62</v>
      </c>
      <c r="C1382" t="s">
        <v>43</v>
      </c>
      <c r="D1382" s="1">
        <v>3748</v>
      </c>
      <c r="E1382" s="1">
        <v>59154</v>
      </c>
      <c r="F1382" s="2">
        <v>22818</v>
      </c>
    </row>
    <row r="1383" spans="1:6" x14ac:dyDescent="0.3">
      <c r="A1383">
        <v>2018</v>
      </c>
      <c r="B1383" t="s">
        <v>62</v>
      </c>
      <c r="C1383" t="s">
        <v>44</v>
      </c>
      <c r="D1383" s="1">
        <v>12841</v>
      </c>
      <c r="E1383" s="1">
        <v>263743</v>
      </c>
      <c r="F1383" s="2">
        <v>17991</v>
      </c>
    </row>
    <row r="1384" spans="1:6" x14ac:dyDescent="0.3">
      <c r="A1384">
        <v>2018</v>
      </c>
      <c r="B1384" t="s">
        <v>62</v>
      </c>
      <c r="C1384" t="s">
        <v>45</v>
      </c>
      <c r="D1384" s="1">
        <v>3149</v>
      </c>
      <c r="E1384" s="1">
        <v>47321</v>
      </c>
      <c r="F1384" s="2">
        <v>16954</v>
      </c>
    </row>
    <row r="1385" spans="1:6" x14ac:dyDescent="0.3">
      <c r="A1385">
        <v>2018</v>
      </c>
      <c r="B1385" t="s">
        <v>62</v>
      </c>
      <c r="C1385" t="s">
        <v>46</v>
      </c>
      <c r="D1385" s="1">
        <v>16427</v>
      </c>
      <c r="E1385" s="1">
        <v>337857</v>
      </c>
      <c r="F1385" s="2">
        <v>23524</v>
      </c>
    </row>
    <row r="1386" spans="1:6" x14ac:dyDescent="0.3">
      <c r="A1386">
        <v>2018</v>
      </c>
      <c r="B1386" t="s">
        <v>62</v>
      </c>
      <c r="C1386" t="s">
        <v>47</v>
      </c>
      <c r="D1386" s="1">
        <v>62760</v>
      </c>
      <c r="E1386" s="1">
        <v>1354468</v>
      </c>
      <c r="F1386" s="2">
        <v>21861</v>
      </c>
    </row>
    <row r="1387" spans="1:6" x14ac:dyDescent="0.3">
      <c r="A1387">
        <v>2018</v>
      </c>
      <c r="B1387" t="s">
        <v>62</v>
      </c>
      <c r="C1387" t="s">
        <v>48</v>
      </c>
      <c r="D1387" s="1">
        <v>7374</v>
      </c>
      <c r="E1387" s="1">
        <v>148446</v>
      </c>
      <c r="F1387" s="2">
        <v>20121</v>
      </c>
    </row>
    <row r="1388" spans="1:6" x14ac:dyDescent="0.3">
      <c r="A1388">
        <v>2018</v>
      </c>
      <c r="B1388" t="s">
        <v>62</v>
      </c>
      <c r="C1388" t="s">
        <v>49</v>
      </c>
      <c r="D1388" s="1">
        <v>2279</v>
      </c>
      <c r="E1388" s="1">
        <v>37198</v>
      </c>
      <c r="F1388" s="2">
        <v>23107</v>
      </c>
    </row>
    <row r="1389" spans="1:6" x14ac:dyDescent="0.3">
      <c r="A1389">
        <v>2018</v>
      </c>
      <c r="B1389" t="s">
        <v>62</v>
      </c>
      <c r="C1389" t="s">
        <v>50</v>
      </c>
      <c r="D1389" s="1">
        <v>20479</v>
      </c>
      <c r="E1389" s="1">
        <v>406321</v>
      </c>
      <c r="F1389" s="2">
        <v>20678</v>
      </c>
    </row>
    <row r="1390" spans="1:6" x14ac:dyDescent="0.3">
      <c r="A1390">
        <v>2018</v>
      </c>
      <c r="B1390" t="s">
        <v>62</v>
      </c>
      <c r="C1390" t="s">
        <v>51</v>
      </c>
      <c r="D1390" s="1">
        <v>20431</v>
      </c>
      <c r="E1390" s="1">
        <v>335635</v>
      </c>
      <c r="F1390" s="2">
        <v>25357</v>
      </c>
    </row>
    <row r="1391" spans="1:6" x14ac:dyDescent="0.3">
      <c r="A1391">
        <v>2018</v>
      </c>
      <c r="B1391" t="s">
        <v>62</v>
      </c>
      <c r="C1391" t="s">
        <v>52</v>
      </c>
      <c r="D1391" s="1">
        <v>4722</v>
      </c>
      <c r="E1391" s="1">
        <v>74133</v>
      </c>
      <c r="F1391" s="2">
        <v>17916</v>
      </c>
    </row>
    <row r="1392" spans="1:6" x14ac:dyDescent="0.3">
      <c r="A1392">
        <v>2018</v>
      </c>
      <c r="B1392" t="s">
        <v>62</v>
      </c>
      <c r="C1392" t="s">
        <v>53</v>
      </c>
      <c r="D1392" s="1">
        <v>16931</v>
      </c>
      <c r="E1392" s="1">
        <v>282313</v>
      </c>
      <c r="F1392" s="2">
        <v>18305</v>
      </c>
    </row>
    <row r="1393" spans="1:6" x14ac:dyDescent="0.3">
      <c r="A1393">
        <v>2018</v>
      </c>
      <c r="B1393" t="s">
        <v>62</v>
      </c>
      <c r="C1393" t="s">
        <v>54</v>
      </c>
      <c r="D1393" s="1">
        <v>2383</v>
      </c>
      <c r="E1393" s="1">
        <v>36403</v>
      </c>
      <c r="F1393" s="2">
        <v>21270</v>
      </c>
    </row>
    <row r="1394" spans="1:6" x14ac:dyDescent="0.3">
      <c r="A1394">
        <v>2018</v>
      </c>
      <c r="B1394" t="s">
        <v>63</v>
      </c>
      <c r="C1394" t="s">
        <v>7</v>
      </c>
      <c r="D1394" s="1">
        <v>10102</v>
      </c>
      <c r="E1394" s="1">
        <v>46094</v>
      </c>
      <c r="F1394" s="2">
        <v>37839</v>
      </c>
    </row>
    <row r="1395" spans="1:6" x14ac:dyDescent="0.3">
      <c r="A1395">
        <v>2018</v>
      </c>
      <c r="B1395" t="s">
        <v>63</v>
      </c>
      <c r="C1395" t="s">
        <v>8</v>
      </c>
      <c r="D1395" s="1">
        <v>11119</v>
      </c>
      <c r="E1395" s="1">
        <v>75319</v>
      </c>
      <c r="F1395" s="2">
        <v>37697</v>
      </c>
    </row>
    <row r="1396" spans="1:6" x14ac:dyDescent="0.3">
      <c r="A1396">
        <v>2018</v>
      </c>
      <c r="B1396" t="s">
        <v>63</v>
      </c>
      <c r="C1396" t="s">
        <v>9</v>
      </c>
      <c r="D1396" s="1">
        <v>5345</v>
      </c>
      <c r="E1396" s="1">
        <v>24966</v>
      </c>
      <c r="F1396" s="2">
        <v>34843</v>
      </c>
    </row>
    <row r="1397" spans="1:6" x14ac:dyDescent="0.3">
      <c r="A1397">
        <v>2018</v>
      </c>
      <c r="B1397" t="s">
        <v>63</v>
      </c>
      <c r="C1397" t="s">
        <v>10</v>
      </c>
      <c r="D1397" s="1">
        <v>95398</v>
      </c>
      <c r="E1397" s="1">
        <v>541832</v>
      </c>
      <c r="F1397" s="2">
        <v>40668</v>
      </c>
    </row>
    <row r="1398" spans="1:6" x14ac:dyDescent="0.3">
      <c r="A1398">
        <v>2018</v>
      </c>
      <c r="B1398" t="s">
        <v>63</v>
      </c>
      <c r="C1398" t="s">
        <v>11</v>
      </c>
      <c r="D1398" s="1">
        <v>16405</v>
      </c>
      <c r="E1398" s="1">
        <v>82040</v>
      </c>
      <c r="F1398" s="2">
        <v>40987</v>
      </c>
    </row>
    <row r="1399" spans="1:6" x14ac:dyDescent="0.3">
      <c r="A1399">
        <v>2018</v>
      </c>
      <c r="B1399" t="s">
        <v>63</v>
      </c>
      <c r="C1399" t="s">
        <v>12</v>
      </c>
      <c r="D1399" s="1">
        <v>17517</v>
      </c>
      <c r="E1399" s="1">
        <v>66913</v>
      </c>
      <c r="F1399" s="2">
        <v>33615</v>
      </c>
    </row>
    <row r="1400" spans="1:6" x14ac:dyDescent="0.3">
      <c r="A1400">
        <v>2018</v>
      </c>
      <c r="B1400" t="s">
        <v>63</v>
      </c>
      <c r="C1400" t="s">
        <v>13</v>
      </c>
      <c r="D1400" s="1">
        <v>2054</v>
      </c>
      <c r="E1400" s="1">
        <v>11930</v>
      </c>
      <c r="F1400" s="2">
        <v>34259</v>
      </c>
    </row>
    <row r="1401" spans="1:6" x14ac:dyDescent="0.3">
      <c r="A1401">
        <v>2018</v>
      </c>
      <c r="B1401" t="s">
        <v>63</v>
      </c>
      <c r="C1401" t="s">
        <v>14</v>
      </c>
      <c r="D1401" s="1">
        <v>55687</v>
      </c>
      <c r="E1401" s="1">
        <v>279269</v>
      </c>
      <c r="F1401" s="2">
        <v>36402</v>
      </c>
    </row>
    <row r="1402" spans="1:6" x14ac:dyDescent="0.3">
      <c r="A1402">
        <v>2018</v>
      </c>
      <c r="B1402" t="s">
        <v>63</v>
      </c>
      <c r="C1402" t="s">
        <v>15</v>
      </c>
      <c r="D1402" s="1">
        <v>17999</v>
      </c>
      <c r="E1402" s="1">
        <v>108656</v>
      </c>
      <c r="F1402" s="2">
        <v>36377</v>
      </c>
    </row>
    <row r="1403" spans="1:6" x14ac:dyDescent="0.3">
      <c r="A1403">
        <v>2018</v>
      </c>
      <c r="B1403" t="s">
        <v>63</v>
      </c>
      <c r="C1403" t="s">
        <v>16</v>
      </c>
      <c r="D1403" s="1">
        <v>3985</v>
      </c>
      <c r="E1403" s="1">
        <v>18622</v>
      </c>
      <c r="F1403" s="2">
        <v>31284</v>
      </c>
    </row>
    <row r="1404" spans="1:6" x14ac:dyDescent="0.3">
      <c r="A1404">
        <v>2018</v>
      </c>
      <c r="B1404" t="s">
        <v>63</v>
      </c>
      <c r="C1404" t="s">
        <v>17</v>
      </c>
      <c r="D1404" s="1">
        <v>39449</v>
      </c>
      <c r="E1404" s="1">
        <v>208655</v>
      </c>
      <c r="F1404" s="2">
        <v>42392</v>
      </c>
    </row>
    <row r="1405" spans="1:6" x14ac:dyDescent="0.3">
      <c r="A1405">
        <v>2018</v>
      </c>
      <c r="B1405" t="s">
        <v>63</v>
      </c>
      <c r="C1405" t="s">
        <v>18</v>
      </c>
      <c r="D1405" s="1">
        <v>13122</v>
      </c>
      <c r="E1405" s="1">
        <v>87997</v>
      </c>
      <c r="F1405" s="2">
        <v>32900</v>
      </c>
    </row>
    <row r="1406" spans="1:6" x14ac:dyDescent="0.3">
      <c r="A1406">
        <v>2018</v>
      </c>
      <c r="B1406" t="s">
        <v>63</v>
      </c>
      <c r="C1406" t="s">
        <v>19</v>
      </c>
      <c r="D1406" s="1">
        <v>8669</v>
      </c>
      <c r="E1406" s="1">
        <v>42339</v>
      </c>
      <c r="F1406" s="2">
        <v>34313</v>
      </c>
    </row>
    <row r="1407" spans="1:6" x14ac:dyDescent="0.3">
      <c r="A1407">
        <v>2018</v>
      </c>
      <c r="B1407" t="s">
        <v>63</v>
      </c>
      <c r="C1407" t="s">
        <v>20</v>
      </c>
      <c r="D1407" s="1">
        <v>5983</v>
      </c>
      <c r="E1407" s="1">
        <v>33757</v>
      </c>
      <c r="F1407" s="2">
        <v>34478</v>
      </c>
    </row>
    <row r="1408" spans="1:6" x14ac:dyDescent="0.3">
      <c r="A1408">
        <v>2018</v>
      </c>
      <c r="B1408" t="s">
        <v>63</v>
      </c>
      <c r="C1408" t="s">
        <v>21</v>
      </c>
      <c r="D1408" s="1">
        <v>10697</v>
      </c>
      <c r="E1408" s="1">
        <v>46476</v>
      </c>
      <c r="F1408" s="2">
        <v>33616</v>
      </c>
    </row>
    <row r="1409" spans="1:6" x14ac:dyDescent="0.3">
      <c r="A1409">
        <v>2018</v>
      </c>
      <c r="B1409" t="s">
        <v>63</v>
      </c>
      <c r="C1409" t="s">
        <v>22</v>
      </c>
      <c r="D1409" s="1">
        <v>9230</v>
      </c>
      <c r="E1409" s="1">
        <v>45904</v>
      </c>
      <c r="F1409" s="2">
        <v>37854</v>
      </c>
    </row>
    <row r="1410" spans="1:6" x14ac:dyDescent="0.3">
      <c r="A1410">
        <v>2018</v>
      </c>
      <c r="B1410" t="s">
        <v>63</v>
      </c>
      <c r="C1410" t="s">
        <v>23</v>
      </c>
      <c r="D1410" s="1">
        <v>3832</v>
      </c>
      <c r="E1410" s="1">
        <v>18021</v>
      </c>
      <c r="F1410" s="2">
        <v>33967</v>
      </c>
    </row>
    <row r="1411" spans="1:6" x14ac:dyDescent="0.3">
      <c r="A1411">
        <v>2018</v>
      </c>
      <c r="B1411" t="s">
        <v>63</v>
      </c>
      <c r="C1411" t="s">
        <v>24</v>
      </c>
      <c r="D1411" s="1">
        <v>19354</v>
      </c>
      <c r="E1411" s="1">
        <v>91803</v>
      </c>
      <c r="F1411" s="2">
        <v>43222</v>
      </c>
    </row>
    <row r="1412" spans="1:6" x14ac:dyDescent="0.3">
      <c r="A1412">
        <v>2018</v>
      </c>
      <c r="B1412" t="s">
        <v>63</v>
      </c>
      <c r="C1412" t="s">
        <v>25</v>
      </c>
      <c r="D1412" s="1">
        <v>21621</v>
      </c>
      <c r="E1412" s="1">
        <v>119963</v>
      </c>
      <c r="F1412" s="2">
        <v>38569</v>
      </c>
    </row>
    <row r="1413" spans="1:6" x14ac:dyDescent="0.3">
      <c r="A1413">
        <v>2018</v>
      </c>
      <c r="B1413" t="s">
        <v>63</v>
      </c>
      <c r="C1413" t="s">
        <v>26</v>
      </c>
      <c r="D1413" s="1">
        <v>31024</v>
      </c>
      <c r="E1413" s="1">
        <v>139968</v>
      </c>
      <c r="F1413" s="2">
        <v>33275</v>
      </c>
    </row>
    <row r="1414" spans="1:6" x14ac:dyDescent="0.3">
      <c r="A1414">
        <v>2018</v>
      </c>
      <c r="B1414" t="s">
        <v>63</v>
      </c>
      <c r="C1414" t="s">
        <v>27</v>
      </c>
      <c r="D1414" s="1">
        <v>17099</v>
      </c>
      <c r="E1414" s="1">
        <v>90096</v>
      </c>
      <c r="F1414" s="2">
        <v>34221</v>
      </c>
    </row>
    <row r="1415" spans="1:6" x14ac:dyDescent="0.3">
      <c r="A1415">
        <v>2018</v>
      </c>
      <c r="B1415" t="s">
        <v>63</v>
      </c>
      <c r="C1415" t="s">
        <v>28</v>
      </c>
      <c r="D1415" s="1">
        <v>4645</v>
      </c>
      <c r="E1415" s="1">
        <v>21202</v>
      </c>
      <c r="F1415" s="2">
        <v>34491</v>
      </c>
    </row>
    <row r="1416" spans="1:6" x14ac:dyDescent="0.3">
      <c r="A1416">
        <v>2018</v>
      </c>
      <c r="B1416" t="s">
        <v>63</v>
      </c>
      <c r="C1416" t="s">
        <v>29</v>
      </c>
      <c r="D1416" s="1">
        <v>12996</v>
      </c>
      <c r="E1416" s="1">
        <v>75350</v>
      </c>
      <c r="F1416" s="2">
        <v>34075</v>
      </c>
    </row>
    <row r="1417" spans="1:6" x14ac:dyDescent="0.3">
      <c r="A1417">
        <v>2018</v>
      </c>
      <c r="B1417" t="s">
        <v>63</v>
      </c>
      <c r="C1417" t="s">
        <v>30</v>
      </c>
      <c r="D1417" s="1">
        <v>4285</v>
      </c>
      <c r="E1417" s="1">
        <v>18301</v>
      </c>
      <c r="F1417" s="2">
        <v>30293</v>
      </c>
    </row>
    <row r="1418" spans="1:6" x14ac:dyDescent="0.3">
      <c r="A1418">
        <v>2018</v>
      </c>
      <c r="B1418" t="s">
        <v>63</v>
      </c>
      <c r="C1418" t="s">
        <v>31</v>
      </c>
      <c r="D1418" s="1">
        <v>4614</v>
      </c>
      <c r="E1418" s="1">
        <v>25333</v>
      </c>
      <c r="F1418" s="2">
        <v>32212</v>
      </c>
    </row>
    <row r="1419" spans="1:6" x14ac:dyDescent="0.3">
      <c r="A1419">
        <v>2018</v>
      </c>
      <c r="B1419" t="s">
        <v>63</v>
      </c>
      <c r="C1419" t="s">
        <v>32</v>
      </c>
      <c r="D1419" s="1">
        <v>5080</v>
      </c>
      <c r="E1419" s="1">
        <v>34964</v>
      </c>
      <c r="F1419" s="2">
        <v>37484</v>
      </c>
    </row>
    <row r="1420" spans="1:6" x14ac:dyDescent="0.3">
      <c r="A1420">
        <v>2018</v>
      </c>
      <c r="B1420" t="s">
        <v>63</v>
      </c>
      <c r="C1420" t="s">
        <v>33</v>
      </c>
      <c r="D1420" s="1">
        <v>3934</v>
      </c>
      <c r="E1420" s="1">
        <v>20991</v>
      </c>
      <c r="F1420" s="2">
        <v>37927</v>
      </c>
    </row>
    <row r="1421" spans="1:6" x14ac:dyDescent="0.3">
      <c r="A1421">
        <v>2018</v>
      </c>
      <c r="B1421" t="s">
        <v>63</v>
      </c>
      <c r="C1421" t="s">
        <v>34</v>
      </c>
      <c r="D1421" s="1">
        <v>24105</v>
      </c>
      <c r="E1421" s="1">
        <v>135824</v>
      </c>
      <c r="F1421" s="2">
        <v>36518</v>
      </c>
    </row>
    <row r="1422" spans="1:6" x14ac:dyDescent="0.3">
      <c r="A1422">
        <v>2018</v>
      </c>
      <c r="B1422" t="s">
        <v>63</v>
      </c>
      <c r="C1422" t="s">
        <v>35</v>
      </c>
      <c r="D1422" s="1">
        <v>4073</v>
      </c>
      <c r="E1422" s="1">
        <v>20964</v>
      </c>
      <c r="F1422" s="2">
        <v>34365</v>
      </c>
    </row>
    <row r="1423" spans="1:6" x14ac:dyDescent="0.3">
      <c r="A1423">
        <v>2018</v>
      </c>
      <c r="B1423" t="s">
        <v>63</v>
      </c>
      <c r="C1423" t="s">
        <v>36</v>
      </c>
      <c r="D1423" s="1">
        <v>73275</v>
      </c>
      <c r="E1423" s="1">
        <v>370268</v>
      </c>
      <c r="F1423" s="2">
        <v>41910</v>
      </c>
    </row>
    <row r="1424" spans="1:6" x14ac:dyDescent="0.3">
      <c r="A1424">
        <v>2018</v>
      </c>
      <c r="B1424" t="s">
        <v>63</v>
      </c>
      <c r="C1424" t="s">
        <v>37</v>
      </c>
      <c r="D1424" s="1">
        <v>23444</v>
      </c>
      <c r="E1424" s="1">
        <v>109986</v>
      </c>
      <c r="F1424" s="2">
        <v>35102</v>
      </c>
    </row>
    <row r="1425" spans="1:6" x14ac:dyDescent="0.3">
      <c r="A1425">
        <v>2018</v>
      </c>
      <c r="B1425" t="s">
        <v>63</v>
      </c>
      <c r="C1425" t="s">
        <v>38</v>
      </c>
      <c r="D1425" s="1">
        <v>2051</v>
      </c>
      <c r="E1425" s="1">
        <v>11307</v>
      </c>
      <c r="F1425" s="2">
        <v>37216</v>
      </c>
    </row>
    <row r="1426" spans="1:6" x14ac:dyDescent="0.3">
      <c r="A1426">
        <v>2018</v>
      </c>
      <c r="B1426" t="s">
        <v>63</v>
      </c>
      <c r="C1426" t="s">
        <v>39</v>
      </c>
      <c r="D1426" s="1">
        <v>23542</v>
      </c>
      <c r="E1426" s="1">
        <v>156685</v>
      </c>
      <c r="F1426" s="2">
        <v>34001</v>
      </c>
    </row>
    <row r="1427" spans="1:6" x14ac:dyDescent="0.3">
      <c r="A1427">
        <v>2018</v>
      </c>
      <c r="B1427" t="s">
        <v>63</v>
      </c>
      <c r="C1427" t="s">
        <v>40</v>
      </c>
      <c r="D1427" s="1">
        <v>6640</v>
      </c>
      <c r="E1427" s="1">
        <v>36417</v>
      </c>
      <c r="F1427" s="2">
        <v>35221</v>
      </c>
    </row>
    <row r="1428" spans="1:6" x14ac:dyDescent="0.3">
      <c r="A1428">
        <v>2018</v>
      </c>
      <c r="B1428" t="s">
        <v>63</v>
      </c>
      <c r="C1428" t="s">
        <v>41</v>
      </c>
      <c r="D1428" s="1">
        <v>24302</v>
      </c>
      <c r="E1428" s="1">
        <v>77296</v>
      </c>
      <c r="F1428" s="2">
        <v>34031</v>
      </c>
    </row>
    <row r="1429" spans="1:6" x14ac:dyDescent="0.3">
      <c r="A1429">
        <v>2018</v>
      </c>
      <c r="B1429" t="s">
        <v>63</v>
      </c>
      <c r="C1429" t="s">
        <v>42</v>
      </c>
      <c r="D1429" s="1">
        <v>32530</v>
      </c>
      <c r="E1429" s="1">
        <v>199883</v>
      </c>
      <c r="F1429" s="2">
        <v>33988</v>
      </c>
    </row>
    <row r="1430" spans="1:6" x14ac:dyDescent="0.3">
      <c r="A1430">
        <v>2018</v>
      </c>
      <c r="B1430" t="s">
        <v>63</v>
      </c>
      <c r="C1430" t="s">
        <v>43</v>
      </c>
      <c r="D1430" s="1">
        <v>3459</v>
      </c>
      <c r="E1430" s="1">
        <v>17990</v>
      </c>
      <c r="F1430" s="2">
        <v>33322</v>
      </c>
    </row>
    <row r="1431" spans="1:6" x14ac:dyDescent="0.3">
      <c r="A1431">
        <v>2018</v>
      </c>
      <c r="B1431" t="s">
        <v>63</v>
      </c>
      <c r="C1431" t="s">
        <v>44</v>
      </c>
      <c r="D1431" s="1">
        <v>11329</v>
      </c>
      <c r="E1431" s="1">
        <v>53632</v>
      </c>
      <c r="F1431" s="2">
        <v>32985</v>
      </c>
    </row>
    <row r="1432" spans="1:6" x14ac:dyDescent="0.3">
      <c r="A1432">
        <v>2018</v>
      </c>
      <c r="B1432" t="s">
        <v>63</v>
      </c>
      <c r="C1432" t="s">
        <v>45</v>
      </c>
      <c r="D1432" s="1">
        <v>2201</v>
      </c>
      <c r="E1432" s="1">
        <v>11149</v>
      </c>
      <c r="F1432" s="2">
        <v>32874</v>
      </c>
    </row>
    <row r="1433" spans="1:6" x14ac:dyDescent="0.3">
      <c r="A1433">
        <v>2018</v>
      </c>
      <c r="B1433" t="s">
        <v>63</v>
      </c>
      <c r="C1433" t="s">
        <v>46</v>
      </c>
      <c r="D1433" s="1">
        <v>15494</v>
      </c>
      <c r="E1433" s="1">
        <v>78706</v>
      </c>
      <c r="F1433" s="2">
        <v>35137</v>
      </c>
    </row>
    <row r="1434" spans="1:6" x14ac:dyDescent="0.3">
      <c r="A1434">
        <v>2018</v>
      </c>
      <c r="B1434" t="s">
        <v>63</v>
      </c>
      <c r="C1434" t="s">
        <v>47</v>
      </c>
      <c r="D1434" s="1">
        <v>56598</v>
      </c>
      <c r="E1434" s="1">
        <v>334126</v>
      </c>
      <c r="F1434" s="2">
        <v>39429</v>
      </c>
    </row>
    <row r="1435" spans="1:6" x14ac:dyDescent="0.3">
      <c r="A1435">
        <v>2018</v>
      </c>
      <c r="B1435" t="s">
        <v>63</v>
      </c>
      <c r="C1435" t="s">
        <v>48</v>
      </c>
      <c r="D1435" s="1">
        <v>6320</v>
      </c>
      <c r="E1435" s="1">
        <v>36120</v>
      </c>
      <c r="F1435" s="2">
        <v>35627</v>
      </c>
    </row>
    <row r="1436" spans="1:6" x14ac:dyDescent="0.3">
      <c r="A1436">
        <v>2018</v>
      </c>
      <c r="B1436" t="s">
        <v>63</v>
      </c>
      <c r="C1436" t="s">
        <v>49</v>
      </c>
      <c r="D1436" s="1">
        <v>1954</v>
      </c>
      <c r="E1436" s="1">
        <v>8748</v>
      </c>
      <c r="F1436" s="2">
        <v>36288</v>
      </c>
    </row>
    <row r="1437" spans="1:6" x14ac:dyDescent="0.3">
      <c r="A1437">
        <v>2018</v>
      </c>
      <c r="B1437" t="s">
        <v>63</v>
      </c>
      <c r="C1437" t="s">
        <v>50</v>
      </c>
      <c r="D1437" s="1">
        <v>36204</v>
      </c>
      <c r="E1437" s="1">
        <v>145640</v>
      </c>
      <c r="F1437" s="2">
        <v>42804</v>
      </c>
    </row>
    <row r="1438" spans="1:6" x14ac:dyDescent="0.3">
      <c r="A1438">
        <v>2018</v>
      </c>
      <c r="B1438" t="s">
        <v>63</v>
      </c>
      <c r="C1438" t="s">
        <v>51</v>
      </c>
      <c r="D1438" s="1">
        <v>19893</v>
      </c>
      <c r="E1438" s="1">
        <v>99054</v>
      </c>
      <c r="F1438" s="2">
        <v>40310</v>
      </c>
    </row>
    <row r="1439" spans="1:6" x14ac:dyDescent="0.3">
      <c r="A1439">
        <v>2018</v>
      </c>
      <c r="B1439" t="s">
        <v>63</v>
      </c>
      <c r="C1439" t="s">
        <v>52</v>
      </c>
      <c r="D1439" s="1">
        <v>5536</v>
      </c>
      <c r="E1439" s="1">
        <v>19873</v>
      </c>
      <c r="F1439" s="2">
        <v>31425</v>
      </c>
    </row>
    <row r="1440" spans="1:6" x14ac:dyDescent="0.3">
      <c r="A1440">
        <v>2018</v>
      </c>
      <c r="B1440" t="s">
        <v>63</v>
      </c>
      <c r="C1440" t="s">
        <v>53</v>
      </c>
      <c r="D1440" s="1">
        <v>14009</v>
      </c>
      <c r="E1440" s="1">
        <v>84183</v>
      </c>
      <c r="F1440" s="2">
        <v>30593</v>
      </c>
    </row>
    <row r="1441" spans="1:6" x14ac:dyDescent="0.3">
      <c r="A1441">
        <v>2018</v>
      </c>
      <c r="B1441" t="s">
        <v>63</v>
      </c>
      <c r="C1441" t="s">
        <v>54</v>
      </c>
      <c r="D1441" s="1">
        <v>1664</v>
      </c>
      <c r="E1441" s="1">
        <v>7261</v>
      </c>
      <c r="F1441" s="2">
        <v>37155</v>
      </c>
    </row>
    <row r="1442" spans="1:6" x14ac:dyDescent="0.3">
      <c r="A1442">
        <v>2017</v>
      </c>
      <c r="B1442" t="s">
        <v>6</v>
      </c>
      <c r="C1442" t="s">
        <v>7</v>
      </c>
      <c r="D1442" s="1">
        <v>1815</v>
      </c>
      <c r="E1442" s="1">
        <v>17999</v>
      </c>
      <c r="F1442" s="2">
        <v>52748</v>
      </c>
    </row>
    <row r="1443" spans="1:6" x14ac:dyDescent="0.3">
      <c r="A1443">
        <v>2017</v>
      </c>
      <c r="B1443" t="s">
        <v>6</v>
      </c>
      <c r="C1443" t="s">
        <v>8</v>
      </c>
      <c r="D1443" s="1">
        <v>1257</v>
      </c>
      <c r="E1443" s="1">
        <v>37216</v>
      </c>
      <c r="F1443" s="2">
        <v>47116</v>
      </c>
    </row>
    <row r="1444" spans="1:6" x14ac:dyDescent="0.3">
      <c r="A1444">
        <v>2017</v>
      </c>
      <c r="B1444" t="s">
        <v>6</v>
      </c>
      <c r="C1444" t="s">
        <v>9</v>
      </c>
      <c r="D1444" s="1">
        <v>2551</v>
      </c>
      <c r="E1444" s="1">
        <v>16476</v>
      </c>
      <c r="F1444" s="2">
        <v>46191</v>
      </c>
    </row>
    <row r="1445" spans="1:6" x14ac:dyDescent="0.3">
      <c r="A1445">
        <v>2017</v>
      </c>
      <c r="B1445" t="s">
        <v>6</v>
      </c>
      <c r="C1445" t="s">
        <v>10</v>
      </c>
      <c r="D1445" s="1">
        <v>17021</v>
      </c>
      <c r="E1445" s="1">
        <v>441460</v>
      </c>
      <c r="F1445" s="2">
        <v>37249</v>
      </c>
    </row>
    <row r="1446" spans="1:6" x14ac:dyDescent="0.3">
      <c r="A1446">
        <v>2017</v>
      </c>
      <c r="B1446" t="s">
        <v>6</v>
      </c>
      <c r="C1446" t="s">
        <v>11</v>
      </c>
      <c r="D1446" s="1">
        <v>3202</v>
      </c>
      <c r="E1446" s="1">
        <v>43394</v>
      </c>
      <c r="F1446" s="2">
        <v>84161</v>
      </c>
    </row>
    <row r="1447" spans="1:6" x14ac:dyDescent="0.3">
      <c r="A1447">
        <v>2017</v>
      </c>
      <c r="B1447" t="s">
        <v>6</v>
      </c>
      <c r="C1447" t="s">
        <v>12</v>
      </c>
      <c r="D1447">
        <v>433</v>
      </c>
      <c r="E1447" s="1">
        <v>5305</v>
      </c>
      <c r="F1447" s="2">
        <v>40017</v>
      </c>
    </row>
    <row r="1448" spans="1:6" x14ac:dyDescent="0.3">
      <c r="A1448">
        <v>2017</v>
      </c>
      <c r="B1448" t="s">
        <v>6</v>
      </c>
      <c r="C1448" t="s">
        <v>13</v>
      </c>
      <c r="D1448">
        <v>177</v>
      </c>
      <c r="E1448" s="1">
        <v>1538</v>
      </c>
      <c r="F1448" s="2">
        <v>39651</v>
      </c>
    </row>
    <row r="1449" spans="1:6" x14ac:dyDescent="0.3">
      <c r="A1449">
        <v>2017</v>
      </c>
      <c r="B1449" t="s">
        <v>6</v>
      </c>
      <c r="C1449" t="s">
        <v>14</v>
      </c>
      <c r="D1449" s="1">
        <v>5285</v>
      </c>
      <c r="E1449" s="1">
        <v>75471</v>
      </c>
      <c r="F1449" s="2">
        <v>32773</v>
      </c>
    </row>
    <row r="1450" spans="1:6" x14ac:dyDescent="0.3">
      <c r="A1450">
        <v>2017</v>
      </c>
      <c r="B1450" t="s">
        <v>6</v>
      </c>
      <c r="C1450" t="s">
        <v>15</v>
      </c>
      <c r="D1450" s="1">
        <v>2594</v>
      </c>
      <c r="E1450" s="1">
        <v>29299</v>
      </c>
      <c r="F1450" s="2">
        <v>41048</v>
      </c>
    </row>
    <row r="1451" spans="1:6" x14ac:dyDescent="0.3">
      <c r="A1451">
        <v>2017</v>
      </c>
      <c r="B1451" t="s">
        <v>6</v>
      </c>
      <c r="C1451" t="s">
        <v>16</v>
      </c>
      <c r="D1451" s="1">
        <v>2448</v>
      </c>
      <c r="E1451" s="1">
        <v>26790</v>
      </c>
      <c r="F1451" s="2">
        <v>38417</v>
      </c>
    </row>
    <row r="1452" spans="1:6" x14ac:dyDescent="0.3">
      <c r="A1452">
        <v>2017</v>
      </c>
      <c r="B1452" t="s">
        <v>6</v>
      </c>
      <c r="C1452" t="s">
        <v>17</v>
      </c>
      <c r="D1452" s="1">
        <v>2730</v>
      </c>
      <c r="E1452" s="1">
        <v>26665</v>
      </c>
      <c r="F1452" s="2">
        <v>48549</v>
      </c>
    </row>
    <row r="1453" spans="1:6" x14ac:dyDescent="0.3">
      <c r="A1453">
        <v>2017</v>
      </c>
      <c r="B1453" t="s">
        <v>6</v>
      </c>
      <c r="C1453" t="s">
        <v>18</v>
      </c>
      <c r="D1453" s="1">
        <v>2183</v>
      </c>
      <c r="E1453" s="1">
        <v>21072</v>
      </c>
      <c r="F1453" s="2">
        <v>47269</v>
      </c>
    </row>
    <row r="1454" spans="1:6" x14ac:dyDescent="0.3">
      <c r="A1454">
        <v>2017</v>
      </c>
      <c r="B1454" t="s">
        <v>6</v>
      </c>
      <c r="C1454" t="s">
        <v>19</v>
      </c>
      <c r="D1454" s="1">
        <v>2766</v>
      </c>
      <c r="E1454" s="1">
        <v>22503</v>
      </c>
      <c r="F1454" s="2">
        <v>41388</v>
      </c>
    </row>
    <row r="1455" spans="1:6" x14ac:dyDescent="0.3">
      <c r="A1455">
        <v>2017</v>
      </c>
      <c r="B1455" t="s">
        <v>6</v>
      </c>
      <c r="C1455" t="s">
        <v>20</v>
      </c>
      <c r="D1455" s="1">
        <v>2686</v>
      </c>
      <c r="E1455" s="1">
        <v>19024</v>
      </c>
      <c r="F1455" s="2">
        <v>45105</v>
      </c>
    </row>
    <row r="1456" spans="1:6" x14ac:dyDescent="0.3">
      <c r="A1456">
        <v>2017</v>
      </c>
      <c r="B1456" t="s">
        <v>6</v>
      </c>
      <c r="C1456" t="s">
        <v>21</v>
      </c>
      <c r="D1456" s="1">
        <v>1584</v>
      </c>
      <c r="E1456" s="1">
        <v>18306</v>
      </c>
      <c r="F1456" s="2">
        <v>54943</v>
      </c>
    </row>
    <row r="1457" spans="1:6" x14ac:dyDescent="0.3">
      <c r="A1457">
        <v>2017</v>
      </c>
      <c r="B1457" t="s">
        <v>6</v>
      </c>
      <c r="C1457" t="s">
        <v>22</v>
      </c>
      <c r="D1457" s="1">
        <v>3082</v>
      </c>
      <c r="E1457" s="1">
        <v>42251</v>
      </c>
      <c r="F1457" s="2">
        <v>80128</v>
      </c>
    </row>
    <row r="1458" spans="1:6" x14ac:dyDescent="0.3">
      <c r="A1458">
        <v>2017</v>
      </c>
      <c r="B1458" t="s">
        <v>6</v>
      </c>
      <c r="C1458" t="s">
        <v>23</v>
      </c>
      <c r="D1458" s="1">
        <v>1370</v>
      </c>
      <c r="E1458" s="1">
        <v>6817</v>
      </c>
      <c r="F1458" s="2">
        <v>40118</v>
      </c>
    </row>
    <row r="1459" spans="1:6" x14ac:dyDescent="0.3">
      <c r="A1459">
        <v>2017</v>
      </c>
      <c r="B1459" t="s">
        <v>6</v>
      </c>
      <c r="C1459" t="s">
        <v>24</v>
      </c>
      <c r="D1459">
        <v>723</v>
      </c>
      <c r="E1459" s="1">
        <v>6432</v>
      </c>
      <c r="F1459" s="2">
        <v>42478</v>
      </c>
    </row>
    <row r="1460" spans="1:6" x14ac:dyDescent="0.3">
      <c r="A1460">
        <v>2017</v>
      </c>
      <c r="B1460" t="s">
        <v>6</v>
      </c>
      <c r="C1460" t="s">
        <v>25</v>
      </c>
      <c r="D1460" s="1">
        <v>1030</v>
      </c>
      <c r="E1460" s="1">
        <v>9290</v>
      </c>
      <c r="F1460" s="2">
        <v>61286</v>
      </c>
    </row>
    <row r="1461" spans="1:6" x14ac:dyDescent="0.3">
      <c r="A1461">
        <v>2017</v>
      </c>
      <c r="B1461" t="s">
        <v>6</v>
      </c>
      <c r="C1461" t="s">
        <v>26</v>
      </c>
      <c r="D1461" s="1">
        <v>3203</v>
      </c>
      <c r="E1461" s="1">
        <v>36801</v>
      </c>
      <c r="F1461" s="2">
        <v>38160</v>
      </c>
    </row>
    <row r="1462" spans="1:6" x14ac:dyDescent="0.3">
      <c r="A1462">
        <v>2017</v>
      </c>
      <c r="B1462" t="s">
        <v>6</v>
      </c>
      <c r="C1462" t="s">
        <v>27</v>
      </c>
      <c r="D1462" s="1">
        <v>2992</v>
      </c>
      <c r="E1462" s="1">
        <v>27804</v>
      </c>
      <c r="F1462" s="2">
        <v>47599</v>
      </c>
    </row>
    <row r="1463" spans="1:6" x14ac:dyDescent="0.3">
      <c r="A1463">
        <v>2017</v>
      </c>
      <c r="B1463" t="s">
        <v>6</v>
      </c>
      <c r="C1463" t="s">
        <v>28</v>
      </c>
      <c r="D1463" s="1">
        <v>2168</v>
      </c>
      <c r="E1463" s="1">
        <v>16360</v>
      </c>
      <c r="F1463" s="2">
        <v>45681</v>
      </c>
    </row>
    <row r="1464" spans="1:6" x14ac:dyDescent="0.3">
      <c r="A1464">
        <v>2017</v>
      </c>
      <c r="B1464" t="s">
        <v>6</v>
      </c>
      <c r="C1464" t="s">
        <v>29</v>
      </c>
      <c r="D1464" s="1">
        <v>1950</v>
      </c>
      <c r="E1464" s="1">
        <v>16365</v>
      </c>
      <c r="F1464" s="2">
        <v>42894</v>
      </c>
    </row>
    <row r="1465" spans="1:6" x14ac:dyDescent="0.3">
      <c r="A1465">
        <v>2017</v>
      </c>
      <c r="B1465" t="s">
        <v>6</v>
      </c>
      <c r="C1465" t="s">
        <v>30</v>
      </c>
      <c r="D1465" s="1">
        <v>1753</v>
      </c>
      <c r="E1465" s="1">
        <v>11976</v>
      </c>
      <c r="F1465" s="2">
        <v>64781</v>
      </c>
    </row>
    <row r="1466" spans="1:6" x14ac:dyDescent="0.3">
      <c r="A1466">
        <v>2017</v>
      </c>
      <c r="B1466" t="s">
        <v>6</v>
      </c>
      <c r="C1466" t="s">
        <v>31</v>
      </c>
      <c r="D1466" s="1">
        <v>2337</v>
      </c>
      <c r="E1466" s="1">
        <v>15500</v>
      </c>
      <c r="F1466" s="2">
        <v>39544</v>
      </c>
    </row>
    <row r="1467" spans="1:6" x14ac:dyDescent="0.3">
      <c r="A1467">
        <v>2017</v>
      </c>
      <c r="B1467" t="s">
        <v>6</v>
      </c>
      <c r="C1467" t="s">
        <v>32</v>
      </c>
      <c r="D1467">
        <v>612</v>
      </c>
      <c r="E1467" s="1">
        <v>17902</v>
      </c>
      <c r="F1467" s="2">
        <v>82999</v>
      </c>
    </row>
    <row r="1468" spans="1:6" x14ac:dyDescent="0.3">
      <c r="A1468">
        <v>2017</v>
      </c>
      <c r="B1468" t="s">
        <v>6</v>
      </c>
      <c r="C1468" t="s">
        <v>33</v>
      </c>
      <c r="D1468">
        <v>350</v>
      </c>
      <c r="E1468" s="1">
        <v>2556</v>
      </c>
      <c r="F1468" s="2">
        <v>41972</v>
      </c>
    </row>
    <row r="1469" spans="1:6" x14ac:dyDescent="0.3">
      <c r="A1469">
        <v>2017</v>
      </c>
      <c r="B1469" t="s">
        <v>6</v>
      </c>
      <c r="C1469" t="s">
        <v>34</v>
      </c>
      <c r="D1469" s="1">
        <v>1018</v>
      </c>
      <c r="E1469" s="1">
        <v>12853</v>
      </c>
      <c r="F1469" s="2">
        <v>37279</v>
      </c>
    </row>
    <row r="1470" spans="1:6" x14ac:dyDescent="0.3">
      <c r="A1470">
        <v>2017</v>
      </c>
      <c r="B1470" t="s">
        <v>6</v>
      </c>
      <c r="C1470" t="s">
        <v>35</v>
      </c>
      <c r="D1470" s="1">
        <v>1991</v>
      </c>
      <c r="E1470" s="1">
        <v>32275</v>
      </c>
      <c r="F1470" s="2">
        <v>59989</v>
      </c>
    </row>
    <row r="1471" spans="1:6" x14ac:dyDescent="0.3">
      <c r="A1471">
        <v>2017</v>
      </c>
      <c r="B1471" t="s">
        <v>6</v>
      </c>
      <c r="C1471" t="s">
        <v>36</v>
      </c>
      <c r="D1471" s="1">
        <v>3023</v>
      </c>
      <c r="E1471" s="1">
        <v>30834</v>
      </c>
      <c r="F1471" s="2">
        <v>39487</v>
      </c>
    </row>
    <row r="1472" spans="1:6" x14ac:dyDescent="0.3">
      <c r="A1472">
        <v>2017</v>
      </c>
      <c r="B1472" t="s">
        <v>6</v>
      </c>
      <c r="C1472" t="s">
        <v>37</v>
      </c>
      <c r="D1472" s="1">
        <v>3306</v>
      </c>
      <c r="E1472" s="1">
        <v>30981</v>
      </c>
      <c r="F1472" s="2">
        <v>37636</v>
      </c>
    </row>
    <row r="1473" spans="1:6" x14ac:dyDescent="0.3">
      <c r="A1473">
        <v>2017</v>
      </c>
      <c r="B1473" t="s">
        <v>6</v>
      </c>
      <c r="C1473" t="s">
        <v>38</v>
      </c>
      <c r="D1473" s="1">
        <v>1771</v>
      </c>
      <c r="E1473" s="1">
        <v>22394</v>
      </c>
      <c r="F1473" s="2">
        <v>89578</v>
      </c>
    </row>
    <row r="1474" spans="1:6" x14ac:dyDescent="0.3">
      <c r="A1474">
        <v>2017</v>
      </c>
      <c r="B1474" t="s">
        <v>6</v>
      </c>
      <c r="C1474" t="s">
        <v>39</v>
      </c>
      <c r="D1474" s="1">
        <v>2483</v>
      </c>
      <c r="E1474" s="1">
        <v>27504</v>
      </c>
      <c r="F1474" s="2">
        <v>48849</v>
      </c>
    </row>
    <row r="1475" spans="1:6" x14ac:dyDescent="0.3">
      <c r="A1475">
        <v>2017</v>
      </c>
      <c r="B1475" t="s">
        <v>6</v>
      </c>
      <c r="C1475" t="s">
        <v>40</v>
      </c>
      <c r="D1475" s="1">
        <v>4333</v>
      </c>
      <c r="E1475" s="1">
        <v>58716</v>
      </c>
      <c r="F1475" s="2">
        <v>88899</v>
      </c>
    </row>
    <row r="1476" spans="1:6" x14ac:dyDescent="0.3">
      <c r="A1476">
        <v>2017</v>
      </c>
      <c r="B1476" t="s">
        <v>6</v>
      </c>
      <c r="C1476" t="s">
        <v>41</v>
      </c>
      <c r="D1476" s="1">
        <v>4453</v>
      </c>
      <c r="E1476" s="1">
        <v>52439</v>
      </c>
      <c r="F1476" s="2">
        <v>35362</v>
      </c>
    </row>
    <row r="1477" spans="1:6" x14ac:dyDescent="0.3">
      <c r="A1477">
        <v>2017</v>
      </c>
      <c r="B1477" t="s">
        <v>6</v>
      </c>
      <c r="C1477" t="s">
        <v>42</v>
      </c>
      <c r="D1477" s="1">
        <v>3498</v>
      </c>
      <c r="E1477" s="1">
        <v>50197</v>
      </c>
      <c r="F1477" s="2">
        <v>63021</v>
      </c>
    </row>
    <row r="1478" spans="1:6" x14ac:dyDescent="0.3">
      <c r="A1478">
        <v>2017</v>
      </c>
      <c r="B1478" t="s">
        <v>6</v>
      </c>
      <c r="C1478" t="s">
        <v>44</v>
      </c>
      <c r="D1478" s="1">
        <v>1230</v>
      </c>
      <c r="E1478" s="1">
        <v>12432</v>
      </c>
      <c r="F1478" s="2">
        <v>40520</v>
      </c>
    </row>
    <row r="1479" spans="1:6" x14ac:dyDescent="0.3">
      <c r="A1479">
        <v>2017</v>
      </c>
      <c r="B1479" t="s">
        <v>6</v>
      </c>
      <c r="C1479" t="s">
        <v>45</v>
      </c>
      <c r="D1479" s="1">
        <v>1026</v>
      </c>
      <c r="E1479" s="1">
        <v>6646</v>
      </c>
      <c r="F1479" s="2">
        <v>41459</v>
      </c>
    </row>
    <row r="1480" spans="1:6" x14ac:dyDescent="0.3">
      <c r="A1480">
        <v>2017</v>
      </c>
      <c r="B1480" t="s">
        <v>6</v>
      </c>
      <c r="C1480" t="s">
        <v>46</v>
      </c>
      <c r="D1480" s="1">
        <v>1071</v>
      </c>
      <c r="E1480" s="1">
        <v>10750</v>
      </c>
      <c r="F1480" s="2">
        <v>43908</v>
      </c>
    </row>
    <row r="1481" spans="1:6" x14ac:dyDescent="0.3">
      <c r="A1481">
        <v>2017</v>
      </c>
      <c r="B1481" t="s">
        <v>6</v>
      </c>
      <c r="C1481" t="s">
        <v>47</v>
      </c>
      <c r="D1481" s="1">
        <v>19580</v>
      </c>
      <c r="E1481" s="1">
        <v>281110</v>
      </c>
      <c r="F1481" s="2">
        <v>107415</v>
      </c>
    </row>
    <row r="1482" spans="1:6" x14ac:dyDescent="0.3">
      <c r="A1482">
        <v>2017</v>
      </c>
      <c r="B1482" t="s">
        <v>6</v>
      </c>
      <c r="C1482" t="s">
        <v>48</v>
      </c>
      <c r="D1482" s="1">
        <v>1034</v>
      </c>
      <c r="E1482" s="1">
        <v>14217</v>
      </c>
      <c r="F1482" s="2">
        <v>59120</v>
      </c>
    </row>
    <row r="1483" spans="1:6" x14ac:dyDescent="0.3">
      <c r="A1483">
        <v>2017</v>
      </c>
      <c r="B1483" t="s">
        <v>6</v>
      </c>
      <c r="C1483" t="s">
        <v>49</v>
      </c>
      <c r="D1483">
        <v>551</v>
      </c>
      <c r="E1483" s="1">
        <v>3901</v>
      </c>
      <c r="F1483" s="2">
        <v>37223</v>
      </c>
    </row>
    <row r="1484" spans="1:6" x14ac:dyDescent="0.3">
      <c r="A1484">
        <v>2017</v>
      </c>
      <c r="B1484" t="s">
        <v>6</v>
      </c>
      <c r="C1484" t="s">
        <v>50</v>
      </c>
      <c r="D1484" s="1">
        <v>2061</v>
      </c>
      <c r="E1484" s="1">
        <v>19558</v>
      </c>
      <c r="F1484" s="2">
        <v>44371</v>
      </c>
    </row>
    <row r="1485" spans="1:6" x14ac:dyDescent="0.3">
      <c r="A1485">
        <v>2017</v>
      </c>
      <c r="B1485" t="s">
        <v>6</v>
      </c>
      <c r="C1485" t="s">
        <v>51</v>
      </c>
      <c r="D1485" s="1">
        <v>7493</v>
      </c>
      <c r="E1485" s="1">
        <v>107674</v>
      </c>
      <c r="F1485" s="2">
        <v>32082</v>
      </c>
    </row>
    <row r="1486" spans="1:6" x14ac:dyDescent="0.3">
      <c r="A1486">
        <v>2017</v>
      </c>
      <c r="B1486" t="s">
        <v>6</v>
      </c>
      <c r="C1486" t="s">
        <v>52</v>
      </c>
      <c r="D1486" s="1">
        <v>1221</v>
      </c>
      <c r="E1486" s="1">
        <v>22793</v>
      </c>
      <c r="F1486" s="2">
        <v>76848</v>
      </c>
    </row>
    <row r="1487" spans="1:6" x14ac:dyDescent="0.3">
      <c r="A1487">
        <v>2017</v>
      </c>
      <c r="B1487" t="s">
        <v>6</v>
      </c>
      <c r="C1487" t="s">
        <v>53</v>
      </c>
      <c r="D1487" s="1">
        <v>2865</v>
      </c>
      <c r="E1487" s="1">
        <v>31986</v>
      </c>
      <c r="F1487" s="2">
        <v>37981</v>
      </c>
    </row>
    <row r="1488" spans="1:6" x14ac:dyDescent="0.3">
      <c r="A1488">
        <v>2017</v>
      </c>
      <c r="B1488" t="s">
        <v>6</v>
      </c>
      <c r="C1488" t="s">
        <v>54</v>
      </c>
      <c r="D1488" s="1">
        <v>1442</v>
      </c>
      <c r="E1488" s="1">
        <v>22390</v>
      </c>
      <c r="F1488" s="2">
        <v>81163</v>
      </c>
    </row>
    <row r="1489" spans="1:6" x14ac:dyDescent="0.3">
      <c r="A1489">
        <v>2017</v>
      </c>
      <c r="B1489" t="s">
        <v>55</v>
      </c>
      <c r="C1489" t="s">
        <v>7</v>
      </c>
      <c r="D1489" s="1">
        <v>9645</v>
      </c>
      <c r="E1489" s="1">
        <v>85262</v>
      </c>
      <c r="F1489" s="2">
        <v>52230</v>
      </c>
    </row>
    <row r="1490" spans="1:6" x14ac:dyDescent="0.3">
      <c r="A1490">
        <v>2017</v>
      </c>
      <c r="B1490" t="s">
        <v>55</v>
      </c>
      <c r="C1490" t="s">
        <v>8</v>
      </c>
      <c r="D1490" s="1">
        <v>11368</v>
      </c>
      <c r="E1490" s="1">
        <v>144747</v>
      </c>
      <c r="F1490" s="2">
        <v>53440</v>
      </c>
    </row>
    <row r="1491" spans="1:6" x14ac:dyDescent="0.3">
      <c r="A1491">
        <v>2017</v>
      </c>
      <c r="B1491" t="s">
        <v>55</v>
      </c>
      <c r="C1491" t="s">
        <v>9</v>
      </c>
      <c r="D1491" s="1">
        <v>6817</v>
      </c>
      <c r="E1491" s="1">
        <v>51130</v>
      </c>
      <c r="F1491" s="2">
        <v>47283</v>
      </c>
    </row>
    <row r="1492" spans="1:6" x14ac:dyDescent="0.3">
      <c r="A1492">
        <v>2017</v>
      </c>
      <c r="B1492" t="s">
        <v>55</v>
      </c>
      <c r="C1492" t="s">
        <v>10</v>
      </c>
      <c r="D1492" s="1">
        <v>72972</v>
      </c>
      <c r="E1492" s="1">
        <v>805942</v>
      </c>
      <c r="F1492" s="2">
        <v>67561</v>
      </c>
    </row>
    <row r="1493" spans="1:6" x14ac:dyDescent="0.3">
      <c r="A1493">
        <v>2017</v>
      </c>
      <c r="B1493" t="s">
        <v>55</v>
      </c>
      <c r="C1493" t="s">
        <v>11</v>
      </c>
      <c r="D1493" s="1">
        <v>19243</v>
      </c>
      <c r="E1493" s="1">
        <v>163473</v>
      </c>
      <c r="F1493" s="2">
        <v>59444</v>
      </c>
    </row>
    <row r="1494" spans="1:6" x14ac:dyDescent="0.3">
      <c r="A1494">
        <v>2017</v>
      </c>
      <c r="B1494" t="s">
        <v>55</v>
      </c>
      <c r="C1494" t="s">
        <v>12</v>
      </c>
      <c r="D1494" s="1">
        <v>9351</v>
      </c>
      <c r="E1494" s="1">
        <v>58327</v>
      </c>
      <c r="F1494" s="2">
        <v>68641</v>
      </c>
    </row>
    <row r="1495" spans="1:6" x14ac:dyDescent="0.3">
      <c r="A1495">
        <v>2017</v>
      </c>
      <c r="B1495" t="s">
        <v>55</v>
      </c>
      <c r="C1495" t="s">
        <v>13</v>
      </c>
      <c r="D1495" s="1">
        <v>2777</v>
      </c>
      <c r="E1495" s="1">
        <v>21591</v>
      </c>
      <c r="F1495" s="2">
        <v>59040</v>
      </c>
    </row>
    <row r="1496" spans="1:6" x14ac:dyDescent="0.3">
      <c r="A1496">
        <v>2017</v>
      </c>
      <c r="B1496" t="s">
        <v>55</v>
      </c>
      <c r="C1496" t="s">
        <v>14</v>
      </c>
      <c r="D1496" s="1">
        <v>67384</v>
      </c>
      <c r="E1496" s="1">
        <v>503704</v>
      </c>
      <c r="F1496" s="2">
        <v>49256</v>
      </c>
    </row>
    <row r="1497" spans="1:6" x14ac:dyDescent="0.3">
      <c r="A1497">
        <v>2017</v>
      </c>
      <c r="B1497" t="s">
        <v>55</v>
      </c>
      <c r="C1497" t="s">
        <v>15</v>
      </c>
      <c r="D1497" s="1">
        <v>20135</v>
      </c>
      <c r="E1497" s="1">
        <v>182259</v>
      </c>
      <c r="F1497" s="2">
        <v>58213</v>
      </c>
    </row>
    <row r="1498" spans="1:6" x14ac:dyDescent="0.3">
      <c r="A1498">
        <v>2017</v>
      </c>
      <c r="B1498" t="s">
        <v>55</v>
      </c>
      <c r="C1498" t="s">
        <v>16</v>
      </c>
      <c r="D1498" s="1">
        <v>7660</v>
      </c>
      <c r="E1498" s="1">
        <v>42668</v>
      </c>
      <c r="F1498" s="2">
        <v>42865</v>
      </c>
    </row>
    <row r="1499" spans="1:6" x14ac:dyDescent="0.3">
      <c r="A1499">
        <v>2017</v>
      </c>
      <c r="B1499" t="s">
        <v>55</v>
      </c>
      <c r="C1499" t="s">
        <v>17</v>
      </c>
      <c r="D1499" s="1">
        <v>31422</v>
      </c>
      <c r="E1499" s="1">
        <v>220019</v>
      </c>
      <c r="F1499" s="2">
        <v>70893</v>
      </c>
    </row>
    <row r="1500" spans="1:6" x14ac:dyDescent="0.3">
      <c r="A1500">
        <v>2017</v>
      </c>
      <c r="B1500" t="s">
        <v>55</v>
      </c>
      <c r="C1500" t="s">
        <v>18</v>
      </c>
      <c r="D1500" s="1">
        <v>14839</v>
      </c>
      <c r="E1500" s="1">
        <v>138040</v>
      </c>
      <c r="F1500" s="2">
        <v>57099</v>
      </c>
    </row>
    <row r="1501" spans="1:6" x14ac:dyDescent="0.3">
      <c r="A1501">
        <v>2017</v>
      </c>
      <c r="B1501" t="s">
        <v>55</v>
      </c>
      <c r="C1501" t="s">
        <v>19</v>
      </c>
      <c r="D1501" s="1">
        <v>9417</v>
      </c>
      <c r="E1501" s="1">
        <v>76086</v>
      </c>
      <c r="F1501" s="2">
        <v>55415</v>
      </c>
    </row>
    <row r="1502" spans="1:6" x14ac:dyDescent="0.3">
      <c r="A1502">
        <v>2017</v>
      </c>
      <c r="B1502" t="s">
        <v>55</v>
      </c>
      <c r="C1502" t="s">
        <v>20</v>
      </c>
      <c r="D1502" s="1">
        <v>7584</v>
      </c>
      <c r="E1502" s="1">
        <v>60238</v>
      </c>
      <c r="F1502" s="2">
        <v>52807</v>
      </c>
    </row>
    <row r="1503" spans="1:6" x14ac:dyDescent="0.3">
      <c r="A1503">
        <v>2017</v>
      </c>
      <c r="B1503" t="s">
        <v>55</v>
      </c>
      <c r="C1503" t="s">
        <v>21</v>
      </c>
      <c r="D1503" s="1">
        <v>9339</v>
      </c>
      <c r="E1503" s="1">
        <v>77332</v>
      </c>
      <c r="F1503" s="2">
        <v>53194</v>
      </c>
    </row>
    <row r="1504" spans="1:6" x14ac:dyDescent="0.3">
      <c r="A1504">
        <v>2017</v>
      </c>
      <c r="B1504" t="s">
        <v>55</v>
      </c>
      <c r="C1504" t="s">
        <v>22</v>
      </c>
      <c r="D1504" s="1">
        <v>10825</v>
      </c>
      <c r="E1504" s="1">
        <v>147021</v>
      </c>
      <c r="F1504" s="2">
        <v>61781</v>
      </c>
    </row>
    <row r="1505" spans="1:6" x14ac:dyDescent="0.3">
      <c r="A1505">
        <v>2017</v>
      </c>
      <c r="B1505" t="s">
        <v>55</v>
      </c>
      <c r="C1505" t="s">
        <v>23</v>
      </c>
      <c r="D1505" s="1">
        <v>5502</v>
      </c>
      <c r="E1505" s="1">
        <v>28253</v>
      </c>
      <c r="F1505" s="2">
        <v>47930</v>
      </c>
    </row>
    <row r="1506" spans="1:6" x14ac:dyDescent="0.3">
      <c r="A1506">
        <v>2017</v>
      </c>
      <c r="B1506" t="s">
        <v>55</v>
      </c>
      <c r="C1506" t="s">
        <v>24</v>
      </c>
      <c r="D1506" s="1">
        <v>16463</v>
      </c>
      <c r="E1506" s="1">
        <v>162140</v>
      </c>
      <c r="F1506" s="2">
        <v>65027</v>
      </c>
    </row>
    <row r="1507" spans="1:6" x14ac:dyDescent="0.3">
      <c r="A1507">
        <v>2017</v>
      </c>
      <c r="B1507" t="s">
        <v>55</v>
      </c>
      <c r="C1507" t="s">
        <v>25</v>
      </c>
      <c r="D1507" s="1">
        <v>21055</v>
      </c>
      <c r="E1507" s="1">
        <v>152131</v>
      </c>
      <c r="F1507" s="2">
        <v>75405</v>
      </c>
    </row>
    <row r="1508" spans="1:6" x14ac:dyDescent="0.3">
      <c r="A1508">
        <v>2017</v>
      </c>
      <c r="B1508" t="s">
        <v>55</v>
      </c>
      <c r="C1508" t="s">
        <v>26</v>
      </c>
      <c r="D1508" s="1">
        <v>19544</v>
      </c>
      <c r="E1508" s="1">
        <v>161903</v>
      </c>
      <c r="F1508" s="2">
        <v>61511</v>
      </c>
    </row>
    <row r="1509" spans="1:6" x14ac:dyDescent="0.3">
      <c r="A1509">
        <v>2017</v>
      </c>
      <c r="B1509" t="s">
        <v>55</v>
      </c>
      <c r="C1509" t="s">
        <v>27</v>
      </c>
      <c r="D1509" s="1">
        <v>15746</v>
      </c>
      <c r="E1509" s="1">
        <v>119642</v>
      </c>
      <c r="F1509" s="2">
        <v>65464</v>
      </c>
    </row>
    <row r="1510" spans="1:6" x14ac:dyDescent="0.3">
      <c r="A1510">
        <v>2017</v>
      </c>
      <c r="B1510" t="s">
        <v>55</v>
      </c>
      <c r="C1510" t="s">
        <v>28</v>
      </c>
      <c r="D1510" s="1">
        <v>5670</v>
      </c>
      <c r="E1510" s="1">
        <v>43467</v>
      </c>
      <c r="F1510" s="2">
        <v>48782</v>
      </c>
    </row>
    <row r="1511" spans="1:6" x14ac:dyDescent="0.3">
      <c r="A1511">
        <v>2017</v>
      </c>
      <c r="B1511" t="s">
        <v>55</v>
      </c>
      <c r="C1511" t="s">
        <v>29</v>
      </c>
      <c r="D1511" s="1">
        <v>15141</v>
      </c>
      <c r="E1511" s="1">
        <v>123034</v>
      </c>
      <c r="F1511" s="2">
        <v>57823</v>
      </c>
    </row>
    <row r="1512" spans="1:6" x14ac:dyDescent="0.3">
      <c r="A1512">
        <v>2017</v>
      </c>
      <c r="B1512" t="s">
        <v>55</v>
      </c>
      <c r="C1512" t="s">
        <v>30</v>
      </c>
      <c r="D1512" s="1">
        <v>6287</v>
      </c>
      <c r="E1512" s="1">
        <v>27712</v>
      </c>
      <c r="F1512" s="2">
        <v>50369</v>
      </c>
    </row>
    <row r="1513" spans="1:6" x14ac:dyDescent="0.3">
      <c r="A1513">
        <v>2017</v>
      </c>
      <c r="B1513" t="s">
        <v>55</v>
      </c>
      <c r="C1513" t="s">
        <v>31</v>
      </c>
      <c r="D1513" s="1">
        <v>7053</v>
      </c>
      <c r="E1513" s="1">
        <v>51174</v>
      </c>
      <c r="F1513" s="2">
        <v>49634</v>
      </c>
    </row>
    <row r="1514" spans="1:6" x14ac:dyDescent="0.3">
      <c r="A1514">
        <v>2017</v>
      </c>
      <c r="B1514" t="s">
        <v>55</v>
      </c>
      <c r="C1514" t="s">
        <v>32</v>
      </c>
      <c r="D1514" s="1">
        <v>5859</v>
      </c>
      <c r="E1514" s="1">
        <v>82998</v>
      </c>
      <c r="F1514" s="2">
        <v>58071</v>
      </c>
    </row>
    <row r="1515" spans="1:6" x14ac:dyDescent="0.3">
      <c r="A1515">
        <v>2017</v>
      </c>
      <c r="B1515" t="s">
        <v>55</v>
      </c>
      <c r="C1515" t="s">
        <v>33</v>
      </c>
      <c r="D1515" s="1">
        <v>4363</v>
      </c>
      <c r="E1515" s="1">
        <v>26466</v>
      </c>
      <c r="F1515" s="2">
        <v>61497</v>
      </c>
    </row>
    <row r="1516" spans="1:6" x14ac:dyDescent="0.3">
      <c r="A1516">
        <v>2017</v>
      </c>
      <c r="B1516" t="s">
        <v>55</v>
      </c>
      <c r="C1516" t="s">
        <v>34</v>
      </c>
      <c r="D1516" s="1">
        <v>21672</v>
      </c>
      <c r="E1516" s="1">
        <v>154907</v>
      </c>
      <c r="F1516" s="2">
        <v>71145</v>
      </c>
    </row>
    <row r="1517" spans="1:6" x14ac:dyDescent="0.3">
      <c r="A1517">
        <v>2017</v>
      </c>
      <c r="B1517" t="s">
        <v>55</v>
      </c>
      <c r="C1517" t="s">
        <v>35</v>
      </c>
      <c r="D1517" s="1">
        <v>5141</v>
      </c>
      <c r="E1517" s="1">
        <v>45511</v>
      </c>
      <c r="F1517" s="2">
        <v>46369</v>
      </c>
    </row>
    <row r="1518" spans="1:6" x14ac:dyDescent="0.3">
      <c r="A1518">
        <v>2017</v>
      </c>
      <c r="B1518" t="s">
        <v>55</v>
      </c>
      <c r="C1518" t="s">
        <v>36</v>
      </c>
      <c r="D1518" s="1">
        <v>50064</v>
      </c>
      <c r="E1518" s="1">
        <v>386615</v>
      </c>
      <c r="F1518" s="2">
        <v>71408</v>
      </c>
    </row>
    <row r="1519" spans="1:6" x14ac:dyDescent="0.3">
      <c r="A1519">
        <v>2017</v>
      </c>
      <c r="B1519" t="s">
        <v>55</v>
      </c>
      <c r="C1519" t="s">
        <v>37</v>
      </c>
      <c r="D1519" s="1">
        <v>26057</v>
      </c>
      <c r="E1519" s="1">
        <v>208662</v>
      </c>
      <c r="F1519" s="2">
        <v>52372</v>
      </c>
    </row>
    <row r="1520" spans="1:6" x14ac:dyDescent="0.3">
      <c r="A1520">
        <v>2017</v>
      </c>
      <c r="B1520" t="s">
        <v>55</v>
      </c>
      <c r="C1520" t="s">
        <v>38</v>
      </c>
      <c r="D1520" s="1">
        <v>4035</v>
      </c>
      <c r="E1520" s="1">
        <v>26732</v>
      </c>
      <c r="F1520" s="2">
        <v>63029</v>
      </c>
    </row>
    <row r="1521" spans="1:6" x14ac:dyDescent="0.3">
      <c r="A1521">
        <v>2017</v>
      </c>
      <c r="B1521" t="s">
        <v>55</v>
      </c>
      <c r="C1521" t="s">
        <v>39</v>
      </c>
      <c r="D1521" s="1">
        <v>23022</v>
      </c>
      <c r="E1521" s="1">
        <v>217025</v>
      </c>
      <c r="F1521" s="2">
        <v>60831</v>
      </c>
    </row>
    <row r="1522" spans="1:6" x14ac:dyDescent="0.3">
      <c r="A1522">
        <v>2017</v>
      </c>
      <c r="B1522" t="s">
        <v>55</v>
      </c>
      <c r="C1522" t="s">
        <v>40</v>
      </c>
      <c r="D1522" s="1">
        <v>9823</v>
      </c>
      <c r="E1522" s="1">
        <v>77247</v>
      </c>
      <c r="F1522" s="2">
        <v>50585</v>
      </c>
    </row>
    <row r="1523" spans="1:6" x14ac:dyDescent="0.3">
      <c r="A1523">
        <v>2017</v>
      </c>
      <c r="B1523" t="s">
        <v>55</v>
      </c>
      <c r="C1523" t="s">
        <v>41</v>
      </c>
      <c r="D1523" s="1">
        <v>13468</v>
      </c>
      <c r="E1523" s="1">
        <v>96991</v>
      </c>
      <c r="F1523" s="2">
        <v>57987</v>
      </c>
    </row>
    <row r="1524" spans="1:6" x14ac:dyDescent="0.3">
      <c r="A1524">
        <v>2017</v>
      </c>
      <c r="B1524" t="s">
        <v>55</v>
      </c>
      <c r="C1524" t="s">
        <v>42</v>
      </c>
      <c r="D1524" s="1">
        <v>28397</v>
      </c>
      <c r="E1524" s="1">
        <v>248932</v>
      </c>
      <c r="F1524" s="2">
        <v>64769</v>
      </c>
    </row>
    <row r="1525" spans="1:6" x14ac:dyDescent="0.3">
      <c r="A1525">
        <v>2017</v>
      </c>
      <c r="B1525" t="s">
        <v>55</v>
      </c>
      <c r="C1525" t="s">
        <v>44</v>
      </c>
      <c r="D1525" s="1">
        <v>11635</v>
      </c>
      <c r="E1525" s="1">
        <v>100817</v>
      </c>
      <c r="F1525" s="2">
        <v>53542</v>
      </c>
    </row>
    <row r="1526" spans="1:6" x14ac:dyDescent="0.3">
      <c r="A1526">
        <v>2017</v>
      </c>
      <c r="B1526" t="s">
        <v>55</v>
      </c>
      <c r="C1526" t="s">
        <v>45</v>
      </c>
      <c r="D1526" s="1">
        <v>3883</v>
      </c>
      <c r="E1526" s="1">
        <v>22351</v>
      </c>
      <c r="F1526" s="2">
        <v>47385</v>
      </c>
    </row>
    <row r="1527" spans="1:6" x14ac:dyDescent="0.3">
      <c r="A1527">
        <v>2017</v>
      </c>
      <c r="B1527" t="s">
        <v>55</v>
      </c>
      <c r="C1527" t="s">
        <v>46</v>
      </c>
      <c r="D1527" s="1">
        <v>11745</v>
      </c>
      <c r="E1527" s="1">
        <v>119968</v>
      </c>
      <c r="F1527" s="2">
        <v>56642</v>
      </c>
    </row>
    <row r="1528" spans="1:6" x14ac:dyDescent="0.3">
      <c r="A1528">
        <v>2017</v>
      </c>
      <c r="B1528" t="s">
        <v>55</v>
      </c>
      <c r="C1528" t="s">
        <v>47</v>
      </c>
      <c r="D1528" s="1">
        <v>49310</v>
      </c>
      <c r="E1528" s="1">
        <v>711119</v>
      </c>
      <c r="F1528" s="2">
        <v>63219</v>
      </c>
    </row>
    <row r="1529" spans="1:6" x14ac:dyDescent="0.3">
      <c r="A1529">
        <v>2017</v>
      </c>
      <c r="B1529" t="s">
        <v>55</v>
      </c>
      <c r="C1529" t="s">
        <v>48</v>
      </c>
      <c r="D1529" s="1">
        <v>10886</v>
      </c>
      <c r="E1529" s="1">
        <v>97495</v>
      </c>
      <c r="F1529" s="2">
        <v>49132</v>
      </c>
    </row>
    <row r="1530" spans="1:6" x14ac:dyDescent="0.3">
      <c r="A1530">
        <v>2017</v>
      </c>
      <c r="B1530" t="s">
        <v>55</v>
      </c>
      <c r="C1530" t="s">
        <v>49</v>
      </c>
      <c r="D1530" s="1">
        <v>2865</v>
      </c>
      <c r="E1530" s="1">
        <v>15187</v>
      </c>
      <c r="F1530" s="2">
        <v>50125</v>
      </c>
    </row>
    <row r="1531" spans="1:6" x14ac:dyDescent="0.3">
      <c r="A1531">
        <v>2017</v>
      </c>
      <c r="B1531" t="s">
        <v>55</v>
      </c>
      <c r="C1531" t="s">
        <v>50</v>
      </c>
      <c r="D1531" s="1">
        <v>21256</v>
      </c>
      <c r="E1531" s="1">
        <v>192576</v>
      </c>
      <c r="F1531" s="2">
        <v>56166</v>
      </c>
    </row>
    <row r="1532" spans="1:6" x14ac:dyDescent="0.3">
      <c r="A1532">
        <v>2017</v>
      </c>
      <c r="B1532" t="s">
        <v>55</v>
      </c>
      <c r="C1532" t="s">
        <v>51</v>
      </c>
      <c r="D1532" s="1">
        <v>25279</v>
      </c>
      <c r="E1532" s="1">
        <v>187247</v>
      </c>
      <c r="F1532" s="2">
        <v>61249</v>
      </c>
    </row>
    <row r="1533" spans="1:6" x14ac:dyDescent="0.3">
      <c r="A1533">
        <v>2017</v>
      </c>
      <c r="B1533" t="s">
        <v>55</v>
      </c>
      <c r="C1533" t="s">
        <v>52</v>
      </c>
      <c r="D1533" s="1">
        <v>4402</v>
      </c>
      <c r="E1533" s="1">
        <v>31522</v>
      </c>
      <c r="F1533" s="2">
        <v>57987</v>
      </c>
    </row>
    <row r="1534" spans="1:6" x14ac:dyDescent="0.3">
      <c r="A1534">
        <v>2017</v>
      </c>
      <c r="B1534" t="s">
        <v>55</v>
      </c>
      <c r="C1534" t="s">
        <v>53</v>
      </c>
      <c r="D1534" s="1">
        <v>14158</v>
      </c>
      <c r="E1534" s="1">
        <v>117226</v>
      </c>
      <c r="F1534" s="2">
        <v>60136</v>
      </c>
    </row>
    <row r="1535" spans="1:6" x14ac:dyDescent="0.3">
      <c r="A1535">
        <v>2017</v>
      </c>
      <c r="B1535" t="s">
        <v>55</v>
      </c>
      <c r="C1535" t="s">
        <v>54</v>
      </c>
      <c r="D1535" s="1">
        <v>3427</v>
      </c>
      <c r="E1535" s="1">
        <v>19573</v>
      </c>
      <c r="F1535" s="2">
        <v>50877</v>
      </c>
    </row>
    <row r="1536" spans="1:6" x14ac:dyDescent="0.3">
      <c r="A1536">
        <v>2017</v>
      </c>
      <c r="B1536" t="s">
        <v>56</v>
      </c>
      <c r="C1536" t="s">
        <v>7</v>
      </c>
      <c r="D1536" s="1">
        <v>5447</v>
      </c>
      <c r="E1536" s="1">
        <v>263487</v>
      </c>
      <c r="F1536" s="2">
        <v>55197</v>
      </c>
    </row>
    <row r="1537" spans="1:6" x14ac:dyDescent="0.3">
      <c r="A1537">
        <v>2017</v>
      </c>
      <c r="B1537" t="s">
        <v>56</v>
      </c>
      <c r="C1537" t="s">
        <v>8</v>
      </c>
      <c r="D1537" s="1">
        <v>4657</v>
      </c>
      <c r="E1537" s="1">
        <v>162399</v>
      </c>
      <c r="F1537" s="2">
        <v>73528</v>
      </c>
    </row>
    <row r="1538" spans="1:6" x14ac:dyDescent="0.3">
      <c r="A1538">
        <v>2017</v>
      </c>
      <c r="B1538" t="s">
        <v>56</v>
      </c>
      <c r="C1538" t="s">
        <v>9</v>
      </c>
      <c r="D1538" s="1">
        <v>2928</v>
      </c>
      <c r="E1538" s="1">
        <v>157305</v>
      </c>
      <c r="F1538" s="2">
        <v>46766</v>
      </c>
    </row>
    <row r="1539" spans="1:6" x14ac:dyDescent="0.3">
      <c r="A1539">
        <v>2017</v>
      </c>
      <c r="B1539" t="s">
        <v>56</v>
      </c>
      <c r="C1539" t="s">
        <v>10</v>
      </c>
      <c r="D1539" s="1">
        <v>42215</v>
      </c>
      <c r="E1539" s="1">
        <v>1303550</v>
      </c>
      <c r="F1539" s="2">
        <v>92246</v>
      </c>
    </row>
    <row r="1540" spans="1:6" x14ac:dyDescent="0.3">
      <c r="A1540">
        <v>2017</v>
      </c>
      <c r="B1540" t="s">
        <v>56</v>
      </c>
      <c r="C1540" t="s">
        <v>11</v>
      </c>
      <c r="D1540" s="1">
        <v>5750</v>
      </c>
      <c r="E1540" s="1">
        <v>144067</v>
      </c>
      <c r="F1540" s="2">
        <v>69446</v>
      </c>
    </row>
    <row r="1541" spans="1:6" x14ac:dyDescent="0.3">
      <c r="A1541">
        <v>2017</v>
      </c>
      <c r="B1541" t="s">
        <v>56</v>
      </c>
      <c r="C1541" t="s">
        <v>12</v>
      </c>
      <c r="D1541" s="1">
        <v>4460</v>
      </c>
      <c r="E1541" s="1">
        <v>158891</v>
      </c>
      <c r="F1541" s="2">
        <v>81864</v>
      </c>
    </row>
    <row r="1542" spans="1:6" x14ac:dyDescent="0.3">
      <c r="A1542">
        <v>2017</v>
      </c>
      <c r="B1542" t="s">
        <v>56</v>
      </c>
      <c r="C1542" t="s">
        <v>13</v>
      </c>
      <c r="D1542">
        <v>688</v>
      </c>
      <c r="E1542" s="1">
        <v>25928</v>
      </c>
      <c r="F1542" s="2">
        <v>62417</v>
      </c>
    </row>
    <row r="1543" spans="1:6" x14ac:dyDescent="0.3">
      <c r="A1543">
        <v>2017</v>
      </c>
      <c r="B1543" t="s">
        <v>56</v>
      </c>
      <c r="C1543" t="s">
        <v>14</v>
      </c>
      <c r="D1543" s="1">
        <v>20513</v>
      </c>
      <c r="E1543" s="1">
        <v>363137</v>
      </c>
      <c r="F1543" s="2">
        <v>59389</v>
      </c>
    </row>
    <row r="1544" spans="1:6" x14ac:dyDescent="0.3">
      <c r="A1544">
        <v>2017</v>
      </c>
      <c r="B1544" t="s">
        <v>56</v>
      </c>
      <c r="C1544" t="s">
        <v>15</v>
      </c>
      <c r="D1544" s="1">
        <v>9745</v>
      </c>
      <c r="E1544" s="1">
        <v>395916</v>
      </c>
      <c r="F1544" s="2">
        <v>57889</v>
      </c>
    </row>
    <row r="1545" spans="1:6" x14ac:dyDescent="0.3">
      <c r="A1545">
        <v>2017</v>
      </c>
      <c r="B1545" t="s">
        <v>56</v>
      </c>
      <c r="C1545" t="s">
        <v>16</v>
      </c>
      <c r="D1545" s="1">
        <v>2750</v>
      </c>
      <c r="E1545" s="1">
        <v>66056</v>
      </c>
      <c r="F1545" s="2">
        <v>61543</v>
      </c>
    </row>
    <row r="1546" spans="1:6" x14ac:dyDescent="0.3">
      <c r="A1546">
        <v>2017</v>
      </c>
      <c r="B1546" t="s">
        <v>56</v>
      </c>
      <c r="C1546" t="s">
        <v>17</v>
      </c>
      <c r="D1546" s="1">
        <v>17979</v>
      </c>
      <c r="E1546" s="1">
        <v>574692</v>
      </c>
      <c r="F1546" s="2">
        <v>70174</v>
      </c>
    </row>
    <row r="1547" spans="1:6" x14ac:dyDescent="0.3">
      <c r="A1547">
        <v>2017</v>
      </c>
      <c r="B1547" t="s">
        <v>56</v>
      </c>
      <c r="C1547" t="s">
        <v>18</v>
      </c>
      <c r="D1547" s="1">
        <v>8554</v>
      </c>
      <c r="E1547" s="1">
        <v>531312</v>
      </c>
      <c r="F1547" s="2">
        <v>61118</v>
      </c>
    </row>
    <row r="1548" spans="1:6" x14ac:dyDescent="0.3">
      <c r="A1548">
        <v>2017</v>
      </c>
      <c r="B1548" t="s">
        <v>56</v>
      </c>
      <c r="C1548" t="s">
        <v>19</v>
      </c>
      <c r="D1548" s="1">
        <v>4125</v>
      </c>
      <c r="E1548" s="1">
        <v>215910</v>
      </c>
      <c r="F1548" s="2">
        <v>58617</v>
      </c>
    </row>
    <row r="1549" spans="1:6" x14ac:dyDescent="0.3">
      <c r="A1549">
        <v>2017</v>
      </c>
      <c r="B1549" t="s">
        <v>56</v>
      </c>
      <c r="C1549" t="s">
        <v>20</v>
      </c>
      <c r="D1549" s="1">
        <v>3164</v>
      </c>
      <c r="E1549" s="1">
        <v>161517</v>
      </c>
      <c r="F1549" s="2">
        <v>57532</v>
      </c>
    </row>
    <row r="1550" spans="1:6" x14ac:dyDescent="0.3">
      <c r="A1550">
        <v>2017</v>
      </c>
      <c r="B1550" t="s">
        <v>56</v>
      </c>
      <c r="C1550" t="s">
        <v>21</v>
      </c>
      <c r="D1550" s="1">
        <v>4368</v>
      </c>
      <c r="E1550" s="1">
        <v>250180</v>
      </c>
      <c r="F1550" s="2">
        <v>58143</v>
      </c>
    </row>
    <row r="1551" spans="1:6" x14ac:dyDescent="0.3">
      <c r="A1551">
        <v>2017</v>
      </c>
      <c r="B1551" t="s">
        <v>56</v>
      </c>
      <c r="C1551" t="s">
        <v>22</v>
      </c>
      <c r="D1551" s="1">
        <v>4464</v>
      </c>
      <c r="E1551" s="1">
        <v>134680</v>
      </c>
      <c r="F1551" s="2">
        <v>72604</v>
      </c>
    </row>
    <row r="1552" spans="1:6" x14ac:dyDescent="0.3">
      <c r="A1552">
        <v>2017</v>
      </c>
      <c r="B1552" t="s">
        <v>56</v>
      </c>
      <c r="C1552" t="s">
        <v>23</v>
      </c>
      <c r="D1552" s="1">
        <v>1877</v>
      </c>
      <c r="E1552" s="1">
        <v>50911</v>
      </c>
      <c r="F1552" s="2">
        <v>55458</v>
      </c>
    </row>
    <row r="1553" spans="1:6" x14ac:dyDescent="0.3">
      <c r="A1553">
        <v>2017</v>
      </c>
      <c r="B1553" t="s">
        <v>56</v>
      </c>
      <c r="C1553" t="s">
        <v>24</v>
      </c>
      <c r="D1553" s="1">
        <v>3901</v>
      </c>
      <c r="E1553" s="1">
        <v>106864</v>
      </c>
      <c r="F1553" s="2">
        <v>77289</v>
      </c>
    </row>
    <row r="1554" spans="1:6" x14ac:dyDescent="0.3">
      <c r="A1554">
        <v>2017</v>
      </c>
      <c r="B1554" t="s">
        <v>56</v>
      </c>
      <c r="C1554" t="s">
        <v>25</v>
      </c>
      <c r="D1554" s="1">
        <v>6850</v>
      </c>
      <c r="E1554" s="1">
        <v>244647</v>
      </c>
      <c r="F1554" s="2">
        <v>88132</v>
      </c>
    </row>
    <row r="1555" spans="1:6" x14ac:dyDescent="0.3">
      <c r="A1555">
        <v>2017</v>
      </c>
      <c r="B1555" t="s">
        <v>56</v>
      </c>
      <c r="C1555" t="s">
        <v>26</v>
      </c>
      <c r="D1555" s="1">
        <v>15721</v>
      </c>
      <c r="E1555" s="1">
        <v>615106</v>
      </c>
      <c r="F1555" s="2">
        <v>66395</v>
      </c>
    </row>
    <row r="1556" spans="1:6" x14ac:dyDescent="0.3">
      <c r="A1556">
        <v>2017</v>
      </c>
      <c r="B1556" t="s">
        <v>56</v>
      </c>
      <c r="C1556" t="s">
        <v>27</v>
      </c>
      <c r="D1556" s="1">
        <v>8369</v>
      </c>
      <c r="E1556" s="1">
        <v>319035</v>
      </c>
      <c r="F1556" s="2">
        <v>65734</v>
      </c>
    </row>
    <row r="1557" spans="1:6" x14ac:dyDescent="0.3">
      <c r="A1557">
        <v>2017</v>
      </c>
      <c r="B1557" t="s">
        <v>56</v>
      </c>
      <c r="C1557" t="s">
        <v>28</v>
      </c>
      <c r="D1557" s="1">
        <v>2441</v>
      </c>
      <c r="E1557" s="1">
        <v>144047</v>
      </c>
      <c r="F1557" s="2">
        <v>48199</v>
      </c>
    </row>
    <row r="1558" spans="1:6" x14ac:dyDescent="0.3">
      <c r="A1558">
        <v>2017</v>
      </c>
      <c r="B1558" t="s">
        <v>56</v>
      </c>
      <c r="C1558" t="s">
        <v>29</v>
      </c>
      <c r="D1558" s="1">
        <v>6636</v>
      </c>
      <c r="E1558" s="1">
        <v>265863</v>
      </c>
      <c r="F1558" s="2">
        <v>57139</v>
      </c>
    </row>
    <row r="1559" spans="1:6" x14ac:dyDescent="0.3">
      <c r="A1559">
        <v>2017</v>
      </c>
      <c r="B1559" t="s">
        <v>56</v>
      </c>
      <c r="C1559" t="s">
        <v>30</v>
      </c>
      <c r="D1559" s="1">
        <v>1572</v>
      </c>
      <c r="E1559" s="1">
        <v>19893</v>
      </c>
      <c r="F1559" s="2">
        <v>48758</v>
      </c>
    </row>
    <row r="1560" spans="1:6" x14ac:dyDescent="0.3">
      <c r="A1560">
        <v>2017</v>
      </c>
      <c r="B1560" t="s">
        <v>56</v>
      </c>
      <c r="C1560" t="s">
        <v>31</v>
      </c>
      <c r="D1560" s="1">
        <v>1977</v>
      </c>
      <c r="E1560" s="1">
        <v>98082</v>
      </c>
      <c r="F1560" s="2">
        <v>49568</v>
      </c>
    </row>
    <row r="1561" spans="1:6" x14ac:dyDescent="0.3">
      <c r="A1561">
        <v>2017</v>
      </c>
      <c r="B1561" t="s">
        <v>56</v>
      </c>
      <c r="C1561" t="s">
        <v>32</v>
      </c>
      <c r="D1561" s="1">
        <v>2043</v>
      </c>
      <c r="E1561" s="1">
        <v>47800</v>
      </c>
      <c r="F1561" s="2">
        <v>56486</v>
      </c>
    </row>
    <row r="1562" spans="1:6" x14ac:dyDescent="0.3">
      <c r="A1562">
        <v>2017</v>
      </c>
      <c r="B1562" t="s">
        <v>56</v>
      </c>
      <c r="C1562" t="s">
        <v>33</v>
      </c>
      <c r="D1562" s="1">
        <v>2011</v>
      </c>
      <c r="E1562" s="1">
        <v>68971</v>
      </c>
      <c r="F1562" s="2">
        <v>70482</v>
      </c>
    </row>
    <row r="1563" spans="1:6" x14ac:dyDescent="0.3">
      <c r="A1563">
        <v>2017</v>
      </c>
      <c r="B1563" t="s">
        <v>56</v>
      </c>
      <c r="C1563" t="s">
        <v>34</v>
      </c>
      <c r="D1563" s="1">
        <v>8962</v>
      </c>
      <c r="E1563" s="1">
        <v>242476</v>
      </c>
      <c r="F1563" s="2">
        <v>78813</v>
      </c>
    </row>
    <row r="1564" spans="1:6" x14ac:dyDescent="0.3">
      <c r="A1564">
        <v>2017</v>
      </c>
      <c r="B1564" t="s">
        <v>56</v>
      </c>
      <c r="C1564" t="s">
        <v>35</v>
      </c>
      <c r="D1564" s="1">
        <v>1724</v>
      </c>
      <c r="E1564" s="1">
        <v>26398</v>
      </c>
      <c r="F1564" s="2">
        <v>53328</v>
      </c>
    </row>
    <row r="1565" spans="1:6" x14ac:dyDescent="0.3">
      <c r="A1565">
        <v>2017</v>
      </c>
      <c r="B1565" t="s">
        <v>56</v>
      </c>
      <c r="C1565" t="s">
        <v>36</v>
      </c>
      <c r="D1565" s="1">
        <v>17319</v>
      </c>
      <c r="E1565" s="1">
        <v>444182</v>
      </c>
      <c r="F1565" s="2">
        <v>65899</v>
      </c>
    </row>
    <row r="1566" spans="1:6" x14ac:dyDescent="0.3">
      <c r="A1566">
        <v>2017</v>
      </c>
      <c r="B1566" t="s">
        <v>56</v>
      </c>
      <c r="C1566" t="s">
        <v>37</v>
      </c>
      <c r="D1566" s="1">
        <v>10287</v>
      </c>
      <c r="E1566" s="1">
        <v>467306</v>
      </c>
      <c r="F1566" s="2">
        <v>58368</v>
      </c>
    </row>
    <row r="1567" spans="1:6" x14ac:dyDescent="0.3">
      <c r="A1567">
        <v>2017</v>
      </c>
      <c r="B1567" t="s">
        <v>56</v>
      </c>
      <c r="C1567" t="s">
        <v>38</v>
      </c>
      <c r="D1567">
        <v>810</v>
      </c>
      <c r="E1567" s="1">
        <v>24680</v>
      </c>
      <c r="F1567" s="2">
        <v>52594</v>
      </c>
    </row>
    <row r="1568" spans="1:6" x14ac:dyDescent="0.3">
      <c r="A1568">
        <v>2017</v>
      </c>
      <c r="B1568" t="s">
        <v>56</v>
      </c>
      <c r="C1568" t="s">
        <v>39</v>
      </c>
      <c r="D1568" s="1">
        <v>15430</v>
      </c>
      <c r="E1568" s="1">
        <v>685942</v>
      </c>
      <c r="F1568" s="2">
        <v>60002</v>
      </c>
    </row>
    <row r="1569" spans="1:6" x14ac:dyDescent="0.3">
      <c r="A1569">
        <v>2017</v>
      </c>
      <c r="B1569" t="s">
        <v>56</v>
      </c>
      <c r="C1569" t="s">
        <v>40</v>
      </c>
      <c r="D1569" s="1">
        <v>4230</v>
      </c>
      <c r="E1569" s="1">
        <v>128122</v>
      </c>
      <c r="F1569" s="2">
        <v>55496</v>
      </c>
    </row>
    <row r="1570" spans="1:6" x14ac:dyDescent="0.3">
      <c r="A1570">
        <v>2017</v>
      </c>
      <c r="B1570" t="s">
        <v>56</v>
      </c>
      <c r="C1570" t="s">
        <v>41</v>
      </c>
      <c r="D1570" s="1">
        <v>6175</v>
      </c>
      <c r="E1570" s="1">
        <v>189318</v>
      </c>
      <c r="F1570" s="2">
        <v>68161</v>
      </c>
    </row>
    <row r="1571" spans="1:6" x14ac:dyDescent="0.3">
      <c r="A1571">
        <v>2017</v>
      </c>
      <c r="B1571" t="s">
        <v>56</v>
      </c>
      <c r="C1571" t="s">
        <v>42</v>
      </c>
      <c r="D1571" s="1">
        <v>14414</v>
      </c>
      <c r="E1571" s="1">
        <v>561774</v>
      </c>
      <c r="F1571" s="2">
        <v>61111</v>
      </c>
    </row>
    <row r="1572" spans="1:6" x14ac:dyDescent="0.3">
      <c r="A1572">
        <v>2017</v>
      </c>
      <c r="B1572" t="s">
        <v>56</v>
      </c>
      <c r="C1572" t="s">
        <v>43</v>
      </c>
      <c r="D1572" s="1">
        <v>1567</v>
      </c>
      <c r="E1572" s="1">
        <v>40341</v>
      </c>
      <c r="F1572" s="2">
        <v>57616</v>
      </c>
    </row>
    <row r="1573" spans="1:6" x14ac:dyDescent="0.3">
      <c r="A1573">
        <v>2017</v>
      </c>
      <c r="B1573" t="s">
        <v>56</v>
      </c>
      <c r="C1573" t="s">
        <v>44</v>
      </c>
      <c r="D1573" s="1">
        <v>5906</v>
      </c>
      <c r="E1573" s="1">
        <v>240456</v>
      </c>
      <c r="F1573" s="2">
        <v>58927</v>
      </c>
    </row>
    <row r="1574" spans="1:6" x14ac:dyDescent="0.3">
      <c r="A1574">
        <v>2017</v>
      </c>
      <c r="B1574" t="s">
        <v>56</v>
      </c>
      <c r="C1574" t="s">
        <v>45</v>
      </c>
      <c r="D1574" s="1">
        <v>1091</v>
      </c>
      <c r="E1574" s="1">
        <v>43081</v>
      </c>
      <c r="F1574" s="2">
        <v>47877</v>
      </c>
    </row>
    <row r="1575" spans="1:6" x14ac:dyDescent="0.3">
      <c r="A1575">
        <v>2017</v>
      </c>
      <c r="B1575" t="s">
        <v>56</v>
      </c>
      <c r="C1575" t="s">
        <v>46</v>
      </c>
      <c r="D1575" s="1">
        <v>6835</v>
      </c>
      <c r="E1575" s="1">
        <v>348417</v>
      </c>
      <c r="F1575" s="2">
        <v>59526</v>
      </c>
    </row>
    <row r="1576" spans="1:6" x14ac:dyDescent="0.3">
      <c r="A1576">
        <v>2017</v>
      </c>
      <c r="B1576" t="s">
        <v>56</v>
      </c>
      <c r="C1576" t="s">
        <v>47</v>
      </c>
      <c r="D1576" s="1">
        <v>24275</v>
      </c>
      <c r="E1576" s="1">
        <v>851513</v>
      </c>
      <c r="F1576" s="2">
        <v>75813</v>
      </c>
    </row>
    <row r="1577" spans="1:6" x14ac:dyDescent="0.3">
      <c r="A1577">
        <v>2017</v>
      </c>
      <c r="B1577" t="s">
        <v>56</v>
      </c>
      <c r="C1577" t="s">
        <v>48</v>
      </c>
      <c r="D1577" s="1">
        <v>4248</v>
      </c>
      <c r="E1577" s="1">
        <v>128365</v>
      </c>
      <c r="F1577" s="2">
        <v>56723</v>
      </c>
    </row>
    <row r="1578" spans="1:6" x14ac:dyDescent="0.3">
      <c r="A1578">
        <v>2017</v>
      </c>
      <c r="B1578" t="s">
        <v>56</v>
      </c>
      <c r="C1578" t="s">
        <v>49</v>
      </c>
      <c r="D1578" s="1">
        <v>1105</v>
      </c>
      <c r="E1578" s="1">
        <v>29550</v>
      </c>
      <c r="F1578" s="2">
        <v>58004</v>
      </c>
    </row>
    <row r="1579" spans="1:6" x14ac:dyDescent="0.3">
      <c r="A1579">
        <v>2017</v>
      </c>
      <c r="B1579" t="s">
        <v>56</v>
      </c>
      <c r="C1579" t="s">
        <v>50</v>
      </c>
      <c r="D1579" s="1">
        <v>6475</v>
      </c>
      <c r="E1579" s="1">
        <v>232927</v>
      </c>
      <c r="F1579" s="2">
        <v>57894</v>
      </c>
    </row>
    <row r="1580" spans="1:6" x14ac:dyDescent="0.3">
      <c r="A1580">
        <v>2017</v>
      </c>
      <c r="B1580" t="s">
        <v>56</v>
      </c>
      <c r="C1580" t="s">
        <v>51</v>
      </c>
      <c r="D1580" s="1">
        <v>7671</v>
      </c>
      <c r="E1580" s="1">
        <v>280368</v>
      </c>
      <c r="F1580" s="2">
        <v>76290</v>
      </c>
    </row>
    <row r="1581" spans="1:6" x14ac:dyDescent="0.3">
      <c r="A1581">
        <v>2017</v>
      </c>
      <c r="B1581" t="s">
        <v>56</v>
      </c>
      <c r="C1581" t="s">
        <v>52</v>
      </c>
      <c r="D1581" s="1">
        <v>1272</v>
      </c>
      <c r="E1581" s="1">
        <v>46575</v>
      </c>
      <c r="F1581" s="2">
        <v>58624</v>
      </c>
    </row>
    <row r="1582" spans="1:6" x14ac:dyDescent="0.3">
      <c r="A1582">
        <v>2017</v>
      </c>
      <c r="B1582" t="s">
        <v>56</v>
      </c>
      <c r="C1582" t="s">
        <v>53</v>
      </c>
      <c r="D1582" s="1">
        <v>9356</v>
      </c>
      <c r="E1582" s="1">
        <v>466595</v>
      </c>
      <c r="F1582" s="2">
        <v>57001</v>
      </c>
    </row>
    <row r="1583" spans="1:6" x14ac:dyDescent="0.3">
      <c r="A1583">
        <v>2017</v>
      </c>
      <c r="B1583" t="s">
        <v>56</v>
      </c>
      <c r="C1583" t="s">
        <v>54</v>
      </c>
      <c r="D1583">
        <v>598</v>
      </c>
      <c r="E1583" s="1">
        <v>9378</v>
      </c>
      <c r="F1583" s="2">
        <v>65834</v>
      </c>
    </row>
    <row r="1584" spans="1:6" x14ac:dyDescent="0.3">
      <c r="A1584">
        <v>2017</v>
      </c>
      <c r="B1584" t="s">
        <v>57</v>
      </c>
      <c r="C1584" t="s">
        <v>7</v>
      </c>
      <c r="D1584" s="1">
        <v>32410</v>
      </c>
      <c r="E1584" s="1">
        <v>375653</v>
      </c>
      <c r="F1584" s="2">
        <v>40518</v>
      </c>
    </row>
    <row r="1585" spans="1:6" x14ac:dyDescent="0.3">
      <c r="A1585">
        <v>2017</v>
      </c>
      <c r="B1585" t="s">
        <v>57</v>
      </c>
      <c r="C1585" t="s">
        <v>8</v>
      </c>
      <c r="D1585" s="1">
        <v>29489</v>
      </c>
      <c r="E1585" s="1">
        <v>518475</v>
      </c>
      <c r="F1585" s="2">
        <v>45126</v>
      </c>
    </row>
    <row r="1586" spans="1:6" x14ac:dyDescent="0.3">
      <c r="A1586">
        <v>2017</v>
      </c>
      <c r="B1586" t="s">
        <v>57</v>
      </c>
      <c r="C1586" t="s">
        <v>9</v>
      </c>
      <c r="D1586" s="1">
        <v>21486</v>
      </c>
      <c r="E1586" s="1">
        <v>247661</v>
      </c>
      <c r="F1586" s="2">
        <v>40275</v>
      </c>
    </row>
    <row r="1587" spans="1:6" x14ac:dyDescent="0.3">
      <c r="A1587">
        <v>2017</v>
      </c>
      <c r="B1587" t="s">
        <v>57</v>
      </c>
      <c r="C1587" t="s">
        <v>10</v>
      </c>
      <c r="D1587" s="1">
        <v>185826</v>
      </c>
      <c r="E1587" s="1">
        <v>3010983</v>
      </c>
      <c r="F1587" s="2">
        <v>51095</v>
      </c>
    </row>
    <row r="1588" spans="1:6" x14ac:dyDescent="0.3">
      <c r="A1588">
        <v>2017</v>
      </c>
      <c r="B1588" t="s">
        <v>57</v>
      </c>
      <c r="C1588" t="s">
        <v>11</v>
      </c>
      <c r="D1588" s="1">
        <v>35715</v>
      </c>
      <c r="E1588" s="1">
        <v>458174</v>
      </c>
      <c r="F1588" s="2">
        <v>48601</v>
      </c>
    </row>
    <row r="1589" spans="1:6" x14ac:dyDescent="0.3">
      <c r="A1589">
        <v>2017</v>
      </c>
      <c r="B1589" t="s">
        <v>57</v>
      </c>
      <c r="C1589" t="s">
        <v>12</v>
      </c>
      <c r="D1589" s="1">
        <v>25027</v>
      </c>
      <c r="E1589" s="1">
        <v>297198</v>
      </c>
      <c r="F1589" s="2">
        <v>50064</v>
      </c>
    </row>
    <row r="1590" spans="1:6" x14ac:dyDescent="0.3">
      <c r="A1590">
        <v>2017</v>
      </c>
      <c r="B1590" t="s">
        <v>57</v>
      </c>
      <c r="C1590" t="s">
        <v>13</v>
      </c>
      <c r="D1590" s="1">
        <v>6681</v>
      </c>
      <c r="E1590" s="1">
        <v>79724</v>
      </c>
      <c r="F1590" s="2">
        <v>39700</v>
      </c>
    </row>
    <row r="1591" spans="1:6" x14ac:dyDescent="0.3">
      <c r="A1591">
        <v>2017</v>
      </c>
      <c r="B1591" t="s">
        <v>57</v>
      </c>
      <c r="C1591" t="s">
        <v>14</v>
      </c>
      <c r="D1591" s="1">
        <v>139501</v>
      </c>
      <c r="E1591" s="1">
        <v>1739867</v>
      </c>
      <c r="F1591" s="2">
        <v>43229</v>
      </c>
    </row>
    <row r="1592" spans="1:6" x14ac:dyDescent="0.3">
      <c r="A1592">
        <v>2017</v>
      </c>
      <c r="B1592" t="s">
        <v>57</v>
      </c>
      <c r="C1592" t="s">
        <v>15</v>
      </c>
      <c r="D1592" s="1">
        <v>60382</v>
      </c>
      <c r="E1592" s="1">
        <v>930943</v>
      </c>
      <c r="F1592" s="2">
        <v>48763</v>
      </c>
    </row>
    <row r="1593" spans="1:6" x14ac:dyDescent="0.3">
      <c r="A1593">
        <v>2017</v>
      </c>
      <c r="B1593" t="s">
        <v>57</v>
      </c>
      <c r="C1593" t="s">
        <v>16</v>
      </c>
      <c r="D1593" s="1">
        <v>11706</v>
      </c>
      <c r="E1593" s="1">
        <v>136606</v>
      </c>
      <c r="F1593" s="2">
        <v>38856</v>
      </c>
    </row>
    <row r="1594" spans="1:6" x14ac:dyDescent="0.3">
      <c r="A1594">
        <v>2017</v>
      </c>
      <c r="B1594" t="s">
        <v>57</v>
      </c>
      <c r="C1594" t="s">
        <v>17</v>
      </c>
      <c r="D1594" s="1">
        <v>77273</v>
      </c>
      <c r="E1594" s="1">
        <v>1192805</v>
      </c>
      <c r="F1594" s="2">
        <v>50025</v>
      </c>
    </row>
    <row r="1595" spans="1:6" x14ac:dyDescent="0.3">
      <c r="A1595">
        <v>2017</v>
      </c>
      <c r="B1595" t="s">
        <v>57</v>
      </c>
      <c r="C1595" t="s">
        <v>18</v>
      </c>
      <c r="D1595" s="1">
        <v>40630</v>
      </c>
      <c r="E1595" s="1">
        <v>588381</v>
      </c>
      <c r="F1595" s="2">
        <v>40479</v>
      </c>
    </row>
    <row r="1596" spans="1:6" x14ac:dyDescent="0.3">
      <c r="A1596">
        <v>2017</v>
      </c>
      <c r="B1596" t="s">
        <v>57</v>
      </c>
      <c r="C1596" t="s">
        <v>19</v>
      </c>
      <c r="D1596" s="1">
        <v>23446</v>
      </c>
      <c r="E1596" s="1">
        <v>311763</v>
      </c>
      <c r="F1596" s="2">
        <v>39025</v>
      </c>
    </row>
    <row r="1597" spans="1:6" x14ac:dyDescent="0.3">
      <c r="A1597">
        <v>2017</v>
      </c>
      <c r="B1597" t="s">
        <v>57</v>
      </c>
      <c r="C1597" t="s">
        <v>20</v>
      </c>
      <c r="D1597" s="1">
        <v>20676</v>
      </c>
      <c r="E1597" s="1">
        <v>263529</v>
      </c>
      <c r="F1597" s="2">
        <v>40705</v>
      </c>
    </row>
    <row r="1598" spans="1:6" x14ac:dyDescent="0.3">
      <c r="A1598">
        <v>2017</v>
      </c>
      <c r="B1598" t="s">
        <v>57</v>
      </c>
      <c r="C1598" t="s">
        <v>21</v>
      </c>
      <c r="D1598" s="1">
        <v>27941</v>
      </c>
      <c r="E1598" s="1">
        <v>398217</v>
      </c>
      <c r="F1598" s="2">
        <v>41261</v>
      </c>
    </row>
    <row r="1599" spans="1:6" x14ac:dyDescent="0.3">
      <c r="A1599">
        <v>2017</v>
      </c>
      <c r="B1599" t="s">
        <v>57</v>
      </c>
      <c r="C1599" t="s">
        <v>22</v>
      </c>
      <c r="D1599" s="1">
        <v>30444</v>
      </c>
      <c r="E1599" s="1">
        <v>378830</v>
      </c>
      <c r="F1599" s="2">
        <v>40938</v>
      </c>
    </row>
    <row r="1600" spans="1:6" x14ac:dyDescent="0.3">
      <c r="A1600">
        <v>2017</v>
      </c>
      <c r="B1600" t="s">
        <v>57</v>
      </c>
      <c r="C1600" t="s">
        <v>23</v>
      </c>
      <c r="D1600" s="1">
        <v>11060</v>
      </c>
      <c r="E1600" s="1">
        <v>119329</v>
      </c>
      <c r="F1600" s="2">
        <v>36287</v>
      </c>
    </row>
    <row r="1601" spans="1:6" x14ac:dyDescent="0.3">
      <c r="A1601">
        <v>2017</v>
      </c>
      <c r="B1601" t="s">
        <v>57</v>
      </c>
      <c r="C1601" t="s">
        <v>24</v>
      </c>
      <c r="D1601" s="1">
        <v>33064</v>
      </c>
      <c r="E1601" s="1">
        <v>462131</v>
      </c>
      <c r="F1601" s="2">
        <v>45367</v>
      </c>
    </row>
    <row r="1602" spans="1:6" x14ac:dyDescent="0.3">
      <c r="A1602">
        <v>2017</v>
      </c>
      <c r="B1602" t="s">
        <v>57</v>
      </c>
      <c r="C1602" t="s">
        <v>25</v>
      </c>
      <c r="D1602" s="1">
        <v>42906</v>
      </c>
      <c r="E1602" s="1">
        <v>577319</v>
      </c>
      <c r="F1602" s="2">
        <v>51500</v>
      </c>
    </row>
    <row r="1603" spans="1:6" x14ac:dyDescent="0.3">
      <c r="A1603">
        <v>2017</v>
      </c>
      <c r="B1603" t="s">
        <v>57</v>
      </c>
      <c r="C1603" t="s">
        <v>26</v>
      </c>
      <c r="D1603" s="1">
        <v>52149</v>
      </c>
      <c r="E1603" s="1">
        <v>784393</v>
      </c>
      <c r="F1603" s="2">
        <v>45628</v>
      </c>
    </row>
    <row r="1604" spans="1:6" x14ac:dyDescent="0.3">
      <c r="A1604">
        <v>2017</v>
      </c>
      <c r="B1604" t="s">
        <v>57</v>
      </c>
      <c r="C1604" t="s">
        <v>27</v>
      </c>
      <c r="D1604" s="1">
        <v>36334</v>
      </c>
      <c r="E1604" s="1">
        <v>531926</v>
      </c>
      <c r="F1604" s="2">
        <v>48273</v>
      </c>
    </row>
    <row r="1605" spans="1:6" x14ac:dyDescent="0.3">
      <c r="A1605">
        <v>2017</v>
      </c>
      <c r="B1605" t="s">
        <v>57</v>
      </c>
      <c r="C1605" t="s">
        <v>28</v>
      </c>
      <c r="D1605" s="1">
        <v>19589</v>
      </c>
      <c r="E1605" s="1">
        <v>229775</v>
      </c>
      <c r="F1605" s="2">
        <v>35324</v>
      </c>
    </row>
    <row r="1606" spans="1:6" x14ac:dyDescent="0.3">
      <c r="A1606">
        <v>2017</v>
      </c>
      <c r="B1606" t="s">
        <v>57</v>
      </c>
      <c r="C1606" t="s">
        <v>29</v>
      </c>
      <c r="D1606" s="1">
        <v>40324</v>
      </c>
      <c r="E1606" s="1">
        <v>538185</v>
      </c>
      <c r="F1606" s="2">
        <v>41095</v>
      </c>
    </row>
    <row r="1607" spans="1:6" x14ac:dyDescent="0.3">
      <c r="A1607">
        <v>2017</v>
      </c>
      <c r="B1607" t="s">
        <v>57</v>
      </c>
      <c r="C1607" t="s">
        <v>30</v>
      </c>
      <c r="D1607" s="1">
        <v>9270</v>
      </c>
      <c r="E1607" s="1">
        <v>91194</v>
      </c>
      <c r="F1607" s="2">
        <v>38067</v>
      </c>
    </row>
    <row r="1608" spans="1:6" x14ac:dyDescent="0.3">
      <c r="A1608">
        <v>2017</v>
      </c>
      <c r="B1608" t="s">
        <v>57</v>
      </c>
      <c r="C1608" t="s">
        <v>31</v>
      </c>
      <c r="D1608" s="1">
        <v>15024</v>
      </c>
      <c r="E1608" s="1">
        <v>190930</v>
      </c>
      <c r="F1608" s="2">
        <v>38493</v>
      </c>
    </row>
    <row r="1609" spans="1:6" x14ac:dyDescent="0.3">
      <c r="A1609">
        <v>2017</v>
      </c>
      <c r="B1609" t="s">
        <v>57</v>
      </c>
      <c r="C1609" t="s">
        <v>32</v>
      </c>
      <c r="D1609" s="1">
        <v>15910</v>
      </c>
      <c r="E1609" s="1">
        <v>247973</v>
      </c>
      <c r="F1609" s="2">
        <v>42847</v>
      </c>
    </row>
    <row r="1610" spans="1:6" x14ac:dyDescent="0.3">
      <c r="A1610">
        <v>2017</v>
      </c>
      <c r="B1610" t="s">
        <v>57</v>
      </c>
      <c r="C1610" t="s">
        <v>33</v>
      </c>
      <c r="D1610" s="1">
        <v>12612</v>
      </c>
      <c r="E1610" s="1">
        <v>139876</v>
      </c>
      <c r="F1610" s="2">
        <v>46101</v>
      </c>
    </row>
    <row r="1611" spans="1:6" x14ac:dyDescent="0.3">
      <c r="A1611">
        <v>2017</v>
      </c>
      <c r="B1611" t="s">
        <v>57</v>
      </c>
      <c r="C1611" t="s">
        <v>34</v>
      </c>
      <c r="D1611" s="1">
        <v>53977</v>
      </c>
      <c r="E1611" s="1">
        <v>872180</v>
      </c>
      <c r="F1611" s="2">
        <v>52631</v>
      </c>
    </row>
    <row r="1612" spans="1:6" x14ac:dyDescent="0.3">
      <c r="A1612">
        <v>2017</v>
      </c>
      <c r="B1612" t="s">
        <v>57</v>
      </c>
      <c r="C1612" t="s">
        <v>35</v>
      </c>
      <c r="D1612" s="1">
        <v>10538</v>
      </c>
      <c r="E1612" s="1">
        <v>134696</v>
      </c>
      <c r="F1612" s="2">
        <v>36519</v>
      </c>
    </row>
    <row r="1613" spans="1:6" x14ac:dyDescent="0.3">
      <c r="A1613">
        <v>2017</v>
      </c>
      <c r="B1613" t="s">
        <v>57</v>
      </c>
      <c r="C1613" t="s">
        <v>36</v>
      </c>
      <c r="D1613" s="1">
        <v>126549</v>
      </c>
      <c r="E1613" s="1">
        <v>1562385</v>
      </c>
      <c r="F1613" s="2">
        <v>50389</v>
      </c>
    </row>
    <row r="1614" spans="1:6" x14ac:dyDescent="0.3">
      <c r="A1614">
        <v>2017</v>
      </c>
      <c r="B1614" t="s">
        <v>57</v>
      </c>
      <c r="C1614" t="s">
        <v>37</v>
      </c>
      <c r="D1614" s="1">
        <v>61042</v>
      </c>
      <c r="E1614" s="1">
        <v>824989</v>
      </c>
      <c r="F1614" s="2">
        <v>41845</v>
      </c>
    </row>
    <row r="1615" spans="1:6" x14ac:dyDescent="0.3">
      <c r="A1615">
        <v>2017</v>
      </c>
      <c r="B1615" t="s">
        <v>57</v>
      </c>
      <c r="C1615" t="s">
        <v>38</v>
      </c>
      <c r="D1615" s="1">
        <v>7819</v>
      </c>
      <c r="E1615" s="1">
        <v>92052</v>
      </c>
      <c r="F1615" s="2">
        <v>47910</v>
      </c>
    </row>
    <row r="1616" spans="1:6" x14ac:dyDescent="0.3">
      <c r="A1616">
        <v>2017</v>
      </c>
      <c r="B1616" t="s">
        <v>57</v>
      </c>
      <c r="C1616" t="s">
        <v>39</v>
      </c>
      <c r="D1616" s="1">
        <v>68763</v>
      </c>
      <c r="E1616" s="1">
        <v>1018161</v>
      </c>
      <c r="F1616" s="2">
        <v>42564</v>
      </c>
    </row>
    <row r="1617" spans="1:6" x14ac:dyDescent="0.3">
      <c r="A1617">
        <v>2017</v>
      </c>
      <c r="B1617" t="s">
        <v>57</v>
      </c>
      <c r="C1617" t="s">
        <v>40</v>
      </c>
      <c r="D1617" s="1">
        <v>23838</v>
      </c>
      <c r="E1617" s="1">
        <v>301165</v>
      </c>
      <c r="F1617" s="2">
        <v>41040</v>
      </c>
    </row>
    <row r="1618" spans="1:6" x14ac:dyDescent="0.3">
      <c r="A1618">
        <v>2017</v>
      </c>
      <c r="B1618" t="s">
        <v>57</v>
      </c>
      <c r="C1618" t="s">
        <v>41</v>
      </c>
      <c r="D1618" s="1">
        <v>26684</v>
      </c>
      <c r="E1618" s="1">
        <v>347515</v>
      </c>
      <c r="F1618" s="2">
        <v>42870</v>
      </c>
    </row>
    <row r="1619" spans="1:6" x14ac:dyDescent="0.3">
      <c r="A1619">
        <v>2017</v>
      </c>
      <c r="B1619" t="s">
        <v>57</v>
      </c>
      <c r="C1619" t="s">
        <v>42</v>
      </c>
      <c r="D1619" s="1">
        <v>75374</v>
      </c>
      <c r="E1619" s="1">
        <v>1115565</v>
      </c>
      <c r="F1619" s="2">
        <v>43972</v>
      </c>
    </row>
    <row r="1620" spans="1:6" x14ac:dyDescent="0.3">
      <c r="A1620">
        <v>2017</v>
      </c>
      <c r="B1620" t="s">
        <v>57</v>
      </c>
      <c r="C1620" t="s">
        <v>43</v>
      </c>
      <c r="D1620" s="1">
        <v>7674</v>
      </c>
      <c r="E1620" s="1">
        <v>76263</v>
      </c>
      <c r="F1620" s="2">
        <v>42503</v>
      </c>
    </row>
    <row r="1621" spans="1:6" x14ac:dyDescent="0.3">
      <c r="A1621">
        <v>2017</v>
      </c>
      <c r="B1621" t="s">
        <v>57</v>
      </c>
      <c r="C1621" t="s">
        <v>44</v>
      </c>
      <c r="D1621" s="1">
        <v>29784</v>
      </c>
      <c r="E1621" s="1">
        <v>395329</v>
      </c>
      <c r="F1621" s="2">
        <v>38973</v>
      </c>
    </row>
    <row r="1622" spans="1:6" x14ac:dyDescent="0.3">
      <c r="A1622">
        <v>2017</v>
      </c>
      <c r="B1622" t="s">
        <v>57</v>
      </c>
      <c r="C1622" t="s">
        <v>45</v>
      </c>
      <c r="D1622" s="1">
        <v>8036</v>
      </c>
      <c r="E1622" s="1">
        <v>86427</v>
      </c>
      <c r="F1622" s="2">
        <v>38278</v>
      </c>
    </row>
    <row r="1623" spans="1:6" x14ac:dyDescent="0.3">
      <c r="A1623">
        <v>2017</v>
      </c>
      <c r="B1623" t="s">
        <v>57</v>
      </c>
      <c r="C1623" t="s">
        <v>46</v>
      </c>
      <c r="D1623" s="1">
        <v>39250</v>
      </c>
      <c r="E1623" s="1">
        <v>618046</v>
      </c>
      <c r="F1623" s="2">
        <v>44773</v>
      </c>
    </row>
    <row r="1624" spans="1:6" x14ac:dyDescent="0.3">
      <c r="A1624">
        <v>2017</v>
      </c>
      <c r="B1624" t="s">
        <v>57</v>
      </c>
      <c r="C1624" t="s">
        <v>47</v>
      </c>
      <c r="D1624" s="1">
        <v>145842</v>
      </c>
      <c r="E1624" s="1">
        <v>2432880</v>
      </c>
      <c r="F1624" s="2">
        <v>50316</v>
      </c>
    </row>
    <row r="1625" spans="1:6" x14ac:dyDescent="0.3">
      <c r="A1625">
        <v>2017</v>
      </c>
      <c r="B1625" t="s">
        <v>57</v>
      </c>
      <c r="C1625" t="s">
        <v>48</v>
      </c>
      <c r="D1625" s="1">
        <v>19048</v>
      </c>
      <c r="E1625" s="1">
        <v>276552</v>
      </c>
      <c r="F1625" s="2">
        <v>42378</v>
      </c>
    </row>
    <row r="1626" spans="1:6" x14ac:dyDescent="0.3">
      <c r="A1626">
        <v>2017</v>
      </c>
      <c r="B1626" t="s">
        <v>57</v>
      </c>
      <c r="C1626" t="s">
        <v>49</v>
      </c>
      <c r="D1626" s="1">
        <v>5138</v>
      </c>
      <c r="E1626" s="1">
        <v>55012</v>
      </c>
      <c r="F1626" s="2">
        <v>38650</v>
      </c>
    </row>
    <row r="1627" spans="1:6" x14ac:dyDescent="0.3">
      <c r="A1627">
        <v>2017</v>
      </c>
      <c r="B1627" t="s">
        <v>57</v>
      </c>
      <c r="C1627" t="s">
        <v>50</v>
      </c>
      <c r="D1627" s="1">
        <v>42996</v>
      </c>
      <c r="E1627" s="1">
        <v>652711</v>
      </c>
      <c r="F1627" s="2">
        <v>42291</v>
      </c>
    </row>
    <row r="1628" spans="1:6" x14ac:dyDescent="0.3">
      <c r="A1628">
        <v>2017</v>
      </c>
      <c r="B1628" t="s">
        <v>57</v>
      </c>
      <c r="C1628" t="s">
        <v>51</v>
      </c>
      <c r="D1628" s="1">
        <v>39715</v>
      </c>
      <c r="E1628" s="1">
        <v>610599</v>
      </c>
      <c r="F1628" s="2">
        <v>58924</v>
      </c>
    </row>
    <row r="1629" spans="1:6" x14ac:dyDescent="0.3">
      <c r="A1629">
        <v>2017</v>
      </c>
      <c r="B1629" t="s">
        <v>57</v>
      </c>
      <c r="C1629" t="s">
        <v>52</v>
      </c>
      <c r="D1629" s="1">
        <v>10925</v>
      </c>
      <c r="E1629" s="1">
        <v>129300</v>
      </c>
      <c r="F1629" s="2">
        <v>37489</v>
      </c>
    </row>
    <row r="1630" spans="1:6" x14ac:dyDescent="0.3">
      <c r="A1630">
        <v>2017</v>
      </c>
      <c r="B1630" t="s">
        <v>57</v>
      </c>
      <c r="C1630" t="s">
        <v>53</v>
      </c>
      <c r="D1630" s="1">
        <v>35433</v>
      </c>
      <c r="E1630" s="1">
        <v>539603</v>
      </c>
      <c r="F1630" s="2">
        <v>39831</v>
      </c>
    </row>
    <row r="1631" spans="1:6" x14ac:dyDescent="0.3">
      <c r="A1631">
        <v>2017</v>
      </c>
      <c r="B1631" t="s">
        <v>57</v>
      </c>
      <c r="C1631" t="s">
        <v>54</v>
      </c>
      <c r="D1631" s="1">
        <v>4822</v>
      </c>
      <c r="E1631" s="1">
        <v>49799</v>
      </c>
      <c r="F1631" s="2">
        <v>40999</v>
      </c>
    </row>
    <row r="1632" spans="1:6" x14ac:dyDescent="0.3">
      <c r="A1632">
        <v>2017</v>
      </c>
      <c r="B1632" t="s">
        <v>58</v>
      </c>
      <c r="C1632" t="s">
        <v>7</v>
      </c>
      <c r="D1632" s="1">
        <v>1969</v>
      </c>
      <c r="E1632" s="1">
        <v>20807</v>
      </c>
      <c r="F1632" s="2">
        <v>58932</v>
      </c>
    </row>
    <row r="1633" spans="1:6" x14ac:dyDescent="0.3">
      <c r="A1633">
        <v>2017</v>
      </c>
      <c r="B1633" t="s">
        <v>58</v>
      </c>
      <c r="C1633" t="s">
        <v>8</v>
      </c>
      <c r="D1633" s="1">
        <v>2461</v>
      </c>
      <c r="E1633" s="1">
        <v>44962</v>
      </c>
      <c r="F1633" s="2">
        <v>71171</v>
      </c>
    </row>
    <row r="1634" spans="1:6" x14ac:dyDescent="0.3">
      <c r="A1634">
        <v>2017</v>
      </c>
      <c r="B1634" t="s">
        <v>58</v>
      </c>
      <c r="C1634" t="s">
        <v>9</v>
      </c>
      <c r="D1634" s="1">
        <v>1123</v>
      </c>
      <c r="E1634" s="1">
        <v>12766</v>
      </c>
      <c r="F1634" s="2">
        <v>56682</v>
      </c>
    </row>
    <row r="1635" spans="1:6" x14ac:dyDescent="0.3">
      <c r="A1635">
        <v>2017</v>
      </c>
      <c r="B1635" t="s">
        <v>58</v>
      </c>
      <c r="C1635" t="s">
        <v>10</v>
      </c>
      <c r="D1635" s="1">
        <v>22519</v>
      </c>
      <c r="E1635" s="1">
        <v>513029</v>
      </c>
      <c r="F1635" s="2">
        <v>172309</v>
      </c>
    </row>
    <row r="1636" spans="1:6" x14ac:dyDescent="0.3">
      <c r="A1636">
        <v>2017</v>
      </c>
      <c r="B1636" t="s">
        <v>58</v>
      </c>
      <c r="C1636" t="s">
        <v>11</v>
      </c>
      <c r="D1636" s="1">
        <v>3891</v>
      </c>
      <c r="E1636" s="1">
        <v>71641</v>
      </c>
      <c r="F1636" s="2">
        <v>100781</v>
      </c>
    </row>
    <row r="1637" spans="1:6" x14ac:dyDescent="0.3">
      <c r="A1637">
        <v>2017</v>
      </c>
      <c r="B1637" t="s">
        <v>58</v>
      </c>
      <c r="C1637" t="s">
        <v>12</v>
      </c>
      <c r="D1637" s="1">
        <v>2146</v>
      </c>
      <c r="E1637" s="1">
        <v>31542</v>
      </c>
      <c r="F1637" s="2">
        <v>103094</v>
      </c>
    </row>
    <row r="1638" spans="1:6" x14ac:dyDescent="0.3">
      <c r="A1638">
        <v>2017</v>
      </c>
      <c r="B1638" t="s">
        <v>58</v>
      </c>
      <c r="C1638" t="s">
        <v>13</v>
      </c>
      <c r="D1638">
        <v>409</v>
      </c>
      <c r="E1638" s="1">
        <v>4560</v>
      </c>
      <c r="F1638" s="2">
        <v>64686</v>
      </c>
    </row>
    <row r="1639" spans="1:6" x14ac:dyDescent="0.3">
      <c r="A1639">
        <v>2017</v>
      </c>
      <c r="B1639" t="s">
        <v>58</v>
      </c>
      <c r="C1639" t="s">
        <v>14</v>
      </c>
      <c r="D1639" s="1">
        <v>10983</v>
      </c>
      <c r="E1639" s="1">
        <v>138039</v>
      </c>
      <c r="F1639" s="2">
        <v>80305</v>
      </c>
    </row>
    <row r="1640" spans="1:6" x14ac:dyDescent="0.3">
      <c r="A1640">
        <v>2017</v>
      </c>
      <c r="B1640" t="s">
        <v>58</v>
      </c>
      <c r="C1640" t="s">
        <v>15</v>
      </c>
      <c r="D1640" s="1">
        <v>4911</v>
      </c>
      <c r="E1640" s="1">
        <v>116074</v>
      </c>
      <c r="F1640" s="2">
        <v>96306</v>
      </c>
    </row>
    <row r="1641" spans="1:6" x14ac:dyDescent="0.3">
      <c r="A1641">
        <v>2017</v>
      </c>
      <c r="B1641" t="s">
        <v>58</v>
      </c>
      <c r="C1641" t="s">
        <v>16</v>
      </c>
      <c r="D1641" s="1">
        <v>1175</v>
      </c>
      <c r="E1641" s="1">
        <v>8923</v>
      </c>
      <c r="F1641" s="2">
        <v>51032</v>
      </c>
    </row>
    <row r="1642" spans="1:6" x14ac:dyDescent="0.3">
      <c r="A1642">
        <v>2017</v>
      </c>
      <c r="B1642" t="s">
        <v>58</v>
      </c>
      <c r="C1642" t="s">
        <v>17</v>
      </c>
      <c r="D1642" s="1">
        <v>6534</v>
      </c>
      <c r="E1642" s="1">
        <v>96181</v>
      </c>
      <c r="F1642" s="2">
        <v>85328</v>
      </c>
    </row>
    <row r="1643" spans="1:6" x14ac:dyDescent="0.3">
      <c r="A1643">
        <v>2017</v>
      </c>
      <c r="B1643" t="s">
        <v>58</v>
      </c>
      <c r="C1643" t="s">
        <v>18</v>
      </c>
      <c r="D1643" s="1">
        <v>2019</v>
      </c>
      <c r="E1643" s="1">
        <v>31465</v>
      </c>
      <c r="F1643" s="2">
        <v>59391</v>
      </c>
    </row>
    <row r="1644" spans="1:6" x14ac:dyDescent="0.3">
      <c r="A1644">
        <v>2017</v>
      </c>
      <c r="B1644" t="s">
        <v>58</v>
      </c>
      <c r="C1644" t="s">
        <v>19</v>
      </c>
      <c r="D1644" s="1">
        <v>1698</v>
      </c>
      <c r="E1644" s="1">
        <v>21891</v>
      </c>
      <c r="F1644" s="2">
        <v>55957</v>
      </c>
    </row>
    <row r="1645" spans="1:6" x14ac:dyDescent="0.3">
      <c r="A1645">
        <v>2017</v>
      </c>
      <c r="B1645" t="s">
        <v>58</v>
      </c>
      <c r="C1645" t="s">
        <v>20</v>
      </c>
      <c r="D1645" s="1">
        <v>1260</v>
      </c>
      <c r="E1645" s="1">
        <v>19279</v>
      </c>
      <c r="F1645" s="2">
        <v>61084</v>
      </c>
    </row>
    <row r="1646" spans="1:6" x14ac:dyDescent="0.3">
      <c r="A1646">
        <v>2017</v>
      </c>
      <c r="B1646" t="s">
        <v>58</v>
      </c>
      <c r="C1646" t="s">
        <v>21</v>
      </c>
      <c r="D1646" s="1">
        <v>1697</v>
      </c>
      <c r="E1646" s="1">
        <v>22698</v>
      </c>
      <c r="F1646" s="2">
        <v>54857</v>
      </c>
    </row>
    <row r="1647" spans="1:6" x14ac:dyDescent="0.3">
      <c r="A1647">
        <v>2017</v>
      </c>
      <c r="B1647" t="s">
        <v>58</v>
      </c>
      <c r="C1647" t="s">
        <v>22</v>
      </c>
      <c r="D1647" s="1">
        <v>1650</v>
      </c>
      <c r="E1647" s="1">
        <v>22941</v>
      </c>
      <c r="F1647" s="2">
        <v>55038</v>
      </c>
    </row>
    <row r="1648" spans="1:6" x14ac:dyDescent="0.3">
      <c r="A1648">
        <v>2017</v>
      </c>
      <c r="B1648" t="s">
        <v>58</v>
      </c>
      <c r="C1648" t="s">
        <v>23</v>
      </c>
      <c r="D1648">
        <v>843</v>
      </c>
      <c r="E1648" s="1">
        <v>7340</v>
      </c>
      <c r="F1648" s="2">
        <v>52561</v>
      </c>
    </row>
    <row r="1649" spans="1:6" x14ac:dyDescent="0.3">
      <c r="A1649">
        <v>2017</v>
      </c>
      <c r="B1649" t="s">
        <v>58</v>
      </c>
      <c r="C1649" t="s">
        <v>24</v>
      </c>
      <c r="D1649" s="1">
        <v>2719</v>
      </c>
      <c r="E1649" s="1">
        <v>37583</v>
      </c>
      <c r="F1649" s="2">
        <v>88009</v>
      </c>
    </row>
    <row r="1650" spans="1:6" x14ac:dyDescent="0.3">
      <c r="A1650">
        <v>2017</v>
      </c>
      <c r="B1650" t="s">
        <v>58</v>
      </c>
      <c r="C1650" t="s">
        <v>25</v>
      </c>
      <c r="D1650" s="1">
        <v>5143</v>
      </c>
      <c r="E1650" s="1">
        <v>91861</v>
      </c>
      <c r="F1650" s="2">
        <v>114166</v>
      </c>
    </row>
    <row r="1651" spans="1:6" x14ac:dyDescent="0.3">
      <c r="A1651">
        <v>2017</v>
      </c>
      <c r="B1651" t="s">
        <v>58</v>
      </c>
      <c r="C1651" t="s">
        <v>26</v>
      </c>
      <c r="D1651" s="1">
        <v>5934</v>
      </c>
      <c r="E1651" s="1">
        <v>56524</v>
      </c>
      <c r="F1651" s="2">
        <v>70884</v>
      </c>
    </row>
    <row r="1652" spans="1:6" x14ac:dyDescent="0.3">
      <c r="A1652">
        <v>2017</v>
      </c>
      <c r="B1652" t="s">
        <v>58</v>
      </c>
      <c r="C1652" t="s">
        <v>27</v>
      </c>
      <c r="D1652" s="1">
        <v>3663</v>
      </c>
      <c r="E1652" s="1">
        <v>50310</v>
      </c>
      <c r="F1652" s="2">
        <v>75459</v>
      </c>
    </row>
    <row r="1653" spans="1:6" x14ac:dyDescent="0.3">
      <c r="A1653">
        <v>2017</v>
      </c>
      <c r="B1653" t="s">
        <v>58</v>
      </c>
      <c r="C1653" t="s">
        <v>28</v>
      </c>
      <c r="D1653">
        <v>962</v>
      </c>
      <c r="E1653" s="1">
        <v>11593</v>
      </c>
      <c r="F1653" s="2">
        <v>48002</v>
      </c>
    </row>
    <row r="1654" spans="1:6" x14ac:dyDescent="0.3">
      <c r="A1654">
        <v>2017</v>
      </c>
      <c r="B1654" t="s">
        <v>58</v>
      </c>
      <c r="C1654" t="s">
        <v>29</v>
      </c>
      <c r="D1654" s="1">
        <v>3051</v>
      </c>
      <c r="E1654" s="1">
        <v>48249</v>
      </c>
      <c r="F1654" s="2">
        <v>73665</v>
      </c>
    </row>
    <row r="1655" spans="1:6" x14ac:dyDescent="0.3">
      <c r="A1655">
        <v>2017</v>
      </c>
      <c r="B1655" t="s">
        <v>58</v>
      </c>
      <c r="C1655" t="s">
        <v>30</v>
      </c>
      <c r="D1655">
        <v>759</v>
      </c>
      <c r="E1655" s="1">
        <v>6394</v>
      </c>
      <c r="F1655" s="2">
        <v>51903</v>
      </c>
    </row>
    <row r="1656" spans="1:6" x14ac:dyDescent="0.3">
      <c r="A1656">
        <v>2017</v>
      </c>
      <c r="B1656" t="s">
        <v>58</v>
      </c>
      <c r="C1656" t="s">
        <v>31</v>
      </c>
      <c r="D1656">
        <v>964</v>
      </c>
      <c r="E1656" s="1">
        <v>18204</v>
      </c>
      <c r="F1656" s="2">
        <v>61365</v>
      </c>
    </row>
    <row r="1657" spans="1:6" x14ac:dyDescent="0.3">
      <c r="A1657">
        <v>2017</v>
      </c>
      <c r="B1657" t="s">
        <v>58</v>
      </c>
      <c r="C1657" t="s">
        <v>32</v>
      </c>
      <c r="D1657" s="1">
        <v>1440</v>
      </c>
      <c r="E1657" s="1">
        <v>14735</v>
      </c>
      <c r="F1657" s="2">
        <v>65866</v>
      </c>
    </row>
    <row r="1658" spans="1:6" x14ac:dyDescent="0.3">
      <c r="A1658">
        <v>2017</v>
      </c>
      <c r="B1658" t="s">
        <v>58</v>
      </c>
      <c r="C1658" t="s">
        <v>33</v>
      </c>
      <c r="D1658">
        <v>843</v>
      </c>
      <c r="E1658" s="1">
        <v>12554</v>
      </c>
      <c r="F1658" s="2">
        <v>88119</v>
      </c>
    </row>
    <row r="1659" spans="1:6" x14ac:dyDescent="0.3">
      <c r="A1659">
        <v>2017</v>
      </c>
      <c r="B1659" t="s">
        <v>58</v>
      </c>
      <c r="C1659" t="s">
        <v>34</v>
      </c>
      <c r="D1659" s="1">
        <v>3595</v>
      </c>
      <c r="E1659" s="1">
        <v>70379</v>
      </c>
      <c r="F1659" s="2">
        <v>108638</v>
      </c>
    </row>
    <row r="1660" spans="1:6" x14ac:dyDescent="0.3">
      <c r="A1660">
        <v>2017</v>
      </c>
      <c r="B1660" t="s">
        <v>58</v>
      </c>
      <c r="C1660" t="s">
        <v>35</v>
      </c>
      <c r="D1660">
        <v>929</v>
      </c>
      <c r="E1660" s="1">
        <v>12398</v>
      </c>
      <c r="F1660" s="2">
        <v>51009</v>
      </c>
    </row>
    <row r="1661" spans="1:6" x14ac:dyDescent="0.3">
      <c r="A1661">
        <v>2017</v>
      </c>
      <c r="B1661" t="s">
        <v>58</v>
      </c>
      <c r="C1661" t="s">
        <v>36</v>
      </c>
      <c r="D1661" s="1">
        <v>12397</v>
      </c>
      <c r="E1661" s="1">
        <v>269233</v>
      </c>
      <c r="F1661" s="2">
        <v>119508</v>
      </c>
    </row>
    <row r="1662" spans="1:6" x14ac:dyDescent="0.3">
      <c r="A1662">
        <v>2017</v>
      </c>
      <c r="B1662" t="s">
        <v>58</v>
      </c>
      <c r="C1662" t="s">
        <v>37</v>
      </c>
      <c r="D1662" s="1">
        <v>5042</v>
      </c>
      <c r="E1662" s="1">
        <v>78826</v>
      </c>
      <c r="F1662" s="2">
        <v>80496</v>
      </c>
    </row>
    <row r="1663" spans="1:6" x14ac:dyDescent="0.3">
      <c r="A1663">
        <v>2017</v>
      </c>
      <c r="B1663" t="s">
        <v>58</v>
      </c>
      <c r="C1663" t="s">
        <v>38</v>
      </c>
      <c r="D1663">
        <v>396</v>
      </c>
      <c r="E1663" s="1">
        <v>6502</v>
      </c>
      <c r="F1663" s="2">
        <v>65114</v>
      </c>
    </row>
    <row r="1664" spans="1:6" x14ac:dyDescent="0.3">
      <c r="A1664">
        <v>2017</v>
      </c>
      <c r="B1664" t="s">
        <v>58</v>
      </c>
      <c r="C1664" t="s">
        <v>39</v>
      </c>
      <c r="D1664" s="1">
        <v>4456</v>
      </c>
      <c r="E1664" s="1">
        <v>71562</v>
      </c>
      <c r="F1664" s="2">
        <v>67912</v>
      </c>
    </row>
    <row r="1665" spans="1:6" x14ac:dyDescent="0.3">
      <c r="A1665">
        <v>2017</v>
      </c>
      <c r="B1665" t="s">
        <v>58</v>
      </c>
      <c r="C1665" t="s">
        <v>40</v>
      </c>
      <c r="D1665" s="1">
        <v>1491</v>
      </c>
      <c r="E1665" s="1">
        <v>20417</v>
      </c>
      <c r="F1665" s="2">
        <v>57922</v>
      </c>
    </row>
    <row r="1666" spans="1:6" x14ac:dyDescent="0.3">
      <c r="A1666">
        <v>2017</v>
      </c>
      <c r="B1666" t="s">
        <v>58</v>
      </c>
      <c r="C1666" t="s">
        <v>41</v>
      </c>
      <c r="D1666" s="1">
        <v>3521</v>
      </c>
      <c r="E1666" s="1">
        <v>34177</v>
      </c>
      <c r="F1666" s="2">
        <v>80210</v>
      </c>
    </row>
    <row r="1667" spans="1:6" x14ac:dyDescent="0.3">
      <c r="A1667">
        <v>2017</v>
      </c>
      <c r="B1667" t="s">
        <v>58</v>
      </c>
      <c r="C1667" t="s">
        <v>42</v>
      </c>
      <c r="D1667" s="1">
        <v>4664</v>
      </c>
      <c r="E1667" s="1">
        <v>83352</v>
      </c>
      <c r="F1667" s="2">
        <v>78987</v>
      </c>
    </row>
    <row r="1668" spans="1:6" x14ac:dyDescent="0.3">
      <c r="A1668">
        <v>2017</v>
      </c>
      <c r="B1668" t="s">
        <v>58</v>
      </c>
      <c r="C1668" t="s">
        <v>43</v>
      </c>
      <c r="D1668">
        <v>745</v>
      </c>
      <c r="E1668" s="1">
        <v>6125</v>
      </c>
      <c r="F1668" s="2">
        <v>70660</v>
      </c>
    </row>
    <row r="1669" spans="1:6" x14ac:dyDescent="0.3">
      <c r="A1669">
        <v>2017</v>
      </c>
      <c r="B1669" t="s">
        <v>58</v>
      </c>
      <c r="C1669" t="s">
        <v>44</v>
      </c>
      <c r="D1669" s="1">
        <v>2430</v>
      </c>
      <c r="E1669" s="1">
        <v>27428</v>
      </c>
      <c r="F1669" s="2">
        <v>61428</v>
      </c>
    </row>
    <row r="1670" spans="1:6" x14ac:dyDescent="0.3">
      <c r="A1670">
        <v>2017</v>
      </c>
      <c r="B1670" t="s">
        <v>58</v>
      </c>
      <c r="C1670" t="s">
        <v>45</v>
      </c>
      <c r="D1670">
        <v>561</v>
      </c>
      <c r="E1670" s="1">
        <v>5720</v>
      </c>
      <c r="F1670" s="2">
        <v>47231</v>
      </c>
    </row>
    <row r="1671" spans="1:6" x14ac:dyDescent="0.3">
      <c r="A1671">
        <v>2017</v>
      </c>
      <c r="B1671" t="s">
        <v>58</v>
      </c>
      <c r="C1671" t="s">
        <v>46</v>
      </c>
      <c r="D1671" s="1">
        <v>3260</v>
      </c>
      <c r="E1671" s="1">
        <v>45482</v>
      </c>
      <c r="F1671" s="2">
        <v>68381</v>
      </c>
    </row>
    <row r="1672" spans="1:6" x14ac:dyDescent="0.3">
      <c r="A1672">
        <v>2017</v>
      </c>
      <c r="B1672" t="s">
        <v>58</v>
      </c>
      <c r="C1672" t="s">
        <v>47</v>
      </c>
      <c r="D1672" s="1">
        <v>9521</v>
      </c>
      <c r="E1672" s="1">
        <v>201873</v>
      </c>
      <c r="F1672" s="2">
        <v>84394</v>
      </c>
    </row>
    <row r="1673" spans="1:6" x14ac:dyDescent="0.3">
      <c r="A1673">
        <v>2017</v>
      </c>
      <c r="B1673" t="s">
        <v>58</v>
      </c>
      <c r="C1673" t="s">
        <v>48</v>
      </c>
      <c r="D1673" s="1">
        <v>2347</v>
      </c>
      <c r="E1673" s="1">
        <v>37185</v>
      </c>
      <c r="F1673" s="2">
        <v>71167</v>
      </c>
    </row>
    <row r="1674" spans="1:6" x14ac:dyDescent="0.3">
      <c r="A1674">
        <v>2017</v>
      </c>
      <c r="B1674" t="s">
        <v>58</v>
      </c>
      <c r="C1674" t="s">
        <v>49</v>
      </c>
      <c r="D1674">
        <v>503</v>
      </c>
      <c r="E1674" s="1">
        <v>4478</v>
      </c>
      <c r="F1674" s="2">
        <v>58372</v>
      </c>
    </row>
    <row r="1675" spans="1:6" x14ac:dyDescent="0.3">
      <c r="A1675">
        <v>2017</v>
      </c>
      <c r="B1675" t="s">
        <v>58</v>
      </c>
      <c r="C1675" t="s">
        <v>50</v>
      </c>
      <c r="D1675" s="1">
        <v>4222</v>
      </c>
      <c r="E1675" s="1">
        <v>67623</v>
      </c>
      <c r="F1675" s="2">
        <v>98219</v>
      </c>
    </row>
    <row r="1676" spans="1:6" x14ac:dyDescent="0.3">
      <c r="A1676">
        <v>2017</v>
      </c>
      <c r="B1676" t="s">
        <v>58</v>
      </c>
      <c r="C1676" t="s">
        <v>51</v>
      </c>
      <c r="D1676" s="1">
        <v>4271</v>
      </c>
      <c r="E1676" s="1">
        <v>125798</v>
      </c>
      <c r="F1676" s="2">
        <v>172513</v>
      </c>
    </row>
    <row r="1677" spans="1:6" x14ac:dyDescent="0.3">
      <c r="A1677">
        <v>2017</v>
      </c>
      <c r="B1677" t="s">
        <v>58</v>
      </c>
      <c r="C1677" t="s">
        <v>52</v>
      </c>
      <c r="D1677">
        <v>764</v>
      </c>
      <c r="E1677" s="1">
        <v>8615</v>
      </c>
      <c r="F1677" s="2">
        <v>50474</v>
      </c>
    </row>
    <row r="1678" spans="1:6" x14ac:dyDescent="0.3">
      <c r="A1678">
        <v>2017</v>
      </c>
      <c r="B1678" t="s">
        <v>58</v>
      </c>
      <c r="C1678" t="s">
        <v>53</v>
      </c>
      <c r="D1678" s="1">
        <v>2126</v>
      </c>
      <c r="E1678" s="1">
        <v>47658</v>
      </c>
      <c r="F1678" s="2">
        <v>71912</v>
      </c>
    </row>
    <row r="1679" spans="1:6" x14ac:dyDescent="0.3">
      <c r="A1679">
        <v>2017</v>
      </c>
      <c r="B1679" t="s">
        <v>58</v>
      </c>
      <c r="C1679" t="s">
        <v>54</v>
      </c>
      <c r="D1679">
        <v>389</v>
      </c>
      <c r="E1679" s="1">
        <v>3680</v>
      </c>
      <c r="F1679" s="2">
        <v>46375</v>
      </c>
    </row>
    <row r="1680" spans="1:6" x14ac:dyDescent="0.3">
      <c r="A1680">
        <v>2017</v>
      </c>
      <c r="B1680" t="s">
        <v>59</v>
      </c>
      <c r="C1680" t="s">
        <v>7</v>
      </c>
      <c r="D1680" s="1">
        <v>13089</v>
      </c>
      <c r="E1680" s="1">
        <v>94756</v>
      </c>
      <c r="F1680" s="2">
        <v>66324</v>
      </c>
    </row>
    <row r="1681" spans="1:6" x14ac:dyDescent="0.3">
      <c r="A1681">
        <v>2017</v>
      </c>
      <c r="B1681" t="s">
        <v>59</v>
      </c>
      <c r="C1681" t="s">
        <v>8</v>
      </c>
      <c r="D1681" s="1">
        <v>15754</v>
      </c>
      <c r="E1681" s="1">
        <v>206540</v>
      </c>
      <c r="F1681" s="2">
        <v>68059</v>
      </c>
    </row>
    <row r="1682" spans="1:6" x14ac:dyDescent="0.3">
      <c r="A1682">
        <v>2017</v>
      </c>
      <c r="B1682" t="s">
        <v>59</v>
      </c>
      <c r="C1682" t="s">
        <v>9</v>
      </c>
      <c r="D1682" s="1">
        <v>8251</v>
      </c>
      <c r="E1682" s="1">
        <v>49596</v>
      </c>
      <c r="F1682" s="2">
        <v>55939</v>
      </c>
    </row>
    <row r="1683" spans="1:6" x14ac:dyDescent="0.3">
      <c r="A1683">
        <v>2017</v>
      </c>
      <c r="B1683" t="s">
        <v>59</v>
      </c>
      <c r="C1683" t="s">
        <v>10</v>
      </c>
      <c r="D1683" s="1">
        <v>98024</v>
      </c>
      <c r="E1683" s="1">
        <v>827494</v>
      </c>
      <c r="F1683" s="2">
        <v>104466</v>
      </c>
    </row>
    <row r="1684" spans="1:6" x14ac:dyDescent="0.3">
      <c r="A1684">
        <v>2017</v>
      </c>
      <c r="B1684" t="s">
        <v>59</v>
      </c>
      <c r="C1684" t="s">
        <v>11</v>
      </c>
      <c r="D1684" s="1">
        <v>22552</v>
      </c>
      <c r="E1684" s="1">
        <v>161870</v>
      </c>
      <c r="F1684" s="2">
        <v>81536</v>
      </c>
    </row>
    <row r="1685" spans="1:6" x14ac:dyDescent="0.3">
      <c r="A1685">
        <v>2017</v>
      </c>
      <c r="B1685" t="s">
        <v>59</v>
      </c>
      <c r="C1685" t="s">
        <v>12</v>
      </c>
      <c r="D1685" s="1">
        <v>10779</v>
      </c>
      <c r="E1685" s="1">
        <v>126051</v>
      </c>
      <c r="F1685" s="2">
        <v>152598</v>
      </c>
    </row>
    <row r="1686" spans="1:6" x14ac:dyDescent="0.3">
      <c r="A1686">
        <v>2017</v>
      </c>
      <c r="B1686" t="s">
        <v>59</v>
      </c>
      <c r="C1686" t="s">
        <v>13</v>
      </c>
      <c r="D1686" s="1">
        <v>2800</v>
      </c>
      <c r="E1686" s="1">
        <v>47894</v>
      </c>
      <c r="F1686" s="2">
        <v>92267</v>
      </c>
    </row>
    <row r="1687" spans="1:6" x14ac:dyDescent="0.3">
      <c r="A1687">
        <v>2017</v>
      </c>
      <c r="B1687" t="s">
        <v>59</v>
      </c>
      <c r="C1687" t="s">
        <v>14</v>
      </c>
      <c r="D1687" s="1">
        <v>71616</v>
      </c>
      <c r="E1687" s="1">
        <v>556510</v>
      </c>
      <c r="F1687" s="2">
        <v>72708</v>
      </c>
    </row>
    <row r="1688" spans="1:6" x14ac:dyDescent="0.3">
      <c r="A1688">
        <v>2017</v>
      </c>
      <c r="B1688" t="s">
        <v>59</v>
      </c>
      <c r="C1688" t="s">
        <v>15</v>
      </c>
      <c r="D1688" s="1">
        <v>25978</v>
      </c>
      <c r="E1688" s="1">
        <v>233995</v>
      </c>
      <c r="F1688" s="2">
        <v>81197</v>
      </c>
    </row>
    <row r="1689" spans="1:6" x14ac:dyDescent="0.3">
      <c r="A1689">
        <v>2017</v>
      </c>
      <c r="B1689" t="s">
        <v>59</v>
      </c>
      <c r="C1689" t="s">
        <v>16</v>
      </c>
      <c r="D1689" s="1">
        <v>5522</v>
      </c>
      <c r="E1689" s="1">
        <v>31064</v>
      </c>
      <c r="F1689" s="2">
        <v>53820</v>
      </c>
    </row>
    <row r="1690" spans="1:6" x14ac:dyDescent="0.3">
      <c r="A1690">
        <v>2017</v>
      </c>
      <c r="B1690" t="s">
        <v>59</v>
      </c>
      <c r="C1690" t="s">
        <v>17</v>
      </c>
      <c r="D1690" s="1">
        <v>32114</v>
      </c>
      <c r="E1690" s="1">
        <v>370517</v>
      </c>
      <c r="F1690" s="2">
        <v>104689</v>
      </c>
    </row>
    <row r="1691" spans="1:6" x14ac:dyDescent="0.3">
      <c r="A1691">
        <v>2017</v>
      </c>
      <c r="B1691" t="s">
        <v>59</v>
      </c>
      <c r="C1691" t="s">
        <v>18</v>
      </c>
      <c r="D1691" s="1">
        <v>16124</v>
      </c>
      <c r="E1691" s="1">
        <v>131758</v>
      </c>
      <c r="F1691" s="2">
        <v>62518</v>
      </c>
    </row>
    <row r="1692" spans="1:6" x14ac:dyDescent="0.3">
      <c r="A1692">
        <v>2017</v>
      </c>
      <c r="B1692" t="s">
        <v>59</v>
      </c>
      <c r="C1692" t="s">
        <v>19</v>
      </c>
      <c r="D1692" s="1">
        <v>9983</v>
      </c>
      <c r="E1692" s="1">
        <v>108983</v>
      </c>
      <c r="F1692" s="2">
        <v>71597</v>
      </c>
    </row>
    <row r="1693" spans="1:6" x14ac:dyDescent="0.3">
      <c r="A1693">
        <v>2017</v>
      </c>
      <c r="B1693" t="s">
        <v>59</v>
      </c>
      <c r="C1693" t="s">
        <v>20</v>
      </c>
      <c r="D1693" s="1">
        <v>8858</v>
      </c>
      <c r="E1693" s="1">
        <v>74321</v>
      </c>
      <c r="F1693" s="2">
        <v>65845</v>
      </c>
    </row>
    <row r="1694" spans="1:6" x14ac:dyDescent="0.3">
      <c r="A1694">
        <v>2017</v>
      </c>
      <c r="B1694" t="s">
        <v>59</v>
      </c>
      <c r="C1694" t="s">
        <v>21</v>
      </c>
      <c r="D1694" s="1">
        <v>10845</v>
      </c>
      <c r="E1694" s="1">
        <v>93126</v>
      </c>
      <c r="F1694" s="2">
        <v>64967</v>
      </c>
    </row>
    <row r="1695" spans="1:6" x14ac:dyDescent="0.3">
      <c r="A1695">
        <v>2017</v>
      </c>
      <c r="B1695" t="s">
        <v>59</v>
      </c>
      <c r="C1695" t="s">
        <v>22</v>
      </c>
      <c r="D1695" s="1">
        <v>13618</v>
      </c>
      <c r="E1695" s="1">
        <v>85771</v>
      </c>
      <c r="F1695" s="2">
        <v>59758</v>
      </c>
    </row>
    <row r="1696" spans="1:6" x14ac:dyDescent="0.3">
      <c r="A1696">
        <v>2017</v>
      </c>
      <c r="B1696" t="s">
        <v>59</v>
      </c>
      <c r="C1696" t="s">
        <v>23</v>
      </c>
      <c r="D1696" s="1">
        <v>3827</v>
      </c>
      <c r="E1696" s="1">
        <v>29417</v>
      </c>
      <c r="F1696" s="2">
        <v>65934</v>
      </c>
    </row>
    <row r="1697" spans="1:6" x14ac:dyDescent="0.3">
      <c r="A1697">
        <v>2017</v>
      </c>
      <c r="B1697" t="s">
        <v>59</v>
      </c>
      <c r="C1697" t="s">
        <v>24</v>
      </c>
      <c r="D1697" s="1">
        <v>15099</v>
      </c>
      <c r="E1697" s="1">
        <v>140287</v>
      </c>
      <c r="F1697" s="2">
        <v>90791</v>
      </c>
    </row>
    <row r="1698" spans="1:6" x14ac:dyDescent="0.3">
      <c r="A1698">
        <v>2017</v>
      </c>
      <c r="B1698" t="s">
        <v>59</v>
      </c>
      <c r="C1698" t="s">
        <v>25</v>
      </c>
      <c r="D1698" s="1">
        <v>17270</v>
      </c>
      <c r="E1698" s="1">
        <v>216567</v>
      </c>
      <c r="F1698" s="2">
        <v>136040</v>
      </c>
    </row>
    <row r="1699" spans="1:6" x14ac:dyDescent="0.3">
      <c r="A1699">
        <v>2017</v>
      </c>
      <c r="B1699" t="s">
        <v>59</v>
      </c>
      <c r="C1699" t="s">
        <v>26</v>
      </c>
      <c r="D1699" s="1">
        <v>18942</v>
      </c>
      <c r="E1699" s="1">
        <v>202358</v>
      </c>
      <c r="F1699" s="2">
        <v>69275</v>
      </c>
    </row>
    <row r="1700" spans="1:6" x14ac:dyDescent="0.3">
      <c r="A1700">
        <v>2017</v>
      </c>
      <c r="B1700" t="s">
        <v>59</v>
      </c>
      <c r="C1700" t="s">
        <v>27</v>
      </c>
      <c r="D1700" s="1">
        <v>15467</v>
      </c>
      <c r="E1700" s="1">
        <v>175945</v>
      </c>
      <c r="F1700" s="2">
        <v>91036</v>
      </c>
    </row>
    <row r="1701" spans="1:6" x14ac:dyDescent="0.3">
      <c r="A1701">
        <v>2017</v>
      </c>
      <c r="B1701" t="s">
        <v>59</v>
      </c>
      <c r="C1701" t="s">
        <v>28</v>
      </c>
      <c r="D1701" s="1">
        <v>7854</v>
      </c>
      <c r="E1701" s="1">
        <v>42981</v>
      </c>
      <c r="F1701" s="2">
        <v>51222</v>
      </c>
    </row>
    <row r="1702" spans="1:6" x14ac:dyDescent="0.3">
      <c r="A1702">
        <v>2017</v>
      </c>
      <c r="B1702" t="s">
        <v>59</v>
      </c>
      <c r="C1702" t="s">
        <v>29</v>
      </c>
      <c r="D1702" s="1">
        <v>17661</v>
      </c>
      <c r="E1702" s="1">
        <v>163353</v>
      </c>
      <c r="F1702" s="2">
        <v>68974</v>
      </c>
    </row>
    <row r="1703" spans="1:6" x14ac:dyDescent="0.3">
      <c r="A1703">
        <v>2017</v>
      </c>
      <c r="B1703" t="s">
        <v>59</v>
      </c>
      <c r="C1703" t="s">
        <v>30</v>
      </c>
      <c r="D1703" s="1">
        <v>4178</v>
      </c>
      <c r="E1703" s="1">
        <v>20935</v>
      </c>
      <c r="F1703" s="2">
        <v>56708</v>
      </c>
    </row>
    <row r="1704" spans="1:6" x14ac:dyDescent="0.3">
      <c r="A1704">
        <v>2017</v>
      </c>
      <c r="B1704" t="s">
        <v>59</v>
      </c>
      <c r="C1704" t="s">
        <v>31</v>
      </c>
      <c r="D1704" s="1">
        <v>6481</v>
      </c>
      <c r="E1704" s="1">
        <v>66237</v>
      </c>
      <c r="F1704" s="2">
        <v>63484</v>
      </c>
    </row>
    <row r="1705" spans="1:6" x14ac:dyDescent="0.3">
      <c r="A1705">
        <v>2017</v>
      </c>
      <c r="B1705" t="s">
        <v>59</v>
      </c>
      <c r="C1705" t="s">
        <v>32</v>
      </c>
      <c r="D1705" s="1">
        <v>8856</v>
      </c>
      <c r="E1705" s="1">
        <v>61375</v>
      </c>
      <c r="F1705" s="2">
        <v>63979</v>
      </c>
    </row>
    <row r="1706" spans="1:6" x14ac:dyDescent="0.3">
      <c r="A1706">
        <v>2017</v>
      </c>
      <c r="B1706" t="s">
        <v>59</v>
      </c>
      <c r="C1706" t="s">
        <v>33</v>
      </c>
      <c r="D1706" s="1">
        <v>3835</v>
      </c>
      <c r="E1706" s="1">
        <v>33894</v>
      </c>
      <c r="F1706" s="2">
        <v>91139</v>
      </c>
    </row>
    <row r="1707" spans="1:6" x14ac:dyDescent="0.3">
      <c r="A1707">
        <v>2017</v>
      </c>
      <c r="B1707" t="s">
        <v>59</v>
      </c>
      <c r="C1707" t="s">
        <v>34</v>
      </c>
      <c r="D1707" s="1">
        <v>19625</v>
      </c>
      <c r="E1707" s="1">
        <v>241026</v>
      </c>
      <c r="F1707" s="2">
        <v>111862</v>
      </c>
    </row>
    <row r="1708" spans="1:6" x14ac:dyDescent="0.3">
      <c r="A1708">
        <v>2017</v>
      </c>
      <c r="B1708" t="s">
        <v>59</v>
      </c>
      <c r="C1708" t="s">
        <v>35</v>
      </c>
      <c r="D1708" s="1">
        <v>5092</v>
      </c>
      <c r="E1708" s="1">
        <v>32604</v>
      </c>
      <c r="F1708" s="2">
        <v>53932</v>
      </c>
    </row>
    <row r="1709" spans="1:6" x14ac:dyDescent="0.3">
      <c r="A1709">
        <v>2017</v>
      </c>
      <c r="B1709" t="s">
        <v>59</v>
      </c>
      <c r="C1709" t="s">
        <v>36</v>
      </c>
      <c r="D1709" s="1">
        <v>65326</v>
      </c>
      <c r="E1709" s="1">
        <v>708995</v>
      </c>
      <c r="F1709" s="2">
        <v>189559</v>
      </c>
    </row>
    <row r="1710" spans="1:6" x14ac:dyDescent="0.3">
      <c r="A1710">
        <v>2017</v>
      </c>
      <c r="B1710" t="s">
        <v>59</v>
      </c>
      <c r="C1710" t="s">
        <v>37</v>
      </c>
      <c r="D1710" s="1">
        <v>27332</v>
      </c>
      <c r="E1710" s="1">
        <v>226679</v>
      </c>
      <c r="F1710" s="2">
        <v>82975</v>
      </c>
    </row>
    <row r="1711" spans="1:6" x14ac:dyDescent="0.3">
      <c r="A1711">
        <v>2017</v>
      </c>
      <c r="B1711" t="s">
        <v>59</v>
      </c>
      <c r="C1711" t="s">
        <v>38</v>
      </c>
      <c r="D1711" s="1">
        <v>2979</v>
      </c>
      <c r="E1711" s="1">
        <v>23135</v>
      </c>
      <c r="F1711" s="2">
        <v>60044</v>
      </c>
    </row>
    <row r="1712" spans="1:6" x14ac:dyDescent="0.3">
      <c r="A1712">
        <v>2017</v>
      </c>
      <c r="B1712" t="s">
        <v>59</v>
      </c>
      <c r="C1712" t="s">
        <v>39</v>
      </c>
      <c r="D1712" s="1">
        <v>28537</v>
      </c>
      <c r="E1712" s="1">
        <v>288615</v>
      </c>
      <c r="F1712" s="2">
        <v>69967</v>
      </c>
    </row>
    <row r="1713" spans="1:6" x14ac:dyDescent="0.3">
      <c r="A1713">
        <v>2017</v>
      </c>
      <c r="B1713" t="s">
        <v>59</v>
      </c>
      <c r="C1713" t="s">
        <v>40</v>
      </c>
      <c r="D1713" s="1">
        <v>11379</v>
      </c>
      <c r="E1713" s="1">
        <v>76757</v>
      </c>
      <c r="F1713" s="2">
        <v>56323</v>
      </c>
    </row>
    <row r="1714" spans="1:6" x14ac:dyDescent="0.3">
      <c r="A1714">
        <v>2017</v>
      </c>
      <c r="B1714" t="s">
        <v>59</v>
      </c>
      <c r="C1714" t="s">
        <v>41</v>
      </c>
      <c r="D1714" s="1">
        <v>12686</v>
      </c>
      <c r="E1714" s="1">
        <v>83715</v>
      </c>
      <c r="F1714" s="2">
        <v>67638</v>
      </c>
    </row>
    <row r="1715" spans="1:6" x14ac:dyDescent="0.3">
      <c r="A1715">
        <v>2017</v>
      </c>
      <c r="B1715" t="s">
        <v>59</v>
      </c>
      <c r="C1715" t="s">
        <v>42</v>
      </c>
      <c r="D1715" s="1">
        <v>28479</v>
      </c>
      <c r="E1715" s="1">
        <v>321121</v>
      </c>
      <c r="F1715" s="2">
        <v>85405</v>
      </c>
    </row>
    <row r="1716" spans="1:6" x14ac:dyDescent="0.3">
      <c r="A1716">
        <v>2017</v>
      </c>
      <c r="B1716" t="s">
        <v>59</v>
      </c>
      <c r="C1716" t="s">
        <v>43</v>
      </c>
      <c r="D1716" s="1">
        <v>2802</v>
      </c>
      <c r="E1716" s="1">
        <v>32758</v>
      </c>
      <c r="F1716" s="2">
        <v>89570</v>
      </c>
    </row>
    <row r="1717" spans="1:6" x14ac:dyDescent="0.3">
      <c r="A1717">
        <v>2017</v>
      </c>
      <c r="B1717" t="s">
        <v>59</v>
      </c>
      <c r="C1717" t="s">
        <v>44</v>
      </c>
      <c r="D1717" s="1">
        <v>12653</v>
      </c>
      <c r="E1717" s="1">
        <v>98790</v>
      </c>
      <c r="F1717" s="2">
        <v>59859</v>
      </c>
    </row>
    <row r="1718" spans="1:6" x14ac:dyDescent="0.3">
      <c r="A1718">
        <v>2017</v>
      </c>
      <c r="B1718" t="s">
        <v>59</v>
      </c>
      <c r="C1718" t="s">
        <v>45</v>
      </c>
      <c r="D1718" s="1">
        <v>3221</v>
      </c>
      <c r="E1718" s="1">
        <v>28761</v>
      </c>
      <c r="F1718" s="2">
        <v>57506</v>
      </c>
    </row>
    <row r="1719" spans="1:6" x14ac:dyDescent="0.3">
      <c r="A1719">
        <v>2017</v>
      </c>
      <c r="B1719" t="s">
        <v>59</v>
      </c>
      <c r="C1719" t="s">
        <v>46</v>
      </c>
      <c r="D1719" s="1">
        <v>15531</v>
      </c>
      <c r="E1719" s="1">
        <v>148433</v>
      </c>
      <c r="F1719" s="2">
        <v>71601</v>
      </c>
    </row>
    <row r="1720" spans="1:6" x14ac:dyDescent="0.3">
      <c r="A1720">
        <v>2017</v>
      </c>
      <c r="B1720" t="s">
        <v>59</v>
      </c>
      <c r="C1720" t="s">
        <v>47</v>
      </c>
      <c r="D1720" s="1">
        <v>71279</v>
      </c>
      <c r="E1720" s="1">
        <v>740328</v>
      </c>
      <c r="F1720" s="2">
        <v>80242</v>
      </c>
    </row>
    <row r="1721" spans="1:6" x14ac:dyDescent="0.3">
      <c r="A1721">
        <v>2017</v>
      </c>
      <c r="B1721" t="s">
        <v>59</v>
      </c>
      <c r="C1721" t="s">
        <v>48</v>
      </c>
      <c r="D1721" s="1">
        <v>11066</v>
      </c>
      <c r="E1721" s="1">
        <v>84072</v>
      </c>
      <c r="F1721" s="2">
        <v>64760</v>
      </c>
    </row>
    <row r="1722" spans="1:6" x14ac:dyDescent="0.3">
      <c r="A1722">
        <v>2017</v>
      </c>
      <c r="B1722" t="s">
        <v>59</v>
      </c>
      <c r="C1722" t="s">
        <v>49</v>
      </c>
      <c r="D1722" s="1">
        <v>1700</v>
      </c>
      <c r="E1722" s="1">
        <v>11731</v>
      </c>
      <c r="F1722" s="2">
        <v>70768</v>
      </c>
    </row>
    <row r="1723" spans="1:6" x14ac:dyDescent="0.3">
      <c r="A1723">
        <v>2017</v>
      </c>
      <c r="B1723" t="s">
        <v>59</v>
      </c>
      <c r="C1723" t="s">
        <v>50</v>
      </c>
      <c r="D1723" s="1">
        <v>21609</v>
      </c>
      <c r="E1723" s="1">
        <v>192079</v>
      </c>
      <c r="F1723" s="2">
        <v>82201</v>
      </c>
    </row>
    <row r="1724" spans="1:6" x14ac:dyDescent="0.3">
      <c r="A1724">
        <v>2017</v>
      </c>
      <c r="B1724" t="s">
        <v>59</v>
      </c>
      <c r="C1724" t="s">
        <v>51</v>
      </c>
      <c r="D1724" s="1">
        <v>17184</v>
      </c>
      <c r="E1724" s="1">
        <v>144458</v>
      </c>
      <c r="F1724" s="2">
        <v>76957</v>
      </c>
    </row>
    <row r="1725" spans="1:6" x14ac:dyDescent="0.3">
      <c r="A1725">
        <v>2017</v>
      </c>
      <c r="B1725" t="s">
        <v>59</v>
      </c>
      <c r="C1725" t="s">
        <v>52</v>
      </c>
      <c r="D1725" s="1">
        <v>3992</v>
      </c>
      <c r="E1725" s="1">
        <v>24123</v>
      </c>
      <c r="F1725" s="2">
        <v>50354</v>
      </c>
    </row>
    <row r="1726" spans="1:6" x14ac:dyDescent="0.3">
      <c r="A1726">
        <v>2017</v>
      </c>
      <c r="B1726" t="s">
        <v>59</v>
      </c>
      <c r="C1726" t="s">
        <v>53</v>
      </c>
      <c r="D1726" s="1">
        <v>13244</v>
      </c>
      <c r="E1726" s="1">
        <v>148873</v>
      </c>
      <c r="F1726" s="2">
        <v>68759</v>
      </c>
    </row>
    <row r="1727" spans="1:6" x14ac:dyDescent="0.3">
      <c r="A1727">
        <v>2017</v>
      </c>
      <c r="B1727" t="s">
        <v>59</v>
      </c>
      <c r="C1727" t="s">
        <v>54</v>
      </c>
      <c r="D1727" s="1">
        <v>2248</v>
      </c>
      <c r="E1727" s="1">
        <v>10938</v>
      </c>
      <c r="F1727" s="2">
        <v>54692</v>
      </c>
    </row>
    <row r="1728" spans="1:6" x14ac:dyDescent="0.3">
      <c r="A1728">
        <v>2017</v>
      </c>
      <c r="B1728" t="s">
        <v>60</v>
      </c>
      <c r="C1728" t="s">
        <v>7</v>
      </c>
      <c r="D1728" s="1">
        <v>21426</v>
      </c>
      <c r="E1728" s="1">
        <v>239356</v>
      </c>
      <c r="F1728" s="2">
        <v>53774</v>
      </c>
    </row>
    <row r="1729" spans="1:6" x14ac:dyDescent="0.3">
      <c r="A1729">
        <v>2017</v>
      </c>
      <c r="B1729" t="s">
        <v>60</v>
      </c>
      <c r="C1729" t="s">
        <v>8</v>
      </c>
      <c r="D1729" s="1">
        <v>31059</v>
      </c>
      <c r="E1729" s="1">
        <v>417456</v>
      </c>
      <c r="F1729" s="2">
        <v>55334</v>
      </c>
    </row>
    <row r="1730" spans="1:6" x14ac:dyDescent="0.3">
      <c r="A1730">
        <v>2017</v>
      </c>
      <c r="B1730" t="s">
        <v>60</v>
      </c>
      <c r="C1730" t="s">
        <v>9</v>
      </c>
      <c r="D1730" s="1">
        <v>13845</v>
      </c>
      <c r="E1730" s="1">
        <v>144215</v>
      </c>
      <c r="F1730" s="2">
        <v>59263</v>
      </c>
    </row>
    <row r="1731" spans="1:6" x14ac:dyDescent="0.3">
      <c r="A1731">
        <v>2017</v>
      </c>
      <c r="B1731" t="s">
        <v>60</v>
      </c>
      <c r="C1731" t="s">
        <v>10</v>
      </c>
      <c r="D1731" s="1">
        <v>188712</v>
      </c>
      <c r="E1731" s="1">
        <v>2551444</v>
      </c>
      <c r="F1731" s="2">
        <v>86955</v>
      </c>
    </row>
    <row r="1732" spans="1:6" x14ac:dyDescent="0.3">
      <c r="A1732">
        <v>2017</v>
      </c>
      <c r="B1732" t="s">
        <v>60</v>
      </c>
      <c r="C1732" t="s">
        <v>11</v>
      </c>
      <c r="D1732" s="1">
        <v>50576</v>
      </c>
      <c r="E1732" s="1">
        <v>412889</v>
      </c>
      <c r="F1732" s="2">
        <v>78698</v>
      </c>
    </row>
    <row r="1733" spans="1:6" x14ac:dyDescent="0.3">
      <c r="A1733">
        <v>2017</v>
      </c>
      <c r="B1733" t="s">
        <v>60</v>
      </c>
      <c r="C1733" t="s">
        <v>12</v>
      </c>
      <c r="D1733" s="1">
        <v>22807</v>
      </c>
      <c r="E1733" s="1">
        <v>218450</v>
      </c>
      <c r="F1733" s="2">
        <v>87307</v>
      </c>
    </row>
    <row r="1734" spans="1:6" x14ac:dyDescent="0.3">
      <c r="A1734">
        <v>2017</v>
      </c>
      <c r="B1734" t="s">
        <v>60</v>
      </c>
      <c r="C1734" t="s">
        <v>13</v>
      </c>
      <c r="D1734" s="1">
        <v>8644</v>
      </c>
      <c r="E1734" s="1">
        <v>61956</v>
      </c>
      <c r="F1734" s="2">
        <v>80600</v>
      </c>
    </row>
    <row r="1735" spans="1:6" x14ac:dyDescent="0.3">
      <c r="A1735">
        <v>2017</v>
      </c>
      <c r="B1735" t="s">
        <v>60</v>
      </c>
      <c r="C1735" t="s">
        <v>14</v>
      </c>
      <c r="D1735" s="1">
        <v>156978</v>
      </c>
      <c r="E1735" s="1">
        <v>1322562</v>
      </c>
      <c r="F1735" s="2">
        <v>58653</v>
      </c>
    </row>
    <row r="1736" spans="1:6" x14ac:dyDescent="0.3">
      <c r="A1736">
        <v>2017</v>
      </c>
      <c r="B1736" t="s">
        <v>60</v>
      </c>
      <c r="C1736" t="s">
        <v>15</v>
      </c>
      <c r="D1736" s="1">
        <v>54102</v>
      </c>
      <c r="E1736" s="1">
        <v>668820</v>
      </c>
      <c r="F1736" s="2">
        <v>64724</v>
      </c>
    </row>
    <row r="1737" spans="1:6" x14ac:dyDescent="0.3">
      <c r="A1737">
        <v>2017</v>
      </c>
      <c r="B1737" t="s">
        <v>60</v>
      </c>
      <c r="C1737" t="s">
        <v>16</v>
      </c>
      <c r="D1737" s="1">
        <v>11075</v>
      </c>
      <c r="E1737" s="1">
        <v>88110</v>
      </c>
      <c r="F1737" s="2">
        <v>48653</v>
      </c>
    </row>
    <row r="1738" spans="1:6" x14ac:dyDescent="0.3">
      <c r="A1738">
        <v>2017</v>
      </c>
      <c r="B1738" t="s">
        <v>60</v>
      </c>
      <c r="C1738" t="s">
        <v>17</v>
      </c>
      <c r="D1738" s="1">
        <v>73447</v>
      </c>
      <c r="E1738" s="1">
        <v>942202</v>
      </c>
      <c r="F1738" s="2">
        <v>73829</v>
      </c>
    </row>
    <row r="1739" spans="1:6" x14ac:dyDescent="0.3">
      <c r="A1739">
        <v>2017</v>
      </c>
      <c r="B1739" t="s">
        <v>60</v>
      </c>
      <c r="C1739" t="s">
        <v>18</v>
      </c>
      <c r="D1739" s="1">
        <v>29045</v>
      </c>
      <c r="E1739" s="1">
        <v>336985</v>
      </c>
      <c r="F1739" s="2">
        <v>50796</v>
      </c>
    </row>
    <row r="1740" spans="1:6" x14ac:dyDescent="0.3">
      <c r="A1740">
        <v>2017</v>
      </c>
      <c r="B1740" t="s">
        <v>60</v>
      </c>
      <c r="C1740" t="s">
        <v>19</v>
      </c>
      <c r="D1740" s="1">
        <v>15401</v>
      </c>
      <c r="E1740" s="1">
        <v>139096</v>
      </c>
      <c r="F1740" s="2">
        <v>52293</v>
      </c>
    </row>
    <row r="1741" spans="1:6" x14ac:dyDescent="0.3">
      <c r="A1741">
        <v>2017</v>
      </c>
      <c r="B1741" t="s">
        <v>60</v>
      </c>
      <c r="C1741" t="s">
        <v>20</v>
      </c>
      <c r="D1741" s="1">
        <v>16569</v>
      </c>
      <c r="E1741" s="1">
        <v>177353</v>
      </c>
      <c r="F1741" s="2">
        <v>59048</v>
      </c>
    </row>
    <row r="1742" spans="1:6" x14ac:dyDescent="0.3">
      <c r="A1742">
        <v>2017</v>
      </c>
      <c r="B1742" t="s">
        <v>60</v>
      </c>
      <c r="C1742" t="s">
        <v>21</v>
      </c>
      <c r="D1742" s="1">
        <v>20206</v>
      </c>
      <c r="E1742" s="1">
        <v>214141</v>
      </c>
      <c r="F1742" s="2">
        <v>48829</v>
      </c>
    </row>
    <row r="1743" spans="1:6" x14ac:dyDescent="0.3">
      <c r="A1743">
        <v>2017</v>
      </c>
      <c r="B1743" t="s">
        <v>60</v>
      </c>
      <c r="C1743" t="s">
        <v>22</v>
      </c>
      <c r="D1743" s="1">
        <v>24001</v>
      </c>
      <c r="E1743" s="1">
        <v>209874</v>
      </c>
      <c r="F1743" s="2">
        <v>55218</v>
      </c>
    </row>
    <row r="1744" spans="1:6" x14ac:dyDescent="0.3">
      <c r="A1744">
        <v>2017</v>
      </c>
      <c r="B1744" t="s">
        <v>60</v>
      </c>
      <c r="C1744" t="s">
        <v>23</v>
      </c>
      <c r="D1744" s="1">
        <v>9912</v>
      </c>
      <c r="E1744" s="1">
        <v>66736</v>
      </c>
      <c r="F1744" s="2">
        <v>55405</v>
      </c>
    </row>
    <row r="1745" spans="1:6" x14ac:dyDescent="0.3">
      <c r="A1745">
        <v>2017</v>
      </c>
      <c r="B1745" t="s">
        <v>60</v>
      </c>
      <c r="C1745" t="s">
        <v>24</v>
      </c>
      <c r="D1745" s="1">
        <v>42175</v>
      </c>
      <c r="E1745" s="1">
        <v>443764</v>
      </c>
      <c r="F1745" s="2">
        <v>77259</v>
      </c>
    </row>
    <row r="1746" spans="1:6" x14ac:dyDescent="0.3">
      <c r="A1746">
        <v>2017</v>
      </c>
      <c r="B1746" t="s">
        <v>60</v>
      </c>
      <c r="C1746" t="s">
        <v>25</v>
      </c>
      <c r="D1746" s="1">
        <v>47186</v>
      </c>
      <c r="E1746" s="1">
        <v>566190</v>
      </c>
      <c r="F1746" s="2">
        <v>102580</v>
      </c>
    </row>
    <row r="1747" spans="1:6" x14ac:dyDescent="0.3">
      <c r="A1747">
        <v>2017</v>
      </c>
      <c r="B1747" t="s">
        <v>60</v>
      </c>
      <c r="C1747" t="s">
        <v>26</v>
      </c>
      <c r="D1747" s="1">
        <v>42271</v>
      </c>
      <c r="E1747" s="1">
        <v>645279</v>
      </c>
      <c r="F1747" s="2">
        <v>68677</v>
      </c>
    </row>
    <row r="1748" spans="1:6" x14ac:dyDescent="0.3">
      <c r="A1748">
        <v>2017</v>
      </c>
      <c r="B1748" t="s">
        <v>60</v>
      </c>
      <c r="C1748" t="s">
        <v>27</v>
      </c>
      <c r="D1748" s="1">
        <v>29916</v>
      </c>
      <c r="E1748" s="1">
        <v>373603</v>
      </c>
      <c r="F1748" s="2">
        <v>80794</v>
      </c>
    </row>
    <row r="1749" spans="1:6" x14ac:dyDescent="0.3">
      <c r="A1749">
        <v>2017</v>
      </c>
      <c r="B1749" t="s">
        <v>60</v>
      </c>
      <c r="C1749" t="s">
        <v>28</v>
      </c>
      <c r="D1749" s="1">
        <v>11953</v>
      </c>
      <c r="E1749" s="1">
        <v>107737</v>
      </c>
      <c r="F1749" s="2">
        <v>41461</v>
      </c>
    </row>
    <row r="1750" spans="1:6" x14ac:dyDescent="0.3">
      <c r="A1750">
        <v>2017</v>
      </c>
      <c r="B1750" t="s">
        <v>60</v>
      </c>
      <c r="C1750" t="s">
        <v>29</v>
      </c>
      <c r="D1750" s="1">
        <v>33699</v>
      </c>
      <c r="E1750" s="1">
        <v>381525</v>
      </c>
      <c r="F1750" s="2">
        <v>63932</v>
      </c>
    </row>
    <row r="1751" spans="1:6" x14ac:dyDescent="0.3">
      <c r="A1751">
        <v>2017</v>
      </c>
      <c r="B1751" t="s">
        <v>60</v>
      </c>
      <c r="C1751" t="s">
        <v>30</v>
      </c>
      <c r="D1751" s="1">
        <v>8994</v>
      </c>
      <c r="E1751" s="1">
        <v>41010</v>
      </c>
      <c r="F1751" s="2">
        <v>50921</v>
      </c>
    </row>
    <row r="1752" spans="1:6" x14ac:dyDescent="0.3">
      <c r="A1752">
        <v>2017</v>
      </c>
      <c r="B1752" t="s">
        <v>60</v>
      </c>
      <c r="C1752" t="s">
        <v>31</v>
      </c>
      <c r="D1752" s="1">
        <v>11395</v>
      </c>
      <c r="E1752" s="1">
        <v>117542</v>
      </c>
      <c r="F1752" s="2">
        <v>59204</v>
      </c>
    </row>
    <row r="1753" spans="1:6" x14ac:dyDescent="0.3">
      <c r="A1753">
        <v>2017</v>
      </c>
      <c r="B1753" t="s">
        <v>60</v>
      </c>
      <c r="C1753" t="s">
        <v>32</v>
      </c>
      <c r="D1753" s="1">
        <v>19521</v>
      </c>
      <c r="E1753" s="1">
        <v>181485</v>
      </c>
      <c r="F1753" s="2">
        <v>58283</v>
      </c>
    </row>
    <row r="1754" spans="1:6" x14ac:dyDescent="0.3">
      <c r="A1754">
        <v>2017</v>
      </c>
      <c r="B1754" t="s">
        <v>60</v>
      </c>
      <c r="C1754" t="s">
        <v>33</v>
      </c>
      <c r="D1754" s="1">
        <v>11938</v>
      </c>
      <c r="E1754" s="1">
        <v>81761</v>
      </c>
      <c r="F1754" s="2">
        <v>75584</v>
      </c>
    </row>
    <row r="1755" spans="1:6" x14ac:dyDescent="0.3">
      <c r="A1755">
        <v>2017</v>
      </c>
      <c r="B1755" t="s">
        <v>60</v>
      </c>
      <c r="C1755" t="s">
        <v>34</v>
      </c>
      <c r="D1755" s="1">
        <v>50907</v>
      </c>
      <c r="E1755" s="1">
        <v>663584</v>
      </c>
      <c r="F1755" s="2">
        <v>88404</v>
      </c>
    </row>
    <row r="1756" spans="1:6" x14ac:dyDescent="0.3">
      <c r="A1756">
        <v>2017</v>
      </c>
      <c r="B1756" t="s">
        <v>60</v>
      </c>
      <c r="C1756" t="s">
        <v>35</v>
      </c>
      <c r="D1756" s="1">
        <v>10062</v>
      </c>
      <c r="E1756" s="1">
        <v>104434</v>
      </c>
      <c r="F1756" s="2">
        <v>60086</v>
      </c>
    </row>
    <row r="1757" spans="1:6" x14ac:dyDescent="0.3">
      <c r="A1757">
        <v>2017</v>
      </c>
      <c r="B1757" t="s">
        <v>60</v>
      </c>
      <c r="C1757" t="s">
        <v>36</v>
      </c>
      <c r="D1757" s="1">
        <v>111646</v>
      </c>
      <c r="E1757" s="1">
        <v>1314408</v>
      </c>
      <c r="F1757" s="2">
        <v>92549</v>
      </c>
    </row>
    <row r="1758" spans="1:6" x14ac:dyDescent="0.3">
      <c r="A1758">
        <v>2017</v>
      </c>
      <c r="B1758" t="s">
        <v>60</v>
      </c>
      <c r="C1758" t="s">
        <v>37</v>
      </c>
      <c r="D1758" s="1">
        <v>57179</v>
      </c>
      <c r="E1758" s="1">
        <v>616193</v>
      </c>
      <c r="F1758" s="2">
        <v>62617</v>
      </c>
    </row>
    <row r="1759" spans="1:6" x14ac:dyDescent="0.3">
      <c r="A1759">
        <v>2017</v>
      </c>
      <c r="B1759" t="s">
        <v>60</v>
      </c>
      <c r="C1759" t="s">
        <v>38</v>
      </c>
      <c r="D1759" s="1">
        <v>4917</v>
      </c>
      <c r="E1759" s="1">
        <v>34300</v>
      </c>
      <c r="F1759" s="2">
        <v>59438</v>
      </c>
    </row>
    <row r="1760" spans="1:6" x14ac:dyDescent="0.3">
      <c r="A1760">
        <v>2017</v>
      </c>
      <c r="B1760" t="s">
        <v>60</v>
      </c>
      <c r="C1760" t="s">
        <v>39</v>
      </c>
      <c r="D1760" s="1">
        <v>52650</v>
      </c>
      <c r="E1760" s="1">
        <v>724748</v>
      </c>
      <c r="F1760" s="2">
        <v>62445</v>
      </c>
    </row>
    <row r="1761" spans="1:6" x14ac:dyDescent="0.3">
      <c r="A1761">
        <v>2017</v>
      </c>
      <c r="B1761" t="s">
        <v>60</v>
      </c>
      <c r="C1761" t="s">
        <v>40</v>
      </c>
      <c r="D1761" s="1">
        <v>20434</v>
      </c>
      <c r="E1761" s="1">
        <v>185534</v>
      </c>
      <c r="F1761" s="2">
        <v>50640</v>
      </c>
    </row>
    <row r="1762" spans="1:6" x14ac:dyDescent="0.3">
      <c r="A1762">
        <v>2017</v>
      </c>
      <c r="B1762" t="s">
        <v>60</v>
      </c>
      <c r="C1762" t="s">
        <v>41</v>
      </c>
      <c r="D1762" s="1">
        <v>24942</v>
      </c>
      <c r="E1762" s="1">
        <v>242708</v>
      </c>
      <c r="F1762" s="2">
        <v>67873</v>
      </c>
    </row>
    <row r="1763" spans="1:6" x14ac:dyDescent="0.3">
      <c r="A1763">
        <v>2017</v>
      </c>
      <c r="B1763" t="s">
        <v>60</v>
      </c>
      <c r="C1763" t="s">
        <v>42</v>
      </c>
      <c r="D1763" s="1">
        <v>61779</v>
      </c>
      <c r="E1763" s="1">
        <v>799939</v>
      </c>
      <c r="F1763" s="2">
        <v>76029</v>
      </c>
    </row>
    <row r="1764" spans="1:6" x14ac:dyDescent="0.3">
      <c r="A1764">
        <v>2017</v>
      </c>
      <c r="B1764" t="s">
        <v>60</v>
      </c>
      <c r="C1764" t="s">
        <v>43</v>
      </c>
      <c r="D1764" s="1">
        <v>8350</v>
      </c>
      <c r="E1764" s="1">
        <v>67366</v>
      </c>
      <c r="F1764" s="2">
        <v>67763</v>
      </c>
    </row>
    <row r="1765" spans="1:6" x14ac:dyDescent="0.3">
      <c r="A1765">
        <v>2017</v>
      </c>
      <c r="B1765" t="s">
        <v>60</v>
      </c>
      <c r="C1765" t="s">
        <v>44</v>
      </c>
      <c r="D1765" s="1">
        <v>25902</v>
      </c>
      <c r="E1765" s="1">
        <v>280711</v>
      </c>
      <c r="F1765" s="2">
        <v>49505</v>
      </c>
    </row>
    <row r="1766" spans="1:6" x14ac:dyDescent="0.3">
      <c r="A1766">
        <v>2017</v>
      </c>
      <c r="B1766" t="s">
        <v>60</v>
      </c>
      <c r="C1766" t="s">
        <v>45</v>
      </c>
      <c r="D1766" s="1">
        <v>5030</v>
      </c>
      <c r="E1766" s="1">
        <v>31264</v>
      </c>
      <c r="F1766" s="2">
        <v>55293</v>
      </c>
    </row>
    <row r="1767" spans="1:6" x14ac:dyDescent="0.3">
      <c r="A1767">
        <v>2017</v>
      </c>
      <c r="B1767" t="s">
        <v>60</v>
      </c>
      <c r="C1767" t="s">
        <v>46</v>
      </c>
      <c r="D1767" s="1">
        <v>28315</v>
      </c>
      <c r="E1767" s="1">
        <v>407133</v>
      </c>
      <c r="F1767" s="2">
        <v>56172</v>
      </c>
    </row>
    <row r="1768" spans="1:6" x14ac:dyDescent="0.3">
      <c r="A1768">
        <v>2017</v>
      </c>
      <c r="B1768" t="s">
        <v>60</v>
      </c>
      <c r="C1768" t="s">
        <v>47</v>
      </c>
      <c r="D1768" s="1">
        <v>129242</v>
      </c>
      <c r="E1768" s="1">
        <v>1666865</v>
      </c>
      <c r="F1768" s="2">
        <v>71507</v>
      </c>
    </row>
    <row r="1769" spans="1:6" x14ac:dyDescent="0.3">
      <c r="A1769">
        <v>2017</v>
      </c>
      <c r="B1769" t="s">
        <v>60</v>
      </c>
      <c r="C1769" t="s">
        <v>48</v>
      </c>
      <c r="D1769" s="1">
        <v>21911</v>
      </c>
      <c r="E1769" s="1">
        <v>205052</v>
      </c>
      <c r="F1769" s="2">
        <v>56815</v>
      </c>
    </row>
    <row r="1770" spans="1:6" x14ac:dyDescent="0.3">
      <c r="A1770">
        <v>2017</v>
      </c>
      <c r="B1770" t="s">
        <v>60</v>
      </c>
      <c r="C1770" t="s">
        <v>49</v>
      </c>
      <c r="D1770" s="1">
        <v>5488</v>
      </c>
      <c r="E1770" s="1">
        <v>28484</v>
      </c>
      <c r="F1770" s="2">
        <v>63457</v>
      </c>
    </row>
    <row r="1771" spans="1:6" x14ac:dyDescent="0.3">
      <c r="A1771">
        <v>2017</v>
      </c>
      <c r="B1771" t="s">
        <v>60</v>
      </c>
      <c r="C1771" t="s">
        <v>50</v>
      </c>
      <c r="D1771" s="1">
        <v>57146</v>
      </c>
      <c r="E1771" s="1">
        <v>725936</v>
      </c>
      <c r="F1771" s="2">
        <v>84971</v>
      </c>
    </row>
    <row r="1772" spans="1:6" x14ac:dyDescent="0.3">
      <c r="A1772">
        <v>2017</v>
      </c>
      <c r="B1772" t="s">
        <v>60</v>
      </c>
      <c r="C1772" t="s">
        <v>51</v>
      </c>
      <c r="D1772" s="1">
        <v>39177</v>
      </c>
      <c r="E1772" s="1">
        <v>404782</v>
      </c>
      <c r="F1772" s="2">
        <v>76348</v>
      </c>
    </row>
    <row r="1773" spans="1:6" x14ac:dyDescent="0.3">
      <c r="A1773">
        <v>2017</v>
      </c>
      <c r="B1773" t="s">
        <v>60</v>
      </c>
      <c r="C1773" t="s">
        <v>52</v>
      </c>
      <c r="D1773" s="1">
        <v>8077</v>
      </c>
      <c r="E1773" s="1">
        <v>66420</v>
      </c>
      <c r="F1773" s="2">
        <v>48213</v>
      </c>
    </row>
    <row r="1774" spans="1:6" x14ac:dyDescent="0.3">
      <c r="A1774">
        <v>2017</v>
      </c>
      <c r="B1774" t="s">
        <v>60</v>
      </c>
      <c r="C1774" t="s">
        <v>53</v>
      </c>
      <c r="D1774" s="1">
        <v>23769</v>
      </c>
      <c r="E1774" s="1">
        <v>324012</v>
      </c>
      <c r="F1774" s="2">
        <v>57868</v>
      </c>
    </row>
    <row r="1775" spans="1:6" x14ac:dyDescent="0.3">
      <c r="A1775">
        <v>2017</v>
      </c>
      <c r="B1775" t="s">
        <v>60</v>
      </c>
      <c r="C1775" t="s">
        <v>54</v>
      </c>
      <c r="D1775" s="1">
        <v>4417</v>
      </c>
      <c r="E1775" s="1">
        <v>18050</v>
      </c>
      <c r="F1775" s="2">
        <v>50226</v>
      </c>
    </row>
    <row r="1776" spans="1:6" x14ac:dyDescent="0.3">
      <c r="A1776">
        <v>2017</v>
      </c>
      <c r="B1776" t="s">
        <v>61</v>
      </c>
      <c r="C1776" t="s">
        <v>7</v>
      </c>
      <c r="D1776" s="1">
        <v>12429</v>
      </c>
      <c r="E1776" s="1">
        <v>229821</v>
      </c>
      <c r="F1776" s="2">
        <v>45641</v>
      </c>
    </row>
    <row r="1777" spans="1:6" x14ac:dyDescent="0.3">
      <c r="A1777">
        <v>2017</v>
      </c>
      <c r="B1777" t="s">
        <v>61</v>
      </c>
      <c r="C1777" t="s">
        <v>8</v>
      </c>
      <c r="D1777" s="1">
        <v>16509</v>
      </c>
      <c r="E1777" s="1">
        <v>420129</v>
      </c>
      <c r="F1777" s="2">
        <v>50240</v>
      </c>
    </row>
    <row r="1778" spans="1:6" x14ac:dyDescent="0.3">
      <c r="A1778">
        <v>2017</v>
      </c>
      <c r="B1778" t="s">
        <v>61</v>
      </c>
      <c r="C1778" t="s">
        <v>9</v>
      </c>
      <c r="D1778" s="1">
        <v>15762</v>
      </c>
      <c r="E1778" s="1">
        <v>183433</v>
      </c>
      <c r="F1778" s="2">
        <v>41521</v>
      </c>
    </row>
    <row r="1779" spans="1:6" x14ac:dyDescent="0.3">
      <c r="A1779">
        <v>2017</v>
      </c>
      <c r="B1779" t="s">
        <v>61</v>
      </c>
      <c r="C1779" t="s">
        <v>10</v>
      </c>
      <c r="D1779" s="1">
        <v>593987</v>
      </c>
      <c r="E1779" s="1">
        <v>2560907</v>
      </c>
      <c r="F1779" s="2">
        <v>50766</v>
      </c>
    </row>
    <row r="1780" spans="1:6" x14ac:dyDescent="0.3">
      <c r="A1780">
        <v>2017</v>
      </c>
      <c r="B1780" t="s">
        <v>61</v>
      </c>
      <c r="C1780" t="s">
        <v>11</v>
      </c>
      <c r="D1780" s="1">
        <v>21356</v>
      </c>
      <c r="E1780" s="1">
        <v>328843</v>
      </c>
      <c r="F1780" s="2">
        <v>48754</v>
      </c>
    </row>
    <row r="1781" spans="1:6" x14ac:dyDescent="0.3">
      <c r="A1781">
        <v>2017</v>
      </c>
      <c r="B1781" t="s">
        <v>61</v>
      </c>
      <c r="C1781" t="s">
        <v>12</v>
      </c>
      <c r="D1781" s="1">
        <v>12701</v>
      </c>
      <c r="E1781" s="1">
        <v>325348</v>
      </c>
      <c r="F1781" s="2">
        <v>53993</v>
      </c>
    </row>
    <row r="1782" spans="1:6" x14ac:dyDescent="0.3">
      <c r="A1782">
        <v>2017</v>
      </c>
      <c r="B1782" t="s">
        <v>61</v>
      </c>
      <c r="C1782" t="s">
        <v>13</v>
      </c>
      <c r="D1782" s="1">
        <v>4626</v>
      </c>
      <c r="E1782" s="1">
        <v>73879</v>
      </c>
      <c r="F1782" s="2">
        <v>53083</v>
      </c>
    </row>
    <row r="1783" spans="1:6" x14ac:dyDescent="0.3">
      <c r="A1783">
        <v>2017</v>
      </c>
      <c r="B1783" t="s">
        <v>61</v>
      </c>
      <c r="C1783" t="s">
        <v>14</v>
      </c>
      <c r="D1783" s="1">
        <v>71929</v>
      </c>
      <c r="E1783" s="1">
        <v>1258710</v>
      </c>
      <c r="F1783" s="2">
        <v>49450</v>
      </c>
    </row>
    <row r="1784" spans="1:6" x14ac:dyDescent="0.3">
      <c r="A1784">
        <v>2017</v>
      </c>
      <c r="B1784" t="s">
        <v>61</v>
      </c>
      <c r="C1784" t="s">
        <v>15</v>
      </c>
      <c r="D1784" s="1">
        <v>28426</v>
      </c>
      <c r="E1784" s="1">
        <v>546707</v>
      </c>
      <c r="F1784" s="2">
        <v>50819</v>
      </c>
    </row>
    <row r="1785" spans="1:6" x14ac:dyDescent="0.3">
      <c r="A1785">
        <v>2017</v>
      </c>
      <c r="B1785" t="s">
        <v>61</v>
      </c>
      <c r="C1785" t="s">
        <v>16</v>
      </c>
      <c r="D1785" s="1">
        <v>7292</v>
      </c>
      <c r="E1785" s="1">
        <v>96246</v>
      </c>
      <c r="F1785" s="2">
        <v>40927</v>
      </c>
    </row>
    <row r="1786" spans="1:6" x14ac:dyDescent="0.3">
      <c r="A1786">
        <v>2017</v>
      </c>
      <c r="B1786" t="s">
        <v>61</v>
      </c>
      <c r="C1786" t="s">
        <v>17</v>
      </c>
      <c r="D1786" s="1">
        <v>34414</v>
      </c>
      <c r="E1786" s="1">
        <v>910288</v>
      </c>
      <c r="F1786" s="2">
        <v>49347</v>
      </c>
    </row>
    <row r="1787" spans="1:6" x14ac:dyDescent="0.3">
      <c r="A1787">
        <v>2017</v>
      </c>
      <c r="B1787" t="s">
        <v>61</v>
      </c>
      <c r="C1787" t="s">
        <v>18</v>
      </c>
      <c r="D1787" s="1">
        <v>15254</v>
      </c>
      <c r="E1787" s="1">
        <v>452646</v>
      </c>
      <c r="F1787" s="2">
        <v>46791</v>
      </c>
    </row>
    <row r="1788" spans="1:6" x14ac:dyDescent="0.3">
      <c r="A1788">
        <v>2017</v>
      </c>
      <c r="B1788" t="s">
        <v>61</v>
      </c>
      <c r="C1788" t="s">
        <v>19</v>
      </c>
      <c r="D1788" s="1">
        <v>11324</v>
      </c>
      <c r="E1788" s="1">
        <v>219362</v>
      </c>
      <c r="F1788" s="2">
        <v>42092</v>
      </c>
    </row>
    <row r="1789" spans="1:6" x14ac:dyDescent="0.3">
      <c r="A1789">
        <v>2017</v>
      </c>
      <c r="B1789" t="s">
        <v>61</v>
      </c>
      <c r="C1789" t="s">
        <v>20</v>
      </c>
      <c r="D1789" s="1">
        <v>10129</v>
      </c>
      <c r="E1789" s="1">
        <v>192638</v>
      </c>
      <c r="F1789" s="2">
        <v>41465</v>
      </c>
    </row>
    <row r="1790" spans="1:6" x14ac:dyDescent="0.3">
      <c r="A1790">
        <v>2017</v>
      </c>
      <c r="B1790" t="s">
        <v>61</v>
      </c>
      <c r="C1790" t="s">
        <v>21</v>
      </c>
      <c r="D1790" s="1">
        <v>17849</v>
      </c>
      <c r="E1790" s="1">
        <v>262151</v>
      </c>
      <c r="F1790" s="2">
        <v>47340</v>
      </c>
    </row>
    <row r="1791" spans="1:6" x14ac:dyDescent="0.3">
      <c r="A1791">
        <v>2017</v>
      </c>
      <c r="B1791" t="s">
        <v>61</v>
      </c>
      <c r="C1791" t="s">
        <v>22</v>
      </c>
      <c r="D1791" s="1">
        <v>15003</v>
      </c>
      <c r="E1791" s="1">
        <v>297694</v>
      </c>
      <c r="F1791" s="2">
        <v>42305</v>
      </c>
    </row>
    <row r="1792" spans="1:6" x14ac:dyDescent="0.3">
      <c r="A1792">
        <v>2017</v>
      </c>
      <c r="B1792" t="s">
        <v>61</v>
      </c>
      <c r="C1792" t="s">
        <v>23</v>
      </c>
      <c r="D1792" s="1">
        <v>6292</v>
      </c>
      <c r="E1792" s="1">
        <v>118412</v>
      </c>
      <c r="F1792" s="2">
        <v>45937</v>
      </c>
    </row>
    <row r="1793" spans="1:6" x14ac:dyDescent="0.3">
      <c r="A1793">
        <v>2017</v>
      </c>
      <c r="B1793" t="s">
        <v>61</v>
      </c>
      <c r="C1793" t="s">
        <v>24</v>
      </c>
      <c r="D1793" s="1">
        <v>20270</v>
      </c>
      <c r="E1793" s="1">
        <v>436185</v>
      </c>
      <c r="F1793" s="2">
        <v>53201</v>
      </c>
    </row>
    <row r="1794" spans="1:6" x14ac:dyDescent="0.3">
      <c r="A1794">
        <v>2017</v>
      </c>
      <c r="B1794" t="s">
        <v>61</v>
      </c>
      <c r="C1794" t="s">
        <v>25</v>
      </c>
      <c r="D1794" s="1">
        <v>61589</v>
      </c>
      <c r="E1794" s="1">
        <v>769824</v>
      </c>
      <c r="F1794" s="2">
        <v>57794</v>
      </c>
    </row>
    <row r="1795" spans="1:6" x14ac:dyDescent="0.3">
      <c r="A1795">
        <v>2017</v>
      </c>
      <c r="B1795" t="s">
        <v>61</v>
      </c>
      <c r="C1795" t="s">
        <v>26</v>
      </c>
      <c r="D1795" s="1">
        <v>24957</v>
      </c>
      <c r="E1795" s="1">
        <v>656020</v>
      </c>
      <c r="F1795" s="2">
        <v>48406</v>
      </c>
    </row>
    <row r="1796" spans="1:6" x14ac:dyDescent="0.3">
      <c r="A1796">
        <v>2017</v>
      </c>
      <c r="B1796" t="s">
        <v>61</v>
      </c>
      <c r="C1796" t="s">
        <v>27</v>
      </c>
      <c r="D1796" s="1">
        <v>17543</v>
      </c>
      <c r="E1796" s="1">
        <v>514711</v>
      </c>
      <c r="F1796" s="2">
        <v>49720</v>
      </c>
    </row>
    <row r="1797" spans="1:6" x14ac:dyDescent="0.3">
      <c r="A1797">
        <v>2017</v>
      </c>
      <c r="B1797" t="s">
        <v>61</v>
      </c>
      <c r="C1797" t="s">
        <v>28</v>
      </c>
      <c r="D1797" s="1">
        <v>7420</v>
      </c>
      <c r="E1797" s="1">
        <v>142412</v>
      </c>
      <c r="F1797" s="2">
        <v>40426</v>
      </c>
    </row>
    <row r="1798" spans="1:6" x14ac:dyDescent="0.3">
      <c r="A1798">
        <v>2017</v>
      </c>
      <c r="B1798" t="s">
        <v>61</v>
      </c>
      <c r="C1798" t="s">
        <v>29</v>
      </c>
      <c r="D1798" s="1">
        <v>48626</v>
      </c>
      <c r="E1798" s="1">
        <v>450671</v>
      </c>
      <c r="F1798" s="2">
        <v>44800</v>
      </c>
    </row>
    <row r="1799" spans="1:6" x14ac:dyDescent="0.3">
      <c r="A1799">
        <v>2017</v>
      </c>
      <c r="B1799" t="s">
        <v>61</v>
      </c>
      <c r="C1799" t="s">
        <v>30</v>
      </c>
      <c r="D1799" s="1">
        <v>4448</v>
      </c>
      <c r="E1799" s="1">
        <v>73262</v>
      </c>
      <c r="F1799" s="2">
        <v>46171</v>
      </c>
    </row>
    <row r="1800" spans="1:6" x14ac:dyDescent="0.3">
      <c r="A1800">
        <v>2017</v>
      </c>
      <c r="B1800" t="s">
        <v>61</v>
      </c>
      <c r="C1800" t="s">
        <v>31</v>
      </c>
      <c r="D1800" s="1">
        <v>13241</v>
      </c>
      <c r="E1800" s="1">
        <v>136970</v>
      </c>
      <c r="F1800" s="2">
        <v>44565</v>
      </c>
    </row>
    <row r="1801" spans="1:6" x14ac:dyDescent="0.3">
      <c r="A1801">
        <v>2017</v>
      </c>
      <c r="B1801" t="s">
        <v>61</v>
      </c>
      <c r="C1801" t="s">
        <v>32</v>
      </c>
      <c r="D1801" s="1">
        <v>8681</v>
      </c>
      <c r="E1801" s="1">
        <v>131756</v>
      </c>
      <c r="F1801" s="2">
        <v>53119</v>
      </c>
    </row>
    <row r="1802" spans="1:6" x14ac:dyDescent="0.3">
      <c r="A1802">
        <v>2017</v>
      </c>
      <c r="B1802" t="s">
        <v>61</v>
      </c>
      <c r="C1802" t="s">
        <v>33</v>
      </c>
      <c r="D1802" s="1">
        <v>4635</v>
      </c>
      <c r="E1802" s="1">
        <v>111212</v>
      </c>
      <c r="F1802" s="2">
        <v>54599</v>
      </c>
    </row>
    <row r="1803" spans="1:6" x14ac:dyDescent="0.3">
      <c r="A1803">
        <v>2017</v>
      </c>
      <c r="B1803" t="s">
        <v>61</v>
      </c>
      <c r="C1803" t="s">
        <v>34</v>
      </c>
      <c r="D1803" s="1">
        <v>33411</v>
      </c>
      <c r="E1803" s="1">
        <v>644049</v>
      </c>
      <c r="F1803" s="2">
        <v>52138</v>
      </c>
    </row>
    <row r="1804" spans="1:6" x14ac:dyDescent="0.3">
      <c r="A1804">
        <v>2017</v>
      </c>
      <c r="B1804" t="s">
        <v>61</v>
      </c>
      <c r="C1804" t="s">
        <v>35</v>
      </c>
      <c r="D1804" s="1">
        <v>9629</v>
      </c>
      <c r="E1804" s="1">
        <v>127804</v>
      </c>
      <c r="F1804" s="2">
        <v>40621</v>
      </c>
    </row>
    <row r="1805" spans="1:6" x14ac:dyDescent="0.3">
      <c r="A1805">
        <v>2017</v>
      </c>
      <c r="B1805" t="s">
        <v>61</v>
      </c>
      <c r="C1805" t="s">
        <v>36</v>
      </c>
      <c r="D1805" s="1">
        <v>67533</v>
      </c>
      <c r="E1805" s="1">
        <v>1847585</v>
      </c>
      <c r="F1805" s="2">
        <v>51932</v>
      </c>
    </row>
    <row r="1806" spans="1:6" x14ac:dyDescent="0.3">
      <c r="A1806">
        <v>2017</v>
      </c>
      <c r="B1806" t="s">
        <v>61</v>
      </c>
      <c r="C1806" t="s">
        <v>37</v>
      </c>
      <c r="D1806" s="1">
        <v>26885</v>
      </c>
      <c r="E1806" s="1">
        <v>578637</v>
      </c>
      <c r="F1806" s="2">
        <v>47135</v>
      </c>
    </row>
    <row r="1807" spans="1:6" x14ac:dyDescent="0.3">
      <c r="A1807">
        <v>2017</v>
      </c>
      <c r="B1807" t="s">
        <v>61</v>
      </c>
      <c r="C1807" t="s">
        <v>38</v>
      </c>
      <c r="D1807" s="1">
        <v>2484</v>
      </c>
      <c r="E1807" s="1">
        <v>61847</v>
      </c>
      <c r="F1807" s="2">
        <v>49915</v>
      </c>
    </row>
    <row r="1808" spans="1:6" x14ac:dyDescent="0.3">
      <c r="A1808">
        <v>2017</v>
      </c>
      <c r="B1808" t="s">
        <v>61</v>
      </c>
      <c r="C1808" t="s">
        <v>39</v>
      </c>
      <c r="D1808" s="1">
        <v>34090</v>
      </c>
      <c r="E1808" s="1">
        <v>897244</v>
      </c>
      <c r="F1808" s="2">
        <v>45314</v>
      </c>
    </row>
    <row r="1809" spans="1:6" x14ac:dyDescent="0.3">
      <c r="A1809">
        <v>2017</v>
      </c>
      <c r="B1809" t="s">
        <v>61</v>
      </c>
      <c r="C1809" t="s">
        <v>40</v>
      </c>
      <c r="D1809" s="1">
        <v>13367</v>
      </c>
      <c r="E1809" s="1">
        <v>208934</v>
      </c>
      <c r="F1809" s="2">
        <v>44167</v>
      </c>
    </row>
    <row r="1810" spans="1:6" x14ac:dyDescent="0.3">
      <c r="A1810">
        <v>2017</v>
      </c>
      <c r="B1810" t="s">
        <v>61</v>
      </c>
      <c r="C1810" t="s">
        <v>41</v>
      </c>
      <c r="D1810" s="1">
        <v>15363</v>
      </c>
      <c r="E1810" s="1">
        <v>266489</v>
      </c>
      <c r="F1810" s="2">
        <v>50908</v>
      </c>
    </row>
    <row r="1811" spans="1:6" x14ac:dyDescent="0.3">
      <c r="A1811">
        <v>2017</v>
      </c>
      <c r="B1811" t="s">
        <v>61</v>
      </c>
      <c r="C1811" t="s">
        <v>42</v>
      </c>
      <c r="D1811" s="1">
        <v>58709</v>
      </c>
      <c r="E1811" s="1">
        <v>1179271</v>
      </c>
      <c r="F1811" s="2">
        <v>50500</v>
      </c>
    </row>
    <row r="1812" spans="1:6" x14ac:dyDescent="0.3">
      <c r="A1812">
        <v>2017</v>
      </c>
      <c r="B1812" t="s">
        <v>61</v>
      </c>
      <c r="C1812" t="s">
        <v>43</v>
      </c>
      <c r="D1812" s="1">
        <v>4485</v>
      </c>
      <c r="E1812" s="1">
        <v>99581</v>
      </c>
      <c r="F1812" s="2">
        <v>47941</v>
      </c>
    </row>
    <row r="1813" spans="1:6" x14ac:dyDescent="0.3">
      <c r="A1813">
        <v>2017</v>
      </c>
      <c r="B1813" t="s">
        <v>61</v>
      </c>
      <c r="C1813" t="s">
        <v>44</v>
      </c>
      <c r="D1813" s="1">
        <v>11574</v>
      </c>
      <c r="E1813" s="1">
        <v>226255</v>
      </c>
      <c r="F1813" s="2">
        <v>45624</v>
      </c>
    </row>
    <row r="1814" spans="1:6" x14ac:dyDescent="0.3">
      <c r="A1814">
        <v>2017</v>
      </c>
      <c r="B1814" t="s">
        <v>61</v>
      </c>
      <c r="C1814" t="s">
        <v>45</v>
      </c>
      <c r="D1814" s="1">
        <v>2732</v>
      </c>
      <c r="E1814" s="1">
        <v>66629</v>
      </c>
      <c r="F1814" s="2">
        <v>49512</v>
      </c>
    </row>
    <row r="1815" spans="1:6" x14ac:dyDescent="0.3">
      <c r="A1815">
        <v>2017</v>
      </c>
      <c r="B1815" t="s">
        <v>61</v>
      </c>
      <c r="C1815" t="s">
        <v>46</v>
      </c>
      <c r="D1815" s="1">
        <v>15761</v>
      </c>
      <c r="E1815" s="1">
        <v>416511</v>
      </c>
      <c r="F1815" s="2">
        <v>50938</v>
      </c>
    </row>
    <row r="1816" spans="1:6" x14ac:dyDescent="0.3">
      <c r="A1816">
        <v>2017</v>
      </c>
      <c r="B1816" t="s">
        <v>61</v>
      </c>
      <c r="C1816" t="s">
        <v>47</v>
      </c>
      <c r="D1816" s="1">
        <v>87635</v>
      </c>
      <c r="E1816" s="1">
        <v>1607487</v>
      </c>
      <c r="F1816" s="2">
        <v>47096</v>
      </c>
    </row>
    <row r="1817" spans="1:6" x14ac:dyDescent="0.3">
      <c r="A1817">
        <v>2017</v>
      </c>
      <c r="B1817" t="s">
        <v>61</v>
      </c>
      <c r="C1817" t="s">
        <v>48</v>
      </c>
      <c r="D1817" s="1">
        <v>11679</v>
      </c>
      <c r="E1817" s="1">
        <v>181402</v>
      </c>
      <c r="F1817" s="2">
        <v>42492</v>
      </c>
    </row>
    <row r="1818" spans="1:6" x14ac:dyDescent="0.3">
      <c r="A1818">
        <v>2017</v>
      </c>
      <c r="B1818" t="s">
        <v>61</v>
      </c>
      <c r="C1818" t="s">
        <v>49</v>
      </c>
      <c r="D1818" s="1">
        <v>2460</v>
      </c>
      <c r="E1818" s="1">
        <v>62109</v>
      </c>
      <c r="F1818" s="2">
        <v>45259</v>
      </c>
    </row>
    <row r="1819" spans="1:6" x14ac:dyDescent="0.3">
      <c r="A1819">
        <v>2017</v>
      </c>
      <c r="B1819" t="s">
        <v>61</v>
      </c>
      <c r="C1819" t="s">
        <v>50</v>
      </c>
      <c r="D1819" s="1">
        <v>42910</v>
      </c>
      <c r="E1819" s="1">
        <v>496944</v>
      </c>
      <c r="F1819" s="2">
        <v>48573</v>
      </c>
    </row>
    <row r="1820" spans="1:6" x14ac:dyDescent="0.3">
      <c r="A1820">
        <v>2017</v>
      </c>
      <c r="B1820" t="s">
        <v>61</v>
      </c>
      <c r="C1820" t="s">
        <v>51</v>
      </c>
      <c r="D1820" s="1">
        <v>56689</v>
      </c>
      <c r="E1820" s="1">
        <v>451563</v>
      </c>
      <c r="F1820" s="2">
        <v>49782</v>
      </c>
    </row>
    <row r="1821" spans="1:6" x14ac:dyDescent="0.3">
      <c r="A1821">
        <v>2017</v>
      </c>
      <c r="B1821" t="s">
        <v>61</v>
      </c>
      <c r="C1821" t="s">
        <v>52</v>
      </c>
      <c r="D1821" s="1">
        <v>5679</v>
      </c>
      <c r="E1821" s="1">
        <v>123772</v>
      </c>
      <c r="F1821" s="2">
        <v>44732</v>
      </c>
    </row>
    <row r="1822" spans="1:6" x14ac:dyDescent="0.3">
      <c r="A1822">
        <v>2017</v>
      </c>
      <c r="B1822" t="s">
        <v>61</v>
      </c>
      <c r="C1822" t="s">
        <v>53</v>
      </c>
      <c r="D1822" s="1">
        <v>25989</v>
      </c>
      <c r="E1822" s="1">
        <v>428367</v>
      </c>
      <c r="F1822" s="2">
        <v>47663</v>
      </c>
    </row>
    <row r="1823" spans="1:6" x14ac:dyDescent="0.3">
      <c r="A1823">
        <v>2017</v>
      </c>
      <c r="B1823" t="s">
        <v>61</v>
      </c>
      <c r="C1823" t="s">
        <v>54</v>
      </c>
      <c r="D1823" s="1">
        <v>3268</v>
      </c>
      <c r="E1823" s="1">
        <v>26479</v>
      </c>
      <c r="F1823" s="2">
        <v>41913</v>
      </c>
    </row>
    <row r="1824" spans="1:6" x14ac:dyDescent="0.3">
      <c r="A1824">
        <v>2017</v>
      </c>
      <c r="B1824" t="s">
        <v>62</v>
      </c>
      <c r="C1824" t="s">
        <v>7</v>
      </c>
      <c r="D1824" s="1">
        <v>10741</v>
      </c>
      <c r="E1824" s="1">
        <v>202336</v>
      </c>
      <c r="F1824" s="2">
        <v>16222</v>
      </c>
    </row>
    <row r="1825" spans="1:6" x14ac:dyDescent="0.3">
      <c r="A1825">
        <v>2017</v>
      </c>
      <c r="B1825" t="s">
        <v>62</v>
      </c>
      <c r="C1825" t="s">
        <v>8</v>
      </c>
      <c r="D1825" s="1">
        <v>12771</v>
      </c>
      <c r="E1825" s="1">
        <v>317076</v>
      </c>
      <c r="F1825" s="2">
        <v>23505</v>
      </c>
    </row>
    <row r="1826" spans="1:6" x14ac:dyDescent="0.3">
      <c r="A1826">
        <v>2017</v>
      </c>
      <c r="B1826" t="s">
        <v>62</v>
      </c>
      <c r="C1826" t="s">
        <v>9</v>
      </c>
      <c r="D1826" s="1">
        <v>7024</v>
      </c>
      <c r="E1826" s="1">
        <v>116690</v>
      </c>
      <c r="F1826" s="2">
        <v>16181</v>
      </c>
    </row>
    <row r="1827" spans="1:6" x14ac:dyDescent="0.3">
      <c r="A1827">
        <v>2017</v>
      </c>
      <c r="B1827" t="s">
        <v>62</v>
      </c>
      <c r="C1827" t="s">
        <v>10</v>
      </c>
      <c r="D1827" s="1">
        <v>103495</v>
      </c>
      <c r="E1827" s="1">
        <v>1935980</v>
      </c>
      <c r="F1827" s="2">
        <v>29214</v>
      </c>
    </row>
    <row r="1828" spans="1:6" x14ac:dyDescent="0.3">
      <c r="A1828">
        <v>2017</v>
      </c>
      <c r="B1828" t="s">
        <v>62</v>
      </c>
      <c r="C1828" t="s">
        <v>11</v>
      </c>
      <c r="D1828" s="1">
        <v>16627</v>
      </c>
      <c r="E1828" s="1">
        <v>333190</v>
      </c>
      <c r="F1828" s="2">
        <v>24462</v>
      </c>
    </row>
    <row r="1829" spans="1:6" x14ac:dyDescent="0.3">
      <c r="A1829">
        <v>2017</v>
      </c>
      <c r="B1829" t="s">
        <v>62</v>
      </c>
      <c r="C1829" t="s">
        <v>12</v>
      </c>
      <c r="D1829" s="1">
        <v>10338</v>
      </c>
      <c r="E1829" s="1">
        <v>156514</v>
      </c>
      <c r="F1829" s="2">
        <v>23066</v>
      </c>
    </row>
    <row r="1830" spans="1:6" x14ac:dyDescent="0.3">
      <c r="A1830">
        <v>2017</v>
      </c>
      <c r="B1830" t="s">
        <v>62</v>
      </c>
      <c r="C1830" t="s">
        <v>13</v>
      </c>
      <c r="D1830" s="1">
        <v>2565</v>
      </c>
      <c r="E1830" s="1">
        <v>50272</v>
      </c>
      <c r="F1830" s="2">
        <v>19997</v>
      </c>
    </row>
    <row r="1831" spans="1:6" x14ac:dyDescent="0.3">
      <c r="A1831">
        <v>2017</v>
      </c>
      <c r="B1831" t="s">
        <v>62</v>
      </c>
      <c r="C1831" t="s">
        <v>14</v>
      </c>
      <c r="D1831" s="1">
        <v>55396</v>
      </c>
      <c r="E1831" s="1">
        <v>1198478</v>
      </c>
      <c r="F1831" s="2">
        <v>24953</v>
      </c>
    </row>
    <row r="1832" spans="1:6" x14ac:dyDescent="0.3">
      <c r="A1832">
        <v>2017</v>
      </c>
      <c r="B1832" t="s">
        <v>62</v>
      </c>
      <c r="C1832" t="s">
        <v>15</v>
      </c>
      <c r="D1832" s="1">
        <v>23538</v>
      </c>
      <c r="E1832" s="1">
        <v>476035</v>
      </c>
      <c r="F1832" s="2">
        <v>20142</v>
      </c>
    </row>
    <row r="1833" spans="1:6" x14ac:dyDescent="0.3">
      <c r="A1833">
        <v>2017</v>
      </c>
      <c r="B1833" t="s">
        <v>62</v>
      </c>
      <c r="C1833" t="s">
        <v>16</v>
      </c>
      <c r="D1833" s="1">
        <v>4906</v>
      </c>
      <c r="E1833" s="1">
        <v>74928</v>
      </c>
      <c r="F1833" s="2">
        <v>16382</v>
      </c>
    </row>
    <row r="1834" spans="1:6" x14ac:dyDescent="0.3">
      <c r="A1834">
        <v>2017</v>
      </c>
      <c r="B1834" t="s">
        <v>62</v>
      </c>
      <c r="C1834" t="s">
        <v>17</v>
      </c>
      <c r="D1834" s="1">
        <v>32076</v>
      </c>
      <c r="E1834" s="1">
        <v>610100</v>
      </c>
      <c r="F1834" s="2">
        <v>22930</v>
      </c>
    </row>
    <row r="1835" spans="1:6" x14ac:dyDescent="0.3">
      <c r="A1835">
        <v>2017</v>
      </c>
      <c r="B1835" t="s">
        <v>62</v>
      </c>
      <c r="C1835" t="s">
        <v>18</v>
      </c>
      <c r="D1835" s="1">
        <v>15273</v>
      </c>
      <c r="E1835" s="1">
        <v>308506</v>
      </c>
      <c r="F1835" s="2">
        <v>18223</v>
      </c>
    </row>
    <row r="1836" spans="1:6" x14ac:dyDescent="0.3">
      <c r="A1836">
        <v>2017</v>
      </c>
      <c r="B1836" t="s">
        <v>62</v>
      </c>
      <c r="C1836" t="s">
        <v>19</v>
      </c>
      <c r="D1836" s="1">
        <v>8532</v>
      </c>
      <c r="E1836" s="1">
        <v>143101</v>
      </c>
      <c r="F1836" s="2">
        <v>16280</v>
      </c>
    </row>
    <row r="1837" spans="1:6" x14ac:dyDescent="0.3">
      <c r="A1837">
        <v>2017</v>
      </c>
      <c r="B1837" t="s">
        <v>62</v>
      </c>
      <c r="C1837" t="s">
        <v>20</v>
      </c>
      <c r="D1837" s="1">
        <v>6839</v>
      </c>
      <c r="E1837" s="1">
        <v>128449</v>
      </c>
      <c r="F1837" s="2">
        <v>16257</v>
      </c>
    </row>
    <row r="1838" spans="1:6" x14ac:dyDescent="0.3">
      <c r="A1838">
        <v>2017</v>
      </c>
      <c r="B1838" t="s">
        <v>62</v>
      </c>
      <c r="C1838" t="s">
        <v>21</v>
      </c>
      <c r="D1838" s="1">
        <v>10063</v>
      </c>
      <c r="E1838" s="1">
        <v>196846</v>
      </c>
      <c r="F1838" s="2">
        <v>17160</v>
      </c>
    </row>
    <row r="1839" spans="1:6" x14ac:dyDescent="0.3">
      <c r="A1839">
        <v>2017</v>
      </c>
      <c r="B1839" t="s">
        <v>62</v>
      </c>
      <c r="C1839" t="s">
        <v>22</v>
      </c>
      <c r="D1839" s="1">
        <v>12015</v>
      </c>
      <c r="E1839" s="1">
        <v>233109</v>
      </c>
      <c r="F1839" s="2">
        <v>20623</v>
      </c>
    </row>
    <row r="1840" spans="1:6" x14ac:dyDescent="0.3">
      <c r="A1840">
        <v>2017</v>
      </c>
      <c r="B1840" t="s">
        <v>62</v>
      </c>
      <c r="C1840" t="s">
        <v>23</v>
      </c>
      <c r="D1840" s="1">
        <v>5119</v>
      </c>
      <c r="E1840" s="1">
        <v>67354</v>
      </c>
      <c r="F1840" s="2">
        <v>21119</v>
      </c>
    </row>
    <row r="1841" spans="1:6" x14ac:dyDescent="0.3">
      <c r="A1841">
        <v>2017</v>
      </c>
      <c r="B1841" t="s">
        <v>62</v>
      </c>
      <c r="C1841" t="s">
        <v>24</v>
      </c>
      <c r="D1841" s="1">
        <v>14733</v>
      </c>
      <c r="E1841" s="1">
        <v>280195</v>
      </c>
      <c r="F1841" s="2">
        <v>23436</v>
      </c>
    </row>
    <row r="1842" spans="1:6" x14ac:dyDescent="0.3">
      <c r="A1842">
        <v>2017</v>
      </c>
      <c r="B1842" t="s">
        <v>62</v>
      </c>
      <c r="C1842" t="s">
        <v>25</v>
      </c>
      <c r="D1842" s="1">
        <v>20695</v>
      </c>
      <c r="E1842" s="1">
        <v>369350</v>
      </c>
      <c r="F1842" s="2">
        <v>26779</v>
      </c>
    </row>
    <row r="1843" spans="1:6" x14ac:dyDescent="0.3">
      <c r="A1843">
        <v>2017</v>
      </c>
      <c r="B1843" t="s">
        <v>62</v>
      </c>
      <c r="C1843" t="s">
        <v>26</v>
      </c>
      <c r="D1843" s="1">
        <v>21783</v>
      </c>
      <c r="E1843" s="1">
        <v>431316</v>
      </c>
      <c r="F1843" s="2">
        <v>19834</v>
      </c>
    </row>
    <row r="1844" spans="1:6" x14ac:dyDescent="0.3">
      <c r="A1844">
        <v>2017</v>
      </c>
      <c r="B1844" t="s">
        <v>62</v>
      </c>
      <c r="C1844" t="s">
        <v>27</v>
      </c>
      <c r="D1844" s="1">
        <v>14729</v>
      </c>
      <c r="E1844" s="1">
        <v>270490</v>
      </c>
      <c r="F1844" s="2">
        <v>21386</v>
      </c>
    </row>
    <row r="1845" spans="1:6" x14ac:dyDescent="0.3">
      <c r="A1845">
        <v>2017</v>
      </c>
      <c r="B1845" t="s">
        <v>62</v>
      </c>
      <c r="C1845" t="s">
        <v>28</v>
      </c>
      <c r="D1845" s="1">
        <v>6381</v>
      </c>
      <c r="E1845" s="1">
        <v>134613</v>
      </c>
      <c r="F1845" s="2">
        <v>17011</v>
      </c>
    </row>
    <row r="1846" spans="1:6" x14ac:dyDescent="0.3">
      <c r="A1846">
        <v>2017</v>
      </c>
      <c r="B1846" t="s">
        <v>62</v>
      </c>
      <c r="C1846" t="s">
        <v>29</v>
      </c>
      <c r="D1846" s="1">
        <v>14797</v>
      </c>
      <c r="E1846" s="1">
        <v>303022</v>
      </c>
      <c r="F1846" s="2">
        <v>20276</v>
      </c>
    </row>
    <row r="1847" spans="1:6" x14ac:dyDescent="0.3">
      <c r="A1847">
        <v>2017</v>
      </c>
      <c r="B1847" t="s">
        <v>62</v>
      </c>
      <c r="C1847" t="s">
        <v>30</v>
      </c>
      <c r="D1847" s="1">
        <v>4978</v>
      </c>
      <c r="E1847" s="1">
        <v>64958</v>
      </c>
      <c r="F1847" s="2">
        <v>18625</v>
      </c>
    </row>
    <row r="1848" spans="1:6" x14ac:dyDescent="0.3">
      <c r="A1848">
        <v>2017</v>
      </c>
      <c r="B1848" t="s">
        <v>62</v>
      </c>
      <c r="C1848" t="s">
        <v>31</v>
      </c>
      <c r="D1848" s="1">
        <v>5508</v>
      </c>
      <c r="E1848" s="1">
        <v>91776</v>
      </c>
      <c r="F1848" s="2">
        <v>16253</v>
      </c>
    </row>
    <row r="1849" spans="1:6" x14ac:dyDescent="0.3">
      <c r="A1849">
        <v>2017</v>
      </c>
      <c r="B1849" t="s">
        <v>62</v>
      </c>
      <c r="C1849" t="s">
        <v>32</v>
      </c>
      <c r="D1849" s="1">
        <v>8246</v>
      </c>
      <c r="E1849" s="1">
        <v>348888</v>
      </c>
      <c r="F1849" s="2">
        <v>33048</v>
      </c>
    </row>
    <row r="1850" spans="1:6" x14ac:dyDescent="0.3">
      <c r="A1850">
        <v>2017</v>
      </c>
      <c r="B1850" t="s">
        <v>62</v>
      </c>
      <c r="C1850" t="s">
        <v>33</v>
      </c>
      <c r="D1850" s="1">
        <v>4512</v>
      </c>
      <c r="E1850" s="1">
        <v>70729</v>
      </c>
      <c r="F1850" s="2">
        <v>21058</v>
      </c>
    </row>
    <row r="1851" spans="1:6" x14ac:dyDescent="0.3">
      <c r="A1851">
        <v>2017</v>
      </c>
      <c r="B1851" t="s">
        <v>62</v>
      </c>
      <c r="C1851" t="s">
        <v>34</v>
      </c>
      <c r="D1851" s="1">
        <v>23501</v>
      </c>
      <c r="E1851" s="1">
        <v>372798</v>
      </c>
      <c r="F1851" s="2">
        <v>24851</v>
      </c>
    </row>
    <row r="1852" spans="1:6" x14ac:dyDescent="0.3">
      <c r="A1852">
        <v>2017</v>
      </c>
      <c r="B1852" t="s">
        <v>62</v>
      </c>
      <c r="C1852" t="s">
        <v>35</v>
      </c>
      <c r="D1852" s="1">
        <v>4929</v>
      </c>
      <c r="E1852" s="1">
        <v>96321</v>
      </c>
      <c r="F1852" s="2">
        <v>17901</v>
      </c>
    </row>
    <row r="1853" spans="1:6" x14ac:dyDescent="0.3">
      <c r="A1853">
        <v>2017</v>
      </c>
      <c r="B1853" t="s">
        <v>62</v>
      </c>
      <c r="C1853" t="s">
        <v>36</v>
      </c>
      <c r="D1853" s="1">
        <v>66166</v>
      </c>
      <c r="E1853" s="1">
        <v>944545</v>
      </c>
      <c r="F1853" s="2">
        <v>32365</v>
      </c>
    </row>
    <row r="1854" spans="1:6" x14ac:dyDescent="0.3">
      <c r="A1854">
        <v>2017</v>
      </c>
      <c r="B1854" t="s">
        <v>62</v>
      </c>
      <c r="C1854" t="s">
        <v>37</v>
      </c>
      <c r="D1854" s="1">
        <v>25235</v>
      </c>
      <c r="E1854" s="1">
        <v>493758</v>
      </c>
      <c r="F1854" s="2">
        <v>19111</v>
      </c>
    </row>
    <row r="1855" spans="1:6" x14ac:dyDescent="0.3">
      <c r="A1855">
        <v>2017</v>
      </c>
      <c r="B1855" t="s">
        <v>62</v>
      </c>
      <c r="C1855" t="s">
        <v>38</v>
      </c>
      <c r="D1855" s="1">
        <v>2600</v>
      </c>
      <c r="E1855" s="1">
        <v>39316</v>
      </c>
      <c r="F1855" s="2">
        <v>17400</v>
      </c>
    </row>
    <row r="1856" spans="1:6" x14ac:dyDescent="0.3">
      <c r="A1856">
        <v>2017</v>
      </c>
      <c r="B1856" t="s">
        <v>62</v>
      </c>
      <c r="C1856" t="s">
        <v>39</v>
      </c>
      <c r="D1856" s="1">
        <v>28218</v>
      </c>
      <c r="E1856" s="1">
        <v>560257</v>
      </c>
      <c r="F1856" s="2">
        <v>18856</v>
      </c>
    </row>
    <row r="1857" spans="1:6" x14ac:dyDescent="0.3">
      <c r="A1857">
        <v>2017</v>
      </c>
      <c r="B1857" t="s">
        <v>62</v>
      </c>
      <c r="C1857" t="s">
        <v>40</v>
      </c>
      <c r="D1857" s="1">
        <v>8969</v>
      </c>
      <c r="E1857" s="1">
        <v>167540</v>
      </c>
      <c r="F1857" s="2">
        <v>17729</v>
      </c>
    </row>
    <row r="1858" spans="1:6" x14ac:dyDescent="0.3">
      <c r="A1858">
        <v>2017</v>
      </c>
      <c r="B1858" t="s">
        <v>62</v>
      </c>
      <c r="C1858" t="s">
        <v>41</v>
      </c>
      <c r="D1858" s="1">
        <v>13588</v>
      </c>
      <c r="E1858" s="1">
        <v>205823</v>
      </c>
      <c r="F1858" s="2">
        <v>21379</v>
      </c>
    </row>
    <row r="1859" spans="1:6" x14ac:dyDescent="0.3">
      <c r="A1859">
        <v>2017</v>
      </c>
      <c r="B1859" t="s">
        <v>62</v>
      </c>
      <c r="C1859" t="s">
        <v>42</v>
      </c>
      <c r="D1859" s="1">
        <v>33146</v>
      </c>
      <c r="E1859" s="1">
        <v>566779</v>
      </c>
      <c r="F1859" s="2">
        <v>20389</v>
      </c>
    </row>
    <row r="1860" spans="1:6" x14ac:dyDescent="0.3">
      <c r="A1860">
        <v>2017</v>
      </c>
      <c r="B1860" t="s">
        <v>62</v>
      </c>
      <c r="C1860" t="s">
        <v>43</v>
      </c>
      <c r="D1860" s="1">
        <v>3683</v>
      </c>
      <c r="E1860" s="1">
        <v>58183</v>
      </c>
      <c r="F1860" s="2">
        <v>22353</v>
      </c>
    </row>
    <row r="1861" spans="1:6" x14ac:dyDescent="0.3">
      <c r="A1861">
        <v>2017</v>
      </c>
      <c r="B1861" t="s">
        <v>62</v>
      </c>
      <c r="C1861" t="s">
        <v>44</v>
      </c>
      <c r="D1861" s="1">
        <v>12337</v>
      </c>
      <c r="E1861" s="1">
        <v>254069</v>
      </c>
      <c r="F1861" s="2">
        <v>17885</v>
      </c>
    </row>
    <row r="1862" spans="1:6" x14ac:dyDescent="0.3">
      <c r="A1862">
        <v>2017</v>
      </c>
      <c r="B1862" t="s">
        <v>62</v>
      </c>
      <c r="C1862" t="s">
        <v>45</v>
      </c>
      <c r="D1862" s="1">
        <v>3109</v>
      </c>
      <c r="E1862" s="1">
        <v>46967</v>
      </c>
      <c r="F1862" s="2">
        <v>16460</v>
      </c>
    </row>
    <row r="1863" spans="1:6" x14ac:dyDescent="0.3">
      <c r="A1863">
        <v>2017</v>
      </c>
      <c r="B1863" t="s">
        <v>62</v>
      </c>
      <c r="C1863" t="s">
        <v>46</v>
      </c>
      <c r="D1863" s="1">
        <v>15932</v>
      </c>
      <c r="E1863" s="1">
        <v>328856</v>
      </c>
      <c r="F1863" s="2">
        <v>22398</v>
      </c>
    </row>
    <row r="1864" spans="1:6" x14ac:dyDescent="0.3">
      <c r="A1864">
        <v>2017</v>
      </c>
      <c r="B1864" t="s">
        <v>62</v>
      </c>
      <c r="C1864" t="s">
        <v>47</v>
      </c>
      <c r="D1864" s="1">
        <v>60744</v>
      </c>
      <c r="E1864" s="1">
        <v>1317762</v>
      </c>
      <c r="F1864" s="2">
        <v>21234</v>
      </c>
    </row>
    <row r="1865" spans="1:6" x14ac:dyDescent="0.3">
      <c r="A1865">
        <v>2017</v>
      </c>
      <c r="B1865" t="s">
        <v>62</v>
      </c>
      <c r="C1865" t="s">
        <v>48</v>
      </c>
      <c r="D1865" s="1">
        <v>7068</v>
      </c>
      <c r="E1865" s="1">
        <v>142985</v>
      </c>
      <c r="F1865" s="2">
        <v>19510</v>
      </c>
    </row>
    <row r="1866" spans="1:6" x14ac:dyDescent="0.3">
      <c r="A1866">
        <v>2017</v>
      </c>
      <c r="B1866" t="s">
        <v>62</v>
      </c>
      <c r="C1866" t="s">
        <v>49</v>
      </c>
      <c r="D1866" s="1">
        <v>2266</v>
      </c>
      <c r="E1866" s="1">
        <v>37337</v>
      </c>
      <c r="F1866" s="2">
        <v>22375</v>
      </c>
    </row>
    <row r="1867" spans="1:6" x14ac:dyDescent="0.3">
      <c r="A1867">
        <v>2017</v>
      </c>
      <c r="B1867" t="s">
        <v>62</v>
      </c>
      <c r="C1867" t="s">
        <v>50</v>
      </c>
      <c r="D1867" s="1">
        <v>20269</v>
      </c>
      <c r="E1867" s="1">
        <v>402475</v>
      </c>
      <c r="F1867" s="2">
        <v>20078</v>
      </c>
    </row>
    <row r="1868" spans="1:6" x14ac:dyDescent="0.3">
      <c r="A1868">
        <v>2017</v>
      </c>
      <c r="B1868" t="s">
        <v>62</v>
      </c>
      <c r="C1868" t="s">
        <v>51</v>
      </c>
      <c r="D1868" s="1">
        <v>20065</v>
      </c>
      <c r="E1868" s="1">
        <v>325141</v>
      </c>
      <c r="F1868" s="2">
        <v>24250</v>
      </c>
    </row>
    <row r="1869" spans="1:6" x14ac:dyDescent="0.3">
      <c r="A1869">
        <v>2017</v>
      </c>
      <c r="B1869" t="s">
        <v>62</v>
      </c>
      <c r="C1869" t="s">
        <v>52</v>
      </c>
      <c r="D1869" s="1">
        <v>4646</v>
      </c>
      <c r="E1869" s="1">
        <v>74275</v>
      </c>
      <c r="F1869" s="2">
        <v>17335</v>
      </c>
    </row>
    <row r="1870" spans="1:6" x14ac:dyDescent="0.3">
      <c r="A1870">
        <v>2017</v>
      </c>
      <c r="B1870" t="s">
        <v>62</v>
      </c>
      <c r="C1870" t="s">
        <v>53</v>
      </c>
      <c r="D1870" s="1">
        <v>16599</v>
      </c>
      <c r="E1870" s="1">
        <v>279749</v>
      </c>
      <c r="F1870" s="2">
        <v>17248</v>
      </c>
    </row>
    <row r="1871" spans="1:6" x14ac:dyDescent="0.3">
      <c r="A1871">
        <v>2017</v>
      </c>
      <c r="B1871" t="s">
        <v>62</v>
      </c>
      <c r="C1871" t="s">
        <v>54</v>
      </c>
      <c r="D1871" s="1">
        <v>2355</v>
      </c>
      <c r="E1871" s="1">
        <v>36297</v>
      </c>
      <c r="F1871" s="2">
        <v>19867</v>
      </c>
    </row>
    <row r="1872" spans="1:6" x14ac:dyDescent="0.3">
      <c r="A1872">
        <v>2017</v>
      </c>
      <c r="B1872" t="s">
        <v>63</v>
      </c>
      <c r="C1872" t="s">
        <v>7</v>
      </c>
      <c r="D1872" s="1">
        <v>9603</v>
      </c>
      <c r="E1872" s="1">
        <v>45296</v>
      </c>
      <c r="F1872" s="2">
        <v>36539</v>
      </c>
    </row>
    <row r="1873" spans="1:6" x14ac:dyDescent="0.3">
      <c r="A1873">
        <v>2017</v>
      </c>
      <c r="B1873" t="s">
        <v>63</v>
      </c>
      <c r="C1873" t="s">
        <v>8</v>
      </c>
      <c r="D1873" s="1">
        <v>10297</v>
      </c>
      <c r="E1873" s="1">
        <v>71320</v>
      </c>
      <c r="F1873" s="2">
        <v>37061</v>
      </c>
    </row>
    <row r="1874" spans="1:6" x14ac:dyDescent="0.3">
      <c r="A1874">
        <v>2017</v>
      </c>
      <c r="B1874" t="s">
        <v>63</v>
      </c>
      <c r="C1874" t="s">
        <v>9</v>
      </c>
      <c r="D1874" s="1">
        <v>5315</v>
      </c>
      <c r="E1874" s="1">
        <v>24804</v>
      </c>
      <c r="F1874" s="2">
        <v>33179</v>
      </c>
    </row>
    <row r="1875" spans="1:6" x14ac:dyDescent="0.3">
      <c r="A1875">
        <v>2017</v>
      </c>
      <c r="B1875" t="s">
        <v>63</v>
      </c>
      <c r="C1875" t="s">
        <v>10</v>
      </c>
      <c r="D1875" s="1">
        <v>88470</v>
      </c>
      <c r="E1875" s="1">
        <v>527915</v>
      </c>
      <c r="F1875" s="2">
        <v>40412</v>
      </c>
    </row>
    <row r="1876" spans="1:6" x14ac:dyDescent="0.3">
      <c r="A1876">
        <v>2017</v>
      </c>
      <c r="B1876" t="s">
        <v>63</v>
      </c>
      <c r="C1876" t="s">
        <v>11</v>
      </c>
      <c r="D1876" s="1">
        <v>15777</v>
      </c>
      <c r="E1876" s="1">
        <v>80034</v>
      </c>
      <c r="F1876" s="2">
        <v>39558</v>
      </c>
    </row>
    <row r="1877" spans="1:6" x14ac:dyDescent="0.3">
      <c r="A1877">
        <v>2017</v>
      </c>
      <c r="B1877" t="s">
        <v>63</v>
      </c>
      <c r="C1877" t="s">
        <v>12</v>
      </c>
      <c r="D1877" s="1">
        <v>16529</v>
      </c>
      <c r="E1877" s="1">
        <v>64279</v>
      </c>
      <c r="F1877" s="2">
        <v>33397</v>
      </c>
    </row>
    <row r="1878" spans="1:6" x14ac:dyDescent="0.3">
      <c r="A1878">
        <v>2017</v>
      </c>
      <c r="B1878" t="s">
        <v>63</v>
      </c>
      <c r="C1878" t="s">
        <v>13</v>
      </c>
      <c r="D1878" s="1">
        <v>2003</v>
      </c>
      <c r="E1878" s="1">
        <v>11881</v>
      </c>
      <c r="F1878" s="2">
        <v>33610</v>
      </c>
    </row>
    <row r="1879" spans="1:6" x14ac:dyDescent="0.3">
      <c r="A1879">
        <v>2017</v>
      </c>
      <c r="B1879" t="s">
        <v>63</v>
      </c>
      <c r="C1879" t="s">
        <v>14</v>
      </c>
      <c r="D1879" s="1">
        <v>54928</v>
      </c>
      <c r="E1879" s="1">
        <v>273903</v>
      </c>
      <c r="F1879" s="2">
        <v>35319</v>
      </c>
    </row>
    <row r="1880" spans="1:6" x14ac:dyDescent="0.3">
      <c r="A1880">
        <v>2017</v>
      </c>
      <c r="B1880" t="s">
        <v>63</v>
      </c>
      <c r="C1880" t="s">
        <v>15</v>
      </c>
      <c r="D1880" s="1">
        <v>18097</v>
      </c>
      <c r="E1880" s="1">
        <v>106445</v>
      </c>
      <c r="F1880" s="2">
        <v>35520</v>
      </c>
    </row>
    <row r="1881" spans="1:6" x14ac:dyDescent="0.3">
      <c r="A1881">
        <v>2017</v>
      </c>
      <c r="B1881" t="s">
        <v>63</v>
      </c>
      <c r="C1881" t="s">
        <v>16</v>
      </c>
      <c r="D1881" s="1">
        <v>3888</v>
      </c>
      <c r="E1881" s="1">
        <v>17915</v>
      </c>
      <c r="F1881" s="2">
        <v>30056</v>
      </c>
    </row>
    <row r="1882" spans="1:6" x14ac:dyDescent="0.3">
      <c r="A1882">
        <v>2017</v>
      </c>
      <c r="B1882" t="s">
        <v>63</v>
      </c>
      <c r="C1882" t="s">
        <v>17</v>
      </c>
      <c r="D1882" s="1">
        <v>39500</v>
      </c>
      <c r="E1882" s="1">
        <v>206494</v>
      </c>
      <c r="F1882" s="2">
        <v>41240</v>
      </c>
    </row>
    <row r="1883" spans="1:6" x14ac:dyDescent="0.3">
      <c r="A1883">
        <v>2017</v>
      </c>
      <c r="B1883" t="s">
        <v>63</v>
      </c>
      <c r="C1883" t="s">
        <v>18</v>
      </c>
      <c r="D1883" s="1">
        <v>13113</v>
      </c>
      <c r="E1883" s="1">
        <v>86944</v>
      </c>
      <c r="F1883" s="2">
        <v>31882</v>
      </c>
    </row>
    <row r="1884" spans="1:6" x14ac:dyDescent="0.3">
      <c r="A1884">
        <v>2017</v>
      </c>
      <c r="B1884" t="s">
        <v>63</v>
      </c>
      <c r="C1884" t="s">
        <v>19</v>
      </c>
      <c r="D1884" s="1">
        <v>8710</v>
      </c>
      <c r="E1884" s="1">
        <v>42498</v>
      </c>
      <c r="F1884" s="2">
        <v>33069</v>
      </c>
    </row>
    <row r="1885" spans="1:6" x14ac:dyDescent="0.3">
      <c r="A1885">
        <v>2017</v>
      </c>
      <c r="B1885" t="s">
        <v>63</v>
      </c>
      <c r="C1885" t="s">
        <v>20</v>
      </c>
      <c r="D1885" s="1">
        <v>6031</v>
      </c>
      <c r="E1885" s="1">
        <v>33578</v>
      </c>
      <c r="F1885" s="2">
        <v>33575</v>
      </c>
    </row>
    <row r="1886" spans="1:6" x14ac:dyDescent="0.3">
      <c r="A1886">
        <v>2017</v>
      </c>
      <c r="B1886" t="s">
        <v>63</v>
      </c>
      <c r="C1886" t="s">
        <v>21</v>
      </c>
      <c r="D1886" s="1">
        <v>10912</v>
      </c>
      <c r="E1886" s="1">
        <v>46382</v>
      </c>
      <c r="F1886" s="2">
        <v>32330</v>
      </c>
    </row>
    <row r="1887" spans="1:6" x14ac:dyDescent="0.3">
      <c r="A1887">
        <v>2017</v>
      </c>
      <c r="B1887" t="s">
        <v>63</v>
      </c>
      <c r="C1887" t="s">
        <v>22</v>
      </c>
      <c r="D1887" s="1">
        <v>9250</v>
      </c>
      <c r="E1887" s="1">
        <v>45963</v>
      </c>
      <c r="F1887" s="2">
        <v>36468</v>
      </c>
    </row>
    <row r="1888" spans="1:6" x14ac:dyDescent="0.3">
      <c r="A1888">
        <v>2017</v>
      </c>
      <c r="B1888" t="s">
        <v>63</v>
      </c>
      <c r="C1888" t="s">
        <v>23</v>
      </c>
      <c r="D1888" s="1">
        <v>4028</v>
      </c>
      <c r="E1888" s="1">
        <v>17774</v>
      </c>
      <c r="F1888" s="2">
        <v>32993</v>
      </c>
    </row>
    <row r="1889" spans="1:6" x14ac:dyDescent="0.3">
      <c r="A1889">
        <v>2017</v>
      </c>
      <c r="B1889" t="s">
        <v>63</v>
      </c>
      <c r="C1889" t="s">
        <v>24</v>
      </c>
      <c r="D1889" s="1">
        <v>19506</v>
      </c>
      <c r="E1889" s="1">
        <v>91492</v>
      </c>
      <c r="F1889" s="2">
        <v>41793</v>
      </c>
    </row>
    <row r="1890" spans="1:6" x14ac:dyDescent="0.3">
      <c r="A1890">
        <v>2017</v>
      </c>
      <c r="B1890" t="s">
        <v>63</v>
      </c>
      <c r="C1890" t="s">
        <v>25</v>
      </c>
      <c r="D1890" s="1">
        <v>21677</v>
      </c>
      <c r="E1890" s="1">
        <v>118160</v>
      </c>
      <c r="F1890" s="2">
        <v>37032</v>
      </c>
    </row>
    <row r="1891" spans="1:6" x14ac:dyDescent="0.3">
      <c r="A1891">
        <v>2017</v>
      </c>
      <c r="B1891" t="s">
        <v>63</v>
      </c>
      <c r="C1891" t="s">
        <v>26</v>
      </c>
      <c r="D1891" s="1">
        <v>29930</v>
      </c>
      <c r="E1891" s="1">
        <v>137568</v>
      </c>
      <c r="F1891" s="2">
        <v>32157</v>
      </c>
    </row>
    <row r="1892" spans="1:6" x14ac:dyDescent="0.3">
      <c r="A1892">
        <v>2017</v>
      </c>
      <c r="B1892" t="s">
        <v>63</v>
      </c>
      <c r="C1892" t="s">
        <v>27</v>
      </c>
      <c r="D1892" s="1">
        <v>16226</v>
      </c>
      <c r="E1892" s="1">
        <v>90138</v>
      </c>
      <c r="F1892" s="2">
        <v>33237</v>
      </c>
    </row>
    <row r="1893" spans="1:6" x14ac:dyDescent="0.3">
      <c r="A1893">
        <v>2017</v>
      </c>
      <c r="B1893" t="s">
        <v>63</v>
      </c>
      <c r="C1893" t="s">
        <v>28</v>
      </c>
      <c r="D1893" s="1">
        <v>4726</v>
      </c>
      <c r="E1893" s="1">
        <v>21154</v>
      </c>
      <c r="F1893" s="2">
        <v>33958</v>
      </c>
    </row>
    <row r="1894" spans="1:6" x14ac:dyDescent="0.3">
      <c r="A1894">
        <v>2017</v>
      </c>
      <c r="B1894" t="s">
        <v>63</v>
      </c>
      <c r="C1894" t="s">
        <v>29</v>
      </c>
      <c r="D1894" s="1">
        <v>13734</v>
      </c>
      <c r="E1894" s="1">
        <v>76037</v>
      </c>
      <c r="F1894" s="2">
        <v>32705</v>
      </c>
    </row>
    <row r="1895" spans="1:6" x14ac:dyDescent="0.3">
      <c r="A1895">
        <v>2017</v>
      </c>
      <c r="B1895" t="s">
        <v>63</v>
      </c>
      <c r="C1895" t="s">
        <v>30</v>
      </c>
      <c r="D1895" s="1">
        <v>4094</v>
      </c>
      <c r="E1895" s="1">
        <v>17909</v>
      </c>
      <c r="F1895" s="2">
        <v>29177</v>
      </c>
    </row>
    <row r="1896" spans="1:6" x14ac:dyDescent="0.3">
      <c r="A1896">
        <v>2017</v>
      </c>
      <c r="B1896" t="s">
        <v>63</v>
      </c>
      <c r="C1896" t="s">
        <v>31</v>
      </c>
      <c r="D1896" s="1">
        <v>4671</v>
      </c>
      <c r="E1896" s="1">
        <v>25082</v>
      </c>
      <c r="F1896" s="2">
        <v>31310</v>
      </c>
    </row>
    <row r="1897" spans="1:6" x14ac:dyDescent="0.3">
      <c r="A1897">
        <v>2017</v>
      </c>
      <c r="B1897" t="s">
        <v>63</v>
      </c>
      <c r="C1897" t="s">
        <v>32</v>
      </c>
      <c r="D1897" s="1">
        <v>4959</v>
      </c>
      <c r="E1897" s="1">
        <v>33667</v>
      </c>
      <c r="F1897" s="2">
        <v>36336</v>
      </c>
    </row>
    <row r="1898" spans="1:6" x14ac:dyDescent="0.3">
      <c r="A1898">
        <v>2017</v>
      </c>
      <c r="B1898" t="s">
        <v>63</v>
      </c>
      <c r="C1898" t="s">
        <v>33</v>
      </c>
      <c r="D1898" s="1">
        <v>3871</v>
      </c>
      <c r="E1898" s="1">
        <v>20493</v>
      </c>
      <c r="F1898" s="2">
        <v>36646</v>
      </c>
    </row>
    <row r="1899" spans="1:6" x14ac:dyDescent="0.3">
      <c r="A1899">
        <v>2017</v>
      </c>
      <c r="B1899" t="s">
        <v>63</v>
      </c>
      <c r="C1899" t="s">
        <v>34</v>
      </c>
      <c r="D1899" s="1">
        <v>25881</v>
      </c>
      <c r="E1899" s="1">
        <v>136480</v>
      </c>
      <c r="F1899" s="2">
        <v>35059</v>
      </c>
    </row>
    <row r="1900" spans="1:6" x14ac:dyDescent="0.3">
      <c r="A1900">
        <v>2017</v>
      </c>
      <c r="B1900" t="s">
        <v>63</v>
      </c>
      <c r="C1900" t="s">
        <v>35</v>
      </c>
      <c r="D1900" s="1">
        <v>3961</v>
      </c>
      <c r="E1900" s="1">
        <v>20593</v>
      </c>
      <c r="F1900" s="2">
        <v>32578</v>
      </c>
    </row>
    <row r="1901" spans="1:6" x14ac:dyDescent="0.3">
      <c r="A1901">
        <v>2017</v>
      </c>
      <c r="B1901" t="s">
        <v>63</v>
      </c>
      <c r="C1901" t="s">
        <v>36</v>
      </c>
      <c r="D1901" s="1">
        <v>74536</v>
      </c>
      <c r="E1901" s="1">
        <v>369805</v>
      </c>
      <c r="F1901" s="2">
        <v>40436</v>
      </c>
    </row>
    <row r="1902" spans="1:6" x14ac:dyDescent="0.3">
      <c r="A1902">
        <v>2017</v>
      </c>
      <c r="B1902" t="s">
        <v>63</v>
      </c>
      <c r="C1902" t="s">
        <v>37</v>
      </c>
      <c r="D1902" s="1">
        <v>23024</v>
      </c>
      <c r="E1902" s="1">
        <v>107404</v>
      </c>
      <c r="F1902" s="2">
        <v>33978</v>
      </c>
    </row>
    <row r="1903" spans="1:6" x14ac:dyDescent="0.3">
      <c r="A1903">
        <v>2017</v>
      </c>
      <c r="B1903" t="s">
        <v>63</v>
      </c>
      <c r="C1903" t="s">
        <v>38</v>
      </c>
      <c r="D1903" s="1">
        <v>2040</v>
      </c>
      <c r="E1903" s="1">
        <v>12231</v>
      </c>
      <c r="F1903" s="2">
        <v>34167</v>
      </c>
    </row>
    <row r="1904" spans="1:6" x14ac:dyDescent="0.3">
      <c r="A1904">
        <v>2017</v>
      </c>
      <c r="B1904" t="s">
        <v>63</v>
      </c>
      <c r="C1904" t="s">
        <v>39</v>
      </c>
      <c r="D1904" s="1">
        <v>23601</v>
      </c>
      <c r="E1904" s="1">
        <v>155257</v>
      </c>
      <c r="F1904" s="2">
        <v>33039</v>
      </c>
    </row>
    <row r="1905" spans="1:6" x14ac:dyDescent="0.3">
      <c r="A1905">
        <v>2017</v>
      </c>
      <c r="B1905" t="s">
        <v>63</v>
      </c>
      <c r="C1905" t="s">
        <v>40</v>
      </c>
      <c r="D1905" s="1">
        <v>6751</v>
      </c>
      <c r="E1905" s="1">
        <v>35772</v>
      </c>
      <c r="F1905" s="2">
        <v>34306</v>
      </c>
    </row>
    <row r="1906" spans="1:6" x14ac:dyDescent="0.3">
      <c r="A1906">
        <v>2017</v>
      </c>
      <c r="B1906" t="s">
        <v>63</v>
      </c>
      <c r="C1906" t="s">
        <v>41</v>
      </c>
      <c r="D1906" s="1">
        <v>22753</v>
      </c>
      <c r="E1906" s="1">
        <v>77028</v>
      </c>
      <c r="F1906" s="2">
        <v>31901</v>
      </c>
    </row>
    <row r="1907" spans="1:6" x14ac:dyDescent="0.3">
      <c r="A1907">
        <v>2017</v>
      </c>
      <c r="B1907" t="s">
        <v>63</v>
      </c>
      <c r="C1907" t="s">
        <v>42</v>
      </c>
      <c r="D1907" s="1">
        <v>32259</v>
      </c>
      <c r="E1907" s="1">
        <v>197527</v>
      </c>
      <c r="F1907" s="2">
        <v>32593</v>
      </c>
    </row>
    <row r="1908" spans="1:6" x14ac:dyDescent="0.3">
      <c r="A1908">
        <v>2017</v>
      </c>
      <c r="B1908" t="s">
        <v>63</v>
      </c>
      <c r="C1908" t="s">
        <v>43</v>
      </c>
      <c r="D1908" s="1">
        <v>3395</v>
      </c>
      <c r="E1908" s="1">
        <v>17959</v>
      </c>
      <c r="F1908" s="2">
        <v>32566</v>
      </c>
    </row>
    <row r="1909" spans="1:6" x14ac:dyDescent="0.3">
      <c r="A1909">
        <v>2017</v>
      </c>
      <c r="B1909" t="s">
        <v>63</v>
      </c>
      <c r="C1909" t="s">
        <v>44</v>
      </c>
      <c r="D1909" s="1">
        <v>11490</v>
      </c>
      <c r="E1909" s="1">
        <v>51779</v>
      </c>
      <c r="F1909" s="2">
        <v>32842</v>
      </c>
    </row>
    <row r="1910" spans="1:6" x14ac:dyDescent="0.3">
      <c r="A1910">
        <v>2017</v>
      </c>
      <c r="B1910" t="s">
        <v>63</v>
      </c>
      <c r="C1910" t="s">
        <v>45</v>
      </c>
      <c r="D1910" s="1">
        <v>2171</v>
      </c>
      <c r="E1910" s="1">
        <v>11078</v>
      </c>
      <c r="F1910" s="2">
        <v>31403</v>
      </c>
    </row>
    <row r="1911" spans="1:6" x14ac:dyDescent="0.3">
      <c r="A1911">
        <v>2017</v>
      </c>
      <c r="B1911" t="s">
        <v>63</v>
      </c>
      <c r="C1911" t="s">
        <v>46</v>
      </c>
      <c r="D1911" s="1">
        <v>14618</v>
      </c>
      <c r="E1911" s="1">
        <v>76045</v>
      </c>
      <c r="F1911" s="2">
        <v>34443</v>
      </c>
    </row>
    <row r="1912" spans="1:6" x14ac:dyDescent="0.3">
      <c r="A1912">
        <v>2017</v>
      </c>
      <c r="B1912" t="s">
        <v>63</v>
      </c>
      <c r="C1912" t="s">
        <v>47</v>
      </c>
      <c r="D1912" s="1">
        <v>56060</v>
      </c>
      <c r="E1912" s="1">
        <v>328026</v>
      </c>
      <c r="F1912" s="2">
        <v>37841</v>
      </c>
    </row>
    <row r="1913" spans="1:6" x14ac:dyDescent="0.3">
      <c r="A1913">
        <v>2017</v>
      </c>
      <c r="B1913" t="s">
        <v>63</v>
      </c>
      <c r="C1913" t="s">
        <v>48</v>
      </c>
      <c r="D1913" s="1">
        <v>6084</v>
      </c>
      <c r="E1913" s="1">
        <v>35143</v>
      </c>
      <c r="F1913" s="2">
        <v>34421</v>
      </c>
    </row>
    <row r="1914" spans="1:6" x14ac:dyDescent="0.3">
      <c r="A1914">
        <v>2017</v>
      </c>
      <c r="B1914" t="s">
        <v>63</v>
      </c>
      <c r="C1914" t="s">
        <v>49</v>
      </c>
      <c r="D1914" s="1">
        <v>1958</v>
      </c>
      <c r="E1914" s="1">
        <v>8658</v>
      </c>
      <c r="F1914" s="2">
        <v>34757</v>
      </c>
    </row>
    <row r="1915" spans="1:6" x14ac:dyDescent="0.3">
      <c r="A1915">
        <v>2017</v>
      </c>
      <c r="B1915" t="s">
        <v>63</v>
      </c>
      <c r="C1915" t="s">
        <v>50</v>
      </c>
      <c r="D1915" s="1">
        <v>32154</v>
      </c>
      <c r="E1915" s="1">
        <v>141985</v>
      </c>
      <c r="F1915" s="2">
        <v>42290</v>
      </c>
    </row>
    <row r="1916" spans="1:6" x14ac:dyDescent="0.3">
      <c r="A1916">
        <v>2017</v>
      </c>
      <c r="B1916" t="s">
        <v>63</v>
      </c>
      <c r="C1916" t="s">
        <v>51</v>
      </c>
      <c r="D1916" s="1">
        <v>19701</v>
      </c>
      <c r="E1916" s="1">
        <v>97492</v>
      </c>
      <c r="F1916" s="2">
        <v>38822</v>
      </c>
    </row>
    <row r="1917" spans="1:6" x14ac:dyDescent="0.3">
      <c r="A1917">
        <v>2017</v>
      </c>
      <c r="B1917" t="s">
        <v>63</v>
      </c>
      <c r="C1917" t="s">
        <v>52</v>
      </c>
      <c r="D1917" s="1">
        <v>5237</v>
      </c>
      <c r="E1917" s="1">
        <v>19979</v>
      </c>
      <c r="F1917" s="2">
        <v>29927</v>
      </c>
    </row>
    <row r="1918" spans="1:6" x14ac:dyDescent="0.3">
      <c r="A1918">
        <v>2017</v>
      </c>
      <c r="B1918" t="s">
        <v>63</v>
      </c>
      <c r="C1918" t="s">
        <v>53</v>
      </c>
      <c r="D1918" s="1">
        <v>14001</v>
      </c>
      <c r="E1918" s="1">
        <v>84153</v>
      </c>
      <c r="F1918" s="2">
        <v>29242</v>
      </c>
    </row>
    <row r="1919" spans="1:6" x14ac:dyDescent="0.3">
      <c r="A1919">
        <v>2017</v>
      </c>
      <c r="B1919" t="s">
        <v>63</v>
      </c>
      <c r="C1919" t="s">
        <v>54</v>
      </c>
      <c r="D1919" s="1">
        <v>1656</v>
      </c>
      <c r="E1919" s="1">
        <v>7231</v>
      </c>
      <c r="F1919" s="2">
        <v>35035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CF23-1632-446E-89A3-DD87B27B56B9}">
  <dimension ref="A1:AE50"/>
  <sheetViews>
    <sheetView topLeftCell="R1" workbookViewId="0"/>
  </sheetViews>
  <sheetFormatPr defaultRowHeight="14.4" x14ac:dyDescent="0.3"/>
  <cols>
    <col min="1" max="1" width="19.33203125" bestFit="1" customWidth="1"/>
    <col min="2" max="2" width="22.109375" bestFit="1" customWidth="1"/>
    <col min="4" max="4" width="19.33203125" bestFit="1" customWidth="1"/>
    <col min="5" max="6" width="17.33203125" customWidth="1"/>
    <col min="7" max="7" width="8.88671875" customWidth="1"/>
    <col min="8" max="8" width="19.33203125" bestFit="1" customWidth="1"/>
    <col min="9" max="9" width="26.77734375" customWidth="1"/>
    <col min="11" max="12" width="19.33203125" bestFit="1" customWidth="1"/>
    <col min="14" max="14" width="9.88671875" customWidth="1"/>
    <col min="15" max="15" width="10.6640625" customWidth="1"/>
    <col min="16" max="16" width="14.6640625" customWidth="1"/>
    <col min="18" max="18" width="14" bestFit="1" customWidth="1"/>
    <col min="19" max="19" width="12.33203125" bestFit="1" customWidth="1"/>
    <col min="20" max="20" width="11" bestFit="1" customWidth="1"/>
    <col min="21" max="21" width="25.44140625" bestFit="1" customWidth="1"/>
    <col min="22" max="22" width="11.109375" customWidth="1"/>
    <col min="23" max="23" width="25.44140625" bestFit="1" customWidth="1"/>
    <col min="25" max="25" width="18.109375" customWidth="1"/>
    <col min="26" max="26" width="10.109375" customWidth="1"/>
    <col min="28" max="28" width="14.21875" customWidth="1"/>
    <col min="29" max="29" width="15.109375" customWidth="1"/>
    <col min="31" max="31" width="17.6640625" customWidth="1"/>
  </cols>
  <sheetData>
    <row r="1" spans="1:31" ht="23.4" customHeight="1" thickBot="1" x14ac:dyDescent="0.35">
      <c r="A1" s="4" t="s">
        <v>64</v>
      </c>
      <c r="B1" s="5"/>
      <c r="D1" s="26" t="s">
        <v>68</v>
      </c>
      <c r="E1" s="48"/>
      <c r="F1" s="48"/>
      <c r="H1" s="4" t="s">
        <v>69</v>
      </c>
      <c r="I1" s="5"/>
      <c r="K1" s="4" t="s">
        <v>69</v>
      </c>
      <c r="L1" s="5"/>
      <c r="N1" s="4" t="s">
        <v>73</v>
      </c>
      <c r="O1" s="5"/>
      <c r="P1" s="5"/>
      <c r="R1" s="4" t="s">
        <v>75</v>
      </c>
      <c r="S1" s="5"/>
      <c r="T1" s="5"/>
      <c r="U1" s="25"/>
      <c r="V1" s="25"/>
      <c r="W1" s="39" t="s">
        <v>78</v>
      </c>
      <c r="Y1" s="26" t="s">
        <v>77</v>
      </c>
      <c r="Z1" s="25"/>
      <c r="AB1" s="26" t="s">
        <v>72</v>
      </c>
      <c r="AC1" s="25"/>
      <c r="AE1" s="42" t="s">
        <v>72</v>
      </c>
    </row>
    <row r="2" spans="1:31" ht="16.2" thickBot="1" x14ac:dyDescent="0.35">
      <c r="A2" s="13" t="s">
        <v>1</v>
      </c>
      <c r="B2" s="13" t="s">
        <v>65</v>
      </c>
      <c r="D2" s="49" t="s">
        <v>1</v>
      </c>
      <c r="E2" s="50" t="s">
        <v>5</v>
      </c>
      <c r="F2" s="51" t="s">
        <v>65</v>
      </c>
      <c r="H2" s="13" t="s">
        <v>1</v>
      </c>
      <c r="I2" s="13" t="s">
        <v>70</v>
      </c>
      <c r="K2" s="14" t="s">
        <v>1</v>
      </c>
      <c r="L2" s="14" t="s">
        <v>70</v>
      </c>
      <c r="N2" s="13" t="s">
        <v>0</v>
      </c>
      <c r="O2" s="13" t="s">
        <v>72</v>
      </c>
      <c r="P2" s="13" t="s">
        <v>70</v>
      </c>
      <c r="R2" s="14" t="s">
        <v>2</v>
      </c>
      <c r="S2" s="14" t="s">
        <v>74</v>
      </c>
      <c r="T2" s="13" t="s">
        <v>76</v>
      </c>
      <c r="U2" s="13" t="s">
        <v>77</v>
      </c>
      <c r="V2" s="13" t="s">
        <v>72</v>
      </c>
      <c r="W2" s="13" t="str">
        <f>B18</f>
        <v>Avg Wage</v>
      </c>
      <c r="Y2" s="14" t="s">
        <v>80</v>
      </c>
      <c r="Z2" s="14" t="s">
        <v>81</v>
      </c>
      <c r="AB2" s="14" t="s">
        <v>80</v>
      </c>
      <c r="AC2" s="14" t="s">
        <v>81</v>
      </c>
      <c r="AE2" s="14" t="s">
        <v>82</v>
      </c>
    </row>
    <row r="3" spans="1:31" ht="15" thickBot="1" x14ac:dyDescent="0.35">
      <c r="A3" s="7" t="s">
        <v>60</v>
      </c>
      <c r="B3" s="6" t="str">
        <f>Dashboard!E9</f>
        <v>Finance</v>
      </c>
      <c r="D3" s="44" t="s">
        <v>58</v>
      </c>
      <c r="E3" s="53">
        <f>AVERAGEIFS(Data[Avg Annual Wage], Data[Year], $B$15, Data[Industry], $D3)</f>
        <v>93586.333333333328</v>
      </c>
      <c r="F3" s="54">
        <f t="shared" ref="F3:F12" si="0">IF(Industry_Filter=$D3, $E3, 0)</f>
        <v>0</v>
      </c>
      <c r="H3" s="7" t="s">
        <v>57</v>
      </c>
      <c r="I3" s="15">
        <f>SUMIFS(Data[Employees], Data[Year], $B$15, Data[Industry], $H3)</f>
        <v>26277342</v>
      </c>
      <c r="K3" s="44" t="str">
        <f>B3</f>
        <v>Finance</v>
      </c>
      <c r="L3" s="45">
        <f>VLOOKUP($B$3, $H$2:$I$12, 2, 0)</f>
        <v>8142043</v>
      </c>
      <c r="N3" s="7">
        <v>2017</v>
      </c>
      <c r="O3" s="10">
        <f>AVERAGEIFS(Data[Avg Annual Wage], Data[Year], $N3, Data[Industry], $B$3)</f>
        <v>77330.083333333328</v>
      </c>
      <c r="P3" s="15">
        <f>SUMIFS(Data[Employees], Data[Industry], $B$3, Data[Year], $N3)</f>
        <v>8021586</v>
      </c>
      <c r="R3" s="27" t="s">
        <v>7</v>
      </c>
      <c r="S3" s="18">
        <f>SUMIFS(Data[Employees], Data[Year],$B$15, Data[Industry], $B$3, Data[State], $R3)</f>
        <v>94715</v>
      </c>
      <c r="T3" s="21">
        <v>5024279</v>
      </c>
      <c r="U3" s="24">
        <f>(S3/T3)*1000</f>
        <v>18.851461075310507</v>
      </c>
      <c r="V3" s="28">
        <f>AVERAGEIFS(Data[Avg Annual Wage], Data[Year],$B$15, Data[Industry], $B$3, Data[State],$R3)</f>
        <v>75982</v>
      </c>
      <c r="W3" s="35">
        <f>IF($W$2 = $U$2, -U3, V3)</f>
        <v>75982</v>
      </c>
      <c r="Y3" s="36">
        <f>MAX(U3:U50)</f>
        <v>47.87120131562466</v>
      </c>
      <c r="Z3" s="37">
        <f>MIN(U3:U50)</f>
        <v>13.485969908279793</v>
      </c>
      <c r="AB3" s="38">
        <f>MAX(V3:V50)</f>
        <v>207014</v>
      </c>
      <c r="AC3" s="34">
        <f>MIN(V3:V50)</f>
        <v>56764</v>
      </c>
      <c r="AE3" s="43">
        <f ca="1">NOW()</f>
        <v>46186.908029861108</v>
      </c>
    </row>
    <row r="4" spans="1:31" x14ac:dyDescent="0.3">
      <c r="A4" s="8" t="s">
        <v>55</v>
      </c>
      <c r="D4" s="27" t="s">
        <v>59</v>
      </c>
      <c r="E4" s="52">
        <f>AVERAGEIFS(Data[Avg Annual Wage], Data[Year], $B$15, Data[Industry], $D4)</f>
        <v>90040.666666666672</v>
      </c>
      <c r="F4" s="29">
        <f t="shared" si="0"/>
        <v>90040.666666666672</v>
      </c>
      <c r="H4" s="8" t="s">
        <v>61</v>
      </c>
      <c r="I4" s="16">
        <f>SUMIFS(Data[Employees], Data[Year], $B$15, Data[Industry], $H4)</f>
        <v>22035033</v>
      </c>
      <c r="K4" s="27" t="s">
        <v>71</v>
      </c>
      <c r="L4" s="46">
        <f>SUM(I3:I12)-L3</f>
        <v>108507296</v>
      </c>
      <c r="N4" s="8">
        <v>2018</v>
      </c>
      <c r="O4" s="11">
        <f>AVERAGEIFS(Data[Avg Annual Wage], Data[Year], $N4, Data[Industry], $B$3)</f>
        <v>80167.854166666672</v>
      </c>
      <c r="P4" s="19">
        <f>SUMIFS(Data[Employees], Data[Industry], $B$3, Data[Year], $N4)</f>
        <v>8120224</v>
      </c>
      <c r="R4" s="27" t="s">
        <v>8</v>
      </c>
      <c r="S4" s="18">
        <f>SUMIFS(Data[Employees], Data[Year],$B$15, Data[Industry], $B$3, Data[State], $R4)</f>
        <v>225922</v>
      </c>
      <c r="T4" s="22">
        <v>7151502</v>
      </c>
      <c r="U4" s="23">
        <f t="shared" ref="U4:U50" si="1">(S4/T4)*1000</f>
        <v>31.590846230623999</v>
      </c>
      <c r="V4" s="29">
        <f>AVERAGEIFS(Data[Avg Annual Wage], Data[Year],$B$15, Data[Industry], $B$3, Data[State],$R4)</f>
        <v>82956</v>
      </c>
      <c r="W4" s="35">
        <f t="shared" ref="W4:W50" si="2">IF($W$2 = $U$2, -U4, V4)</f>
        <v>82956</v>
      </c>
    </row>
    <row r="5" spans="1:31" ht="15" thickBot="1" x14ac:dyDescent="0.35">
      <c r="A5" s="8" t="s">
        <v>61</v>
      </c>
      <c r="D5" s="27" t="s">
        <v>60</v>
      </c>
      <c r="E5" s="52">
        <f>AVERAGEIFS(Data[Avg Annual Wage], Data[Year], $B$15, Data[Industry], $D5)</f>
        <v>74713.0625</v>
      </c>
      <c r="F5" s="29">
        <f t="shared" si="0"/>
        <v>0</v>
      </c>
      <c r="H5" s="8" t="s">
        <v>60</v>
      </c>
      <c r="I5" s="16">
        <f>SUMIFS(Data[Employees], Data[Year], $B$15, Data[Industry], $H5)</f>
        <v>20065896</v>
      </c>
      <c r="K5" s="30" t="s">
        <v>83</v>
      </c>
      <c r="L5" s="47">
        <f>L3/SUM(L3:L4)</f>
        <v>6.9799306792471413E-2</v>
      </c>
      <c r="N5" s="8">
        <v>2019</v>
      </c>
      <c r="O5" s="11">
        <f>AVERAGEIFS(Data[Avg Annual Wage], Data[Year], $N5, Data[Industry], $B$3)</f>
        <v>82837.375</v>
      </c>
      <c r="P5" s="19">
        <f>SUMIFS(Data[Employees], Data[Industry], $B$3, Data[Year], $N5)</f>
        <v>8251469</v>
      </c>
      <c r="R5" s="27" t="s">
        <v>9</v>
      </c>
      <c r="S5" s="18">
        <f>SUMIFS(Data[Employees], Data[Year],$B$15, Data[Industry], $B$3, Data[State], $R5)</f>
        <v>51950</v>
      </c>
      <c r="T5" s="22">
        <v>3011524</v>
      </c>
      <c r="U5" s="23">
        <f t="shared" si="1"/>
        <v>17.250402121982091</v>
      </c>
      <c r="V5" s="29">
        <f>AVERAGEIFS(Data[Avg Annual Wage], Data[Year],$B$15, Data[Industry], $B$3, Data[State],$R5)</f>
        <v>65321</v>
      </c>
      <c r="W5" s="35">
        <f t="shared" si="2"/>
        <v>65321</v>
      </c>
    </row>
    <row r="6" spans="1:31" ht="15" thickBot="1" x14ac:dyDescent="0.35">
      <c r="A6" s="8" t="s">
        <v>59</v>
      </c>
      <c r="D6" s="27" t="s">
        <v>56</v>
      </c>
      <c r="E6" s="52">
        <f>AVERAGEIFS(Data[Avg Annual Wage], Data[Year], $B$15, Data[Industry], $D6)</f>
        <v>68427.875</v>
      </c>
      <c r="F6" s="29">
        <f t="shared" si="0"/>
        <v>0</v>
      </c>
      <c r="H6" s="8" t="s">
        <v>62</v>
      </c>
      <c r="I6" s="16">
        <f>SUMIFS(Data[Employees], Data[Year], $B$15, Data[Industry], $H6)</f>
        <v>12649500</v>
      </c>
      <c r="N6" s="9">
        <v>2020</v>
      </c>
      <c r="O6" s="12">
        <f>AVERAGEIFS(Data[Avg Annual Wage], Data[Year], $N6, Data[Industry], $B$3)</f>
        <v>90040.666666666672</v>
      </c>
      <c r="P6" s="20">
        <f>SUMIFS(Data[Employees], Data[Industry], $B$3, Data[Year], $N6)</f>
        <v>8142043</v>
      </c>
      <c r="R6" s="27" t="s">
        <v>10</v>
      </c>
      <c r="S6" s="18">
        <f>SUMIFS(Data[Employees], Data[Year],$B$15, Data[Industry], $B$3, Data[State], $R6)</f>
        <v>817007</v>
      </c>
      <c r="T6" s="22">
        <v>39538223</v>
      </c>
      <c r="U6" s="23">
        <f t="shared" si="1"/>
        <v>20.663725833100795</v>
      </c>
      <c r="V6" s="29">
        <f>AVERAGEIFS(Data[Avg Annual Wage], Data[Year],$B$15, Data[Industry], $B$3, Data[State],$R6)</f>
        <v>124107</v>
      </c>
      <c r="W6" s="35">
        <f t="shared" si="2"/>
        <v>124107</v>
      </c>
    </row>
    <row r="7" spans="1:31" x14ac:dyDescent="0.3">
      <c r="A7" s="8" t="s">
        <v>58</v>
      </c>
      <c r="D7" s="27" t="s">
        <v>55</v>
      </c>
      <c r="E7" s="52">
        <f>AVERAGEIFS(Data[Avg Annual Wage], Data[Year], $B$15, Data[Industry], $D7)</f>
        <v>63896.895833333336</v>
      </c>
      <c r="F7" s="29">
        <f t="shared" si="0"/>
        <v>0</v>
      </c>
      <c r="H7" s="8" t="s">
        <v>56</v>
      </c>
      <c r="I7" s="16">
        <f>SUMIFS(Data[Employees], Data[Year], $B$15, Data[Industry], $H7)</f>
        <v>12058694</v>
      </c>
      <c r="R7" s="27" t="s">
        <v>11</v>
      </c>
      <c r="S7" s="18">
        <f>SUMIFS(Data[Employees], Data[Year],$B$15, Data[Industry], $B$3, Data[State], $R7)</f>
        <v>165271</v>
      </c>
      <c r="T7" s="22">
        <v>5773714</v>
      </c>
      <c r="U7" s="23">
        <f t="shared" si="1"/>
        <v>28.624729247066966</v>
      </c>
      <c r="V7" s="29">
        <f>AVERAGEIFS(Data[Avg Annual Wage], Data[Year],$B$15, Data[Industry], $B$3, Data[State],$R7)</f>
        <v>97276</v>
      </c>
      <c r="W7" s="35">
        <f t="shared" si="2"/>
        <v>97276</v>
      </c>
    </row>
    <row r="8" spans="1:31" x14ac:dyDescent="0.3">
      <c r="A8" s="8" t="s">
        <v>62</v>
      </c>
      <c r="D8" s="27" t="s">
        <v>6</v>
      </c>
      <c r="E8" s="52">
        <f>AVERAGEIFS(Data[Avg Annual Wage], Data[Year], $B$15, Data[Industry], $D8)</f>
        <v>55605.9375</v>
      </c>
      <c r="F8" s="29">
        <f t="shared" si="0"/>
        <v>0</v>
      </c>
      <c r="H8" s="8" t="s">
        <v>59</v>
      </c>
      <c r="I8" s="16">
        <f>SUMIFS(Data[Employees], Data[Year], $B$15, Data[Industry], $H8)</f>
        <v>8142043</v>
      </c>
      <c r="R8" s="27" t="s">
        <v>12</v>
      </c>
      <c r="S8" s="18">
        <f>SUMIFS(Data[Employees], Data[Year],$B$15, Data[Industry], $B$3, Data[State], $R8)</f>
        <v>118168</v>
      </c>
      <c r="T8" s="22">
        <v>3605944</v>
      </c>
      <c r="U8" s="23">
        <f t="shared" si="1"/>
        <v>32.77033697694695</v>
      </c>
      <c r="V8" s="29">
        <f>AVERAGEIFS(Data[Avg Annual Wage], Data[Year],$B$15, Data[Industry], $B$3, Data[State],$R8)</f>
        <v>165086</v>
      </c>
      <c r="W8" s="35">
        <f t="shared" si="2"/>
        <v>165086</v>
      </c>
    </row>
    <row r="9" spans="1:31" x14ac:dyDescent="0.3">
      <c r="A9" s="8" t="s">
        <v>56</v>
      </c>
      <c r="D9" s="27" t="s">
        <v>61</v>
      </c>
      <c r="E9" s="52">
        <f>AVERAGEIFS(Data[Avg Annual Wage], Data[Year], $B$15, Data[Industry], $D9)</f>
        <v>53607.208333333336</v>
      </c>
      <c r="F9" s="29">
        <f t="shared" si="0"/>
        <v>0</v>
      </c>
      <c r="H9" s="8" t="s">
        <v>55</v>
      </c>
      <c r="I9" s="16">
        <f>SUMIFS(Data[Employees], Data[Year], $B$15, Data[Industry], $H9)</f>
        <v>7136444</v>
      </c>
      <c r="R9" s="27" t="s">
        <v>13</v>
      </c>
      <c r="S9" s="18">
        <f>SUMIFS(Data[Employees], Data[Year],$B$15, Data[Industry], $B$3, Data[State], $R9)</f>
        <v>47390</v>
      </c>
      <c r="T9" s="22">
        <v>989948</v>
      </c>
      <c r="U9" s="23">
        <f t="shared" si="1"/>
        <v>47.87120131562466</v>
      </c>
      <c r="V9" s="29">
        <f>AVERAGEIFS(Data[Avg Annual Wage], Data[Year],$B$15, Data[Industry], $B$3, Data[State],$R9)</f>
        <v>103154</v>
      </c>
      <c r="W9" s="35">
        <f t="shared" si="2"/>
        <v>103154</v>
      </c>
    </row>
    <row r="10" spans="1:31" x14ac:dyDescent="0.3">
      <c r="A10" s="8" t="s">
        <v>6</v>
      </c>
      <c r="D10" s="27" t="s">
        <v>57</v>
      </c>
      <c r="E10" s="52">
        <f>AVERAGEIFS(Data[Avg Annual Wage], Data[Year], $B$15, Data[Industry], $D10)</f>
        <v>49366.8125</v>
      </c>
      <c r="F10" s="29">
        <f t="shared" si="0"/>
        <v>0</v>
      </c>
      <c r="H10" s="8" t="s">
        <v>63</v>
      </c>
      <c r="I10" s="16">
        <f>SUMIFS(Data[Employees], Data[Year], $B$15, Data[Industry], $H10)</f>
        <v>3843699</v>
      </c>
      <c r="R10" s="27" t="s">
        <v>14</v>
      </c>
      <c r="S10" s="18">
        <f>SUMIFS(Data[Employees], Data[Year],$B$15, Data[Industry], $B$3, Data[State], $R10)</f>
        <v>586706</v>
      </c>
      <c r="T10" s="22">
        <v>21538187</v>
      </c>
      <c r="U10" s="23">
        <f t="shared" si="1"/>
        <v>27.240268644709975</v>
      </c>
      <c r="V10" s="29">
        <f>AVERAGEIFS(Data[Avg Annual Wage], Data[Year],$B$15, Data[Industry], $B$3, Data[State],$R10)</f>
        <v>84307</v>
      </c>
      <c r="W10" s="35">
        <f t="shared" si="2"/>
        <v>84307</v>
      </c>
    </row>
    <row r="11" spans="1:31" x14ac:dyDescent="0.3">
      <c r="A11" s="8" t="s">
        <v>63</v>
      </c>
      <c r="D11" s="27" t="s">
        <v>63</v>
      </c>
      <c r="E11" s="52">
        <f>AVERAGEIFS(Data[Avg Annual Wage], Data[Year], $B$15, Data[Industry], $D11)</f>
        <v>40790.1875</v>
      </c>
      <c r="F11" s="29">
        <f t="shared" si="0"/>
        <v>0</v>
      </c>
      <c r="H11" s="8" t="s">
        <v>58</v>
      </c>
      <c r="I11" s="16">
        <f>SUMIFS(Data[Employees], Data[Year], $B$15, Data[Industry], $H11)</f>
        <v>2677815</v>
      </c>
      <c r="R11" s="27" t="s">
        <v>15</v>
      </c>
      <c r="S11" s="18">
        <f>SUMIFS(Data[Employees], Data[Year],$B$15, Data[Industry], $B$3, Data[State], $R11)</f>
        <v>242175</v>
      </c>
      <c r="T11" s="22">
        <v>10711908</v>
      </c>
      <c r="U11" s="23">
        <f t="shared" si="1"/>
        <v>22.608017171170626</v>
      </c>
      <c r="V11" s="29">
        <f>AVERAGEIFS(Data[Avg Annual Wage], Data[Year],$B$15, Data[Industry], $B$3, Data[State],$R11)</f>
        <v>93145</v>
      </c>
      <c r="W11" s="35">
        <f t="shared" si="2"/>
        <v>93145</v>
      </c>
    </row>
    <row r="12" spans="1:31" ht="15" thickBot="1" x14ac:dyDescent="0.35">
      <c r="A12" s="9" t="s">
        <v>57</v>
      </c>
      <c r="D12" s="30" t="s">
        <v>62</v>
      </c>
      <c r="E12" s="55">
        <f>AVERAGEIFS(Data[Avg Annual Wage], Data[Year], $B$15, Data[Industry], $D12)</f>
        <v>23286.416666666668</v>
      </c>
      <c r="F12" s="34">
        <f t="shared" si="0"/>
        <v>0</v>
      </c>
      <c r="H12" s="9" t="s">
        <v>6</v>
      </c>
      <c r="I12" s="17">
        <f>SUMIFS(Data[Employees], Data[Year], $B$15, Data[Industry], $H12)</f>
        <v>1762873</v>
      </c>
      <c r="R12" s="27" t="s">
        <v>16</v>
      </c>
      <c r="S12" s="18">
        <f>SUMIFS(Data[Employees], Data[Year],$B$15, Data[Industry], $B$3, Data[State], $R12)</f>
        <v>34249</v>
      </c>
      <c r="T12" s="22">
        <v>1839106</v>
      </c>
      <c r="U12" s="23">
        <f t="shared" si="1"/>
        <v>18.622635128154659</v>
      </c>
      <c r="V12" s="29">
        <f>AVERAGEIFS(Data[Avg Annual Wage], Data[Year],$B$15, Data[Industry], $B$3, Data[State],$R12)</f>
        <v>68833</v>
      </c>
      <c r="W12" s="35">
        <f t="shared" si="2"/>
        <v>68833</v>
      </c>
    </row>
    <row r="13" spans="1:31" ht="15" thickBot="1" x14ac:dyDescent="0.35">
      <c r="R13" s="27" t="s">
        <v>17</v>
      </c>
      <c r="S13" s="18">
        <f>SUMIFS(Data[Employees], Data[Year],$B$15, Data[Industry], $B$3, Data[State], $R13)</f>
        <v>376539</v>
      </c>
      <c r="T13" s="22">
        <v>12812508</v>
      </c>
      <c r="U13" s="23">
        <f t="shared" si="1"/>
        <v>29.388391406272682</v>
      </c>
      <c r="V13" s="29">
        <f>AVERAGEIFS(Data[Avg Annual Wage], Data[Year],$B$15, Data[Industry], $B$3, Data[State],$R13)</f>
        <v>121634</v>
      </c>
      <c r="W13" s="35">
        <f t="shared" si="2"/>
        <v>121634</v>
      </c>
    </row>
    <row r="14" spans="1:31" ht="24" customHeight="1" thickBot="1" x14ac:dyDescent="0.35">
      <c r="A14" s="4" t="s">
        <v>66</v>
      </c>
      <c r="B14" s="5"/>
      <c r="R14" s="27" t="s">
        <v>18</v>
      </c>
      <c r="S14" s="18">
        <f>SUMIFS(Data[Employees], Data[Year],$B$15, Data[Industry], $B$3, Data[State], $R14)</f>
        <v>133449</v>
      </c>
      <c r="T14" s="22">
        <v>6785528</v>
      </c>
      <c r="U14" s="23">
        <f t="shared" si="1"/>
        <v>19.666708323950623</v>
      </c>
      <c r="V14" s="29">
        <f>AVERAGEIFS(Data[Avg Annual Wage], Data[Year],$B$15, Data[Industry], $B$3, Data[State],$R14)</f>
        <v>72283</v>
      </c>
      <c r="W14" s="35">
        <f t="shared" si="2"/>
        <v>72283</v>
      </c>
    </row>
    <row r="15" spans="1:31" ht="16.2" thickBot="1" x14ac:dyDescent="0.35">
      <c r="A15" s="13" t="s">
        <v>67</v>
      </c>
      <c r="B15" s="6">
        <v>2020</v>
      </c>
      <c r="R15" s="27" t="s">
        <v>19</v>
      </c>
      <c r="S15" s="18">
        <f>SUMIFS(Data[Employees], Data[Year],$B$15, Data[Industry], $B$3, Data[State], $R15)</f>
        <v>109283</v>
      </c>
      <c r="T15" s="22">
        <v>3190369</v>
      </c>
      <c r="U15" s="23">
        <f t="shared" si="1"/>
        <v>34.254031430220138</v>
      </c>
      <c r="V15" s="29">
        <f>AVERAGEIFS(Data[Avg Annual Wage], Data[Year],$B$15, Data[Industry], $B$3, Data[State],$R15)</f>
        <v>81131</v>
      </c>
      <c r="W15" s="35">
        <f t="shared" si="2"/>
        <v>81131</v>
      </c>
    </row>
    <row r="16" spans="1:31" ht="15" thickBot="1" x14ac:dyDescent="0.35">
      <c r="R16" s="27" t="s">
        <v>20</v>
      </c>
      <c r="S16" s="18">
        <f>SUMIFS(Data[Employees], Data[Year],$B$15, Data[Industry], $B$3, Data[State], $R16)</f>
        <v>73310</v>
      </c>
      <c r="T16" s="22">
        <v>2937880</v>
      </c>
      <c r="U16" s="23">
        <f t="shared" si="1"/>
        <v>24.953367734556892</v>
      </c>
      <c r="V16" s="29">
        <f>AVERAGEIFS(Data[Avg Annual Wage], Data[Year],$B$15, Data[Industry], $B$3, Data[State],$R16)</f>
        <v>75889</v>
      </c>
      <c r="W16" s="35">
        <f t="shared" si="2"/>
        <v>75889</v>
      </c>
    </row>
    <row r="17" spans="1:23" ht="18" thickBot="1" x14ac:dyDescent="0.35">
      <c r="A17" s="4" t="s">
        <v>78</v>
      </c>
      <c r="B17" s="5"/>
      <c r="R17" s="27" t="s">
        <v>21</v>
      </c>
      <c r="S17" s="18">
        <f>SUMIFS(Data[Employees], Data[Year],$B$15, Data[Industry], $B$3, Data[State], $R17)</f>
        <v>92079</v>
      </c>
      <c r="T17" s="22">
        <v>4505836</v>
      </c>
      <c r="U17" s="23">
        <f t="shared" si="1"/>
        <v>20.43549743044354</v>
      </c>
      <c r="V17" s="29">
        <f>AVERAGEIFS(Data[Avg Annual Wage], Data[Year],$B$15, Data[Industry], $B$3, Data[State],$R17)</f>
        <v>75177</v>
      </c>
      <c r="W17" s="35">
        <f t="shared" si="2"/>
        <v>75177</v>
      </c>
    </row>
    <row r="18" spans="1:23" ht="16.2" thickBot="1" x14ac:dyDescent="0.35">
      <c r="A18" s="13" t="s">
        <v>79</v>
      </c>
      <c r="B18" s="6" t="str">
        <f>IF(Dashboard!C5=1, 'Data Prep'!U2, 'Data Prep'!V2)</f>
        <v>Avg Wage</v>
      </c>
      <c r="R18" s="27" t="s">
        <v>22</v>
      </c>
      <c r="S18" s="18">
        <f>SUMIFS(Data[Employees], Data[Year],$B$15, Data[Industry], $B$3, Data[State], $R18)</f>
        <v>81149</v>
      </c>
      <c r="T18" s="22">
        <v>4657757</v>
      </c>
      <c r="U18" s="23">
        <f t="shared" si="1"/>
        <v>17.422334398295146</v>
      </c>
      <c r="V18" s="29">
        <f>AVERAGEIFS(Data[Avg Annual Wage], Data[Year],$B$15, Data[Industry], $B$3, Data[State],$R18)</f>
        <v>69409</v>
      </c>
      <c r="W18" s="35">
        <f t="shared" si="2"/>
        <v>69409</v>
      </c>
    </row>
    <row r="19" spans="1:23" x14ac:dyDescent="0.3">
      <c r="R19" s="27" t="s">
        <v>23</v>
      </c>
      <c r="S19" s="18">
        <f>SUMIFS(Data[Employees], Data[Year],$B$15, Data[Industry], $B$3, Data[State], $R19)</f>
        <v>30107</v>
      </c>
      <c r="T19" s="22">
        <v>1362359</v>
      </c>
      <c r="U19" s="23">
        <f t="shared" si="1"/>
        <v>22.099167693684262</v>
      </c>
      <c r="V19" s="29">
        <f>AVERAGEIFS(Data[Avg Annual Wage], Data[Year],$B$15, Data[Industry], $B$3, Data[State],$R19)</f>
        <v>75870</v>
      </c>
      <c r="W19" s="35">
        <f t="shared" si="2"/>
        <v>75870</v>
      </c>
    </row>
    <row r="20" spans="1:23" x14ac:dyDescent="0.3">
      <c r="R20" s="27" t="s">
        <v>24</v>
      </c>
      <c r="S20" s="18">
        <f>SUMIFS(Data[Employees], Data[Year],$B$15, Data[Industry], $B$3, Data[State], $R20)</f>
        <v>129771</v>
      </c>
      <c r="T20" s="22">
        <v>6177224</v>
      </c>
      <c r="U20" s="23">
        <f t="shared" si="1"/>
        <v>21.007980283700249</v>
      </c>
      <c r="V20" s="29">
        <f>AVERAGEIFS(Data[Avg Annual Wage], Data[Year],$B$15, Data[Industry], $B$3, Data[State],$R20)</f>
        <v>110159</v>
      </c>
      <c r="W20" s="35">
        <f t="shared" si="2"/>
        <v>110159</v>
      </c>
    </row>
    <row r="21" spans="1:23" x14ac:dyDescent="0.3">
      <c r="R21" s="27" t="s">
        <v>25</v>
      </c>
      <c r="S21" s="18">
        <f>SUMIFS(Data[Employees], Data[Year],$B$15, Data[Industry], $B$3, Data[State], $R21)</f>
        <v>212062</v>
      </c>
      <c r="T21" s="22">
        <v>7029917</v>
      </c>
      <c r="U21" s="23">
        <f t="shared" si="1"/>
        <v>30.165647759425894</v>
      </c>
      <c r="V21" s="29">
        <f>AVERAGEIFS(Data[Avg Annual Wage], Data[Year],$B$15, Data[Industry], $B$3, Data[State],$R21)</f>
        <v>159120</v>
      </c>
      <c r="W21" s="35">
        <f t="shared" si="2"/>
        <v>159120</v>
      </c>
    </row>
    <row r="22" spans="1:23" x14ac:dyDescent="0.3">
      <c r="R22" s="27" t="s">
        <v>26</v>
      </c>
      <c r="S22" s="18">
        <f>SUMIFS(Data[Employees], Data[Year],$B$15, Data[Industry], $B$3, Data[State], $R22)</f>
        <v>207448</v>
      </c>
      <c r="T22" s="22">
        <v>10077331</v>
      </c>
      <c r="U22" s="23">
        <f t="shared" si="1"/>
        <v>20.585609423765085</v>
      </c>
      <c r="V22" s="29">
        <f>AVERAGEIFS(Data[Avg Annual Wage], Data[Year],$B$15, Data[Industry], $B$3, Data[State],$R22)</f>
        <v>81720</v>
      </c>
      <c r="W22" s="35">
        <f t="shared" si="2"/>
        <v>81720</v>
      </c>
    </row>
    <row r="23" spans="1:23" x14ac:dyDescent="0.3">
      <c r="R23" s="27" t="s">
        <v>27</v>
      </c>
      <c r="S23" s="18">
        <f>SUMIFS(Data[Employees], Data[Year],$B$15, Data[Industry], $B$3, Data[State], $R23)</f>
        <v>179728</v>
      </c>
      <c r="T23" s="22">
        <v>5706494</v>
      </c>
      <c r="U23" s="23">
        <f t="shared" si="1"/>
        <v>31.495345478326968</v>
      </c>
      <c r="V23" s="29">
        <f>AVERAGEIFS(Data[Avg Annual Wage], Data[Year],$B$15, Data[Industry], $B$3, Data[State],$R23)</f>
        <v>104989</v>
      </c>
      <c r="W23" s="35">
        <f t="shared" si="2"/>
        <v>104989</v>
      </c>
    </row>
    <row r="24" spans="1:23" x14ac:dyDescent="0.3">
      <c r="R24" s="27" t="s">
        <v>28</v>
      </c>
      <c r="S24" s="18">
        <f>SUMIFS(Data[Employees], Data[Year],$B$15, Data[Industry], $B$3, Data[State], $R24)</f>
        <v>41912</v>
      </c>
      <c r="T24" s="22">
        <v>2961279</v>
      </c>
      <c r="U24" s="23">
        <f t="shared" si="1"/>
        <v>14.153343876075169</v>
      </c>
      <c r="V24" s="29">
        <f>AVERAGEIFS(Data[Avg Annual Wage], Data[Year],$B$15, Data[Industry], $B$3, Data[State],$R24)</f>
        <v>59263</v>
      </c>
      <c r="W24" s="35">
        <f t="shared" si="2"/>
        <v>59263</v>
      </c>
    </row>
    <row r="25" spans="1:23" x14ac:dyDescent="0.3">
      <c r="R25" s="27" t="s">
        <v>29</v>
      </c>
      <c r="S25" s="18">
        <f>SUMIFS(Data[Employees], Data[Year],$B$15, Data[Industry], $B$3, Data[State], $R25)</f>
        <v>165564</v>
      </c>
      <c r="T25" s="22">
        <v>6154913</v>
      </c>
      <c r="U25" s="23">
        <f t="shared" si="1"/>
        <v>26.899486637747763</v>
      </c>
      <c r="V25" s="29">
        <f>AVERAGEIFS(Data[Avg Annual Wage], Data[Year],$B$15, Data[Industry], $B$3, Data[State],$R25)</f>
        <v>82664</v>
      </c>
      <c r="W25" s="35">
        <f t="shared" si="2"/>
        <v>82664</v>
      </c>
    </row>
    <row r="26" spans="1:23" x14ac:dyDescent="0.3">
      <c r="R26" s="27" t="s">
        <v>30</v>
      </c>
      <c r="S26" s="18">
        <f>SUMIFS(Data[Employees], Data[Year],$B$15, Data[Industry], $B$3, Data[State], $R26)</f>
        <v>21986</v>
      </c>
      <c r="T26" s="22">
        <v>1084225</v>
      </c>
      <c r="U26" s="23">
        <f t="shared" si="1"/>
        <v>20.278078812054691</v>
      </c>
      <c r="V26" s="29">
        <f>AVERAGEIFS(Data[Avg Annual Wage], Data[Year],$B$15, Data[Industry], $B$3, Data[State],$R26)</f>
        <v>67330</v>
      </c>
      <c r="W26" s="35">
        <f t="shared" si="2"/>
        <v>67330</v>
      </c>
    </row>
    <row r="27" spans="1:23" x14ac:dyDescent="0.3">
      <c r="R27" s="27" t="s">
        <v>31</v>
      </c>
      <c r="S27" s="18">
        <f>SUMIFS(Data[Employees], Data[Year],$B$15, Data[Industry], $B$3, Data[State], $R27)</f>
        <v>66588</v>
      </c>
      <c r="T27" s="22">
        <v>1961504</v>
      </c>
      <c r="U27" s="23">
        <f t="shared" si="1"/>
        <v>33.947419938985597</v>
      </c>
      <c r="V27" s="29">
        <f>AVERAGEIFS(Data[Avg Annual Wage], Data[Year],$B$15, Data[Industry], $B$3, Data[State],$R27)</f>
        <v>74942</v>
      </c>
      <c r="W27" s="35">
        <f t="shared" si="2"/>
        <v>74942</v>
      </c>
    </row>
    <row r="28" spans="1:23" x14ac:dyDescent="0.3">
      <c r="R28" s="27" t="s">
        <v>32</v>
      </c>
      <c r="S28" s="18">
        <f>SUMIFS(Data[Employees], Data[Year],$B$15, Data[Industry], $B$3, Data[State], $R28)</f>
        <v>62325</v>
      </c>
      <c r="T28" s="22">
        <v>3104614</v>
      </c>
      <c r="U28" s="23">
        <f t="shared" si="1"/>
        <v>20.074959399139473</v>
      </c>
      <c r="V28" s="29">
        <f>AVERAGEIFS(Data[Avg Annual Wage], Data[Year],$B$15, Data[Industry], $B$3, Data[State],$R28)</f>
        <v>79236</v>
      </c>
      <c r="W28" s="35">
        <f t="shared" si="2"/>
        <v>79236</v>
      </c>
    </row>
    <row r="29" spans="1:23" x14ac:dyDescent="0.3">
      <c r="R29" s="27" t="s">
        <v>33</v>
      </c>
      <c r="S29" s="18">
        <f>SUMIFS(Data[Employees], Data[Year],$B$15, Data[Industry], $B$3, Data[State], $R29)</f>
        <v>33027</v>
      </c>
      <c r="T29" s="22">
        <v>1377529</v>
      </c>
      <c r="U29" s="23">
        <f t="shared" si="1"/>
        <v>23.975538808983334</v>
      </c>
      <c r="V29" s="29">
        <f>AVERAGEIFS(Data[Avg Annual Wage], Data[Year],$B$15, Data[Industry], $B$3, Data[State],$R29)</f>
        <v>109751</v>
      </c>
      <c r="W29" s="35">
        <f t="shared" si="2"/>
        <v>109751</v>
      </c>
    </row>
    <row r="30" spans="1:23" x14ac:dyDescent="0.3">
      <c r="R30" s="27" t="s">
        <v>34</v>
      </c>
      <c r="S30" s="18">
        <f>SUMIFS(Data[Employees], Data[Year],$B$15, Data[Industry], $B$3, Data[State], $R30)</f>
        <v>235676</v>
      </c>
      <c r="T30" s="22">
        <v>9288994</v>
      </c>
      <c r="U30" s="23">
        <f t="shared" si="1"/>
        <v>25.371531082913823</v>
      </c>
      <c r="V30" s="29">
        <f>AVERAGEIFS(Data[Avg Annual Wage], Data[Year],$B$15, Data[Industry], $B$3, Data[State],$R30)</f>
        <v>127870</v>
      </c>
      <c r="W30" s="35">
        <f t="shared" si="2"/>
        <v>127870</v>
      </c>
    </row>
    <row r="31" spans="1:23" x14ac:dyDescent="0.3">
      <c r="R31" s="27" t="s">
        <v>35</v>
      </c>
      <c r="S31" s="18">
        <f>SUMIFS(Data[Employees], Data[Year],$B$15, Data[Industry], $B$3, Data[State], $R31)</f>
        <v>32608</v>
      </c>
      <c r="T31" s="22">
        <v>2117522</v>
      </c>
      <c r="U31" s="23">
        <f t="shared" si="1"/>
        <v>15.399131626495498</v>
      </c>
      <c r="V31" s="29">
        <f>AVERAGEIFS(Data[Avg Annual Wage], Data[Year],$B$15, Data[Industry], $B$3, Data[State],$R31)</f>
        <v>62343</v>
      </c>
      <c r="W31" s="35">
        <f t="shared" si="2"/>
        <v>62343</v>
      </c>
    </row>
    <row r="32" spans="1:23" x14ac:dyDescent="0.3">
      <c r="R32" s="27" t="s">
        <v>36</v>
      </c>
      <c r="S32" s="18">
        <f>SUMIFS(Data[Employees], Data[Year],$B$15, Data[Industry], $B$3, Data[State], $R32)</f>
        <v>700031</v>
      </c>
      <c r="T32" s="22">
        <v>20201249</v>
      </c>
      <c r="U32" s="23">
        <f t="shared" si="1"/>
        <v>34.652857355503116</v>
      </c>
      <c r="V32" s="29">
        <f>AVERAGEIFS(Data[Avg Annual Wage], Data[Year],$B$15, Data[Industry], $B$3, Data[State],$R32)</f>
        <v>207014</v>
      </c>
      <c r="W32" s="35">
        <f t="shared" si="2"/>
        <v>207014</v>
      </c>
    </row>
    <row r="33" spans="18:23" x14ac:dyDescent="0.3">
      <c r="R33" s="27" t="s">
        <v>37</v>
      </c>
      <c r="S33" s="18">
        <f>SUMIFS(Data[Employees], Data[Year],$B$15, Data[Industry], $B$3, Data[State], $R33)</f>
        <v>251672</v>
      </c>
      <c r="T33" s="22">
        <v>10439388</v>
      </c>
      <c r="U33" s="23">
        <f t="shared" si="1"/>
        <v>24.107926633247082</v>
      </c>
      <c r="V33" s="29">
        <f>AVERAGEIFS(Data[Avg Annual Wage], Data[Year],$B$15, Data[Industry], $B$3, Data[State],$R33)</f>
        <v>97234</v>
      </c>
      <c r="W33" s="35">
        <f t="shared" si="2"/>
        <v>97234</v>
      </c>
    </row>
    <row r="34" spans="18:23" x14ac:dyDescent="0.3">
      <c r="R34" s="27" t="s">
        <v>38</v>
      </c>
      <c r="S34" s="18">
        <f>SUMIFS(Data[Employees], Data[Year],$B$15, Data[Industry], $B$3, Data[State], $R34)</f>
        <v>22496</v>
      </c>
      <c r="T34" s="22">
        <v>779094</v>
      </c>
      <c r="U34" s="23">
        <f t="shared" si="1"/>
        <v>28.874564558320305</v>
      </c>
      <c r="V34" s="29">
        <f>AVERAGEIFS(Data[Avg Annual Wage], Data[Year],$B$15, Data[Industry], $B$3, Data[State],$R34)</f>
        <v>69243</v>
      </c>
      <c r="W34" s="35">
        <f t="shared" si="2"/>
        <v>69243</v>
      </c>
    </row>
    <row r="35" spans="18:23" x14ac:dyDescent="0.3">
      <c r="R35" s="27" t="s">
        <v>39</v>
      </c>
      <c r="S35" s="18">
        <f>SUMIFS(Data[Employees], Data[Year],$B$15, Data[Industry], $B$3, Data[State], $R35)</f>
        <v>287990</v>
      </c>
      <c r="T35" s="22">
        <v>11799448</v>
      </c>
      <c r="U35" s="23">
        <f t="shared" si="1"/>
        <v>24.407073958036001</v>
      </c>
      <c r="V35" s="29">
        <f>AVERAGEIFS(Data[Avg Annual Wage], Data[Year],$B$15, Data[Industry], $B$3, Data[State],$R35)</f>
        <v>82336</v>
      </c>
      <c r="W35" s="35">
        <f t="shared" si="2"/>
        <v>82336</v>
      </c>
    </row>
    <row r="36" spans="18:23" x14ac:dyDescent="0.3">
      <c r="R36" s="27" t="s">
        <v>40</v>
      </c>
      <c r="S36" s="18">
        <f>SUMIFS(Data[Employees], Data[Year],$B$15, Data[Industry], $B$3, Data[State], $R36)</f>
        <v>74614</v>
      </c>
      <c r="T36" s="22">
        <v>3959353</v>
      </c>
      <c r="U36" s="23">
        <f t="shared" si="1"/>
        <v>18.844998160052917</v>
      </c>
      <c r="V36" s="29">
        <f>AVERAGEIFS(Data[Avg Annual Wage], Data[Year],$B$15, Data[Industry], $B$3, Data[State],$R36)</f>
        <v>64030</v>
      </c>
      <c r="W36" s="35">
        <f t="shared" si="2"/>
        <v>64030</v>
      </c>
    </row>
    <row r="37" spans="18:23" x14ac:dyDescent="0.3">
      <c r="R37" s="27" t="s">
        <v>41</v>
      </c>
      <c r="S37" s="18">
        <f>SUMIFS(Data[Employees], Data[Year],$B$15, Data[Industry], $B$3, Data[State], $R37)</f>
        <v>83937</v>
      </c>
      <c r="T37" s="22">
        <v>4237256</v>
      </c>
      <c r="U37" s="23">
        <f t="shared" si="1"/>
        <v>19.809282233596459</v>
      </c>
      <c r="V37" s="29">
        <f>AVERAGEIFS(Data[Avg Annual Wage], Data[Year],$B$15, Data[Industry], $B$3, Data[State],$R37)</f>
        <v>80727</v>
      </c>
      <c r="W37" s="35">
        <f t="shared" si="2"/>
        <v>80727</v>
      </c>
    </row>
    <row r="38" spans="18:23" x14ac:dyDescent="0.3">
      <c r="R38" s="27" t="s">
        <v>42</v>
      </c>
      <c r="S38" s="18">
        <f>SUMIFS(Data[Employees], Data[Year],$B$15, Data[Industry], $B$3, Data[State], $R38)</f>
        <v>325571</v>
      </c>
      <c r="T38" s="22">
        <v>13002700</v>
      </c>
      <c r="U38" s="23">
        <f t="shared" si="1"/>
        <v>25.038722726818275</v>
      </c>
      <c r="V38" s="29">
        <f>AVERAGEIFS(Data[Avg Annual Wage], Data[Year],$B$15, Data[Industry], $B$3, Data[State],$R38)</f>
        <v>97231</v>
      </c>
      <c r="W38" s="35">
        <f t="shared" si="2"/>
        <v>97231</v>
      </c>
    </row>
    <row r="39" spans="18:23" x14ac:dyDescent="0.3">
      <c r="R39" s="27" t="s">
        <v>43</v>
      </c>
      <c r="S39" s="18">
        <f>SUMIFS(Data[Employees], Data[Year],$B$15, Data[Industry], $B$3, Data[State], $R39)</f>
        <v>31304</v>
      </c>
      <c r="T39" s="22">
        <v>1097379</v>
      </c>
      <c r="U39" s="23">
        <f t="shared" si="1"/>
        <v>28.526151858200311</v>
      </c>
      <c r="V39" s="29">
        <f>AVERAGEIFS(Data[Avg Annual Wage], Data[Year],$B$15, Data[Industry], $B$3, Data[State],$R39)</f>
        <v>100316</v>
      </c>
      <c r="W39" s="35">
        <f t="shared" si="2"/>
        <v>100316</v>
      </c>
    </row>
    <row r="40" spans="18:23" x14ac:dyDescent="0.3">
      <c r="R40" s="27" t="s">
        <v>44</v>
      </c>
      <c r="S40" s="18">
        <f>SUMIFS(Data[Employees], Data[Year],$B$15, Data[Industry], $B$3, Data[State], $R40)</f>
        <v>101637</v>
      </c>
      <c r="T40" s="22">
        <v>5118425</v>
      </c>
      <c r="U40" s="23">
        <f t="shared" si="1"/>
        <v>19.85708494312215</v>
      </c>
      <c r="V40" s="29">
        <f>AVERAGEIFS(Data[Avg Annual Wage], Data[Year],$B$15, Data[Industry], $B$3, Data[State],$R40)</f>
        <v>71361</v>
      </c>
      <c r="W40" s="35">
        <f t="shared" si="2"/>
        <v>71361</v>
      </c>
    </row>
    <row r="41" spans="18:23" x14ac:dyDescent="0.3">
      <c r="R41" s="27" t="s">
        <v>45</v>
      </c>
      <c r="S41" s="18">
        <f>SUMIFS(Data[Employees], Data[Year],$B$15, Data[Industry], $B$3, Data[State], $R41)</f>
        <v>27809</v>
      </c>
      <c r="T41" s="22">
        <v>886667</v>
      </c>
      <c r="U41" s="23">
        <f t="shared" si="1"/>
        <v>31.363522043788706</v>
      </c>
      <c r="V41" s="29">
        <f>AVERAGEIFS(Data[Avg Annual Wage], Data[Year],$B$15, Data[Industry], $B$3, Data[State],$R41)</f>
        <v>69345</v>
      </c>
      <c r="W41" s="35">
        <f t="shared" si="2"/>
        <v>69345</v>
      </c>
    </row>
    <row r="42" spans="18:23" x14ac:dyDescent="0.3">
      <c r="R42" s="27" t="s">
        <v>46</v>
      </c>
      <c r="S42" s="18">
        <f>SUMIFS(Data[Employees], Data[Year],$B$15, Data[Industry], $B$3, Data[State], $R42)</f>
        <v>155926</v>
      </c>
      <c r="T42" s="22">
        <v>6910840</v>
      </c>
      <c r="U42" s="23">
        <f t="shared" si="1"/>
        <v>22.562524960786241</v>
      </c>
      <c r="V42" s="29">
        <f>AVERAGEIFS(Data[Avg Annual Wage], Data[Year],$B$15, Data[Industry], $B$3, Data[State],$R42)</f>
        <v>85116</v>
      </c>
      <c r="W42" s="35">
        <f t="shared" si="2"/>
        <v>85116</v>
      </c>
    </row>
    <row r="43" spans="18:23" x14ac:dyDescent="0.3">
      <c r="R43" s="27" t="s">
        <v>47</v>
      </c>
      <c r="S43" s="18">
        <f>SUMIFS(Data[Employees], Data[Year],$B$15, Data[Industry], $B$3, Data[State], $R43)</f>
        <v>778554</v>
      </c>
      <c r="T43" s="22">
        <v>29145505</v>
      </c>
      <c r="U43" s="23">
        <f t="shared" si="1"/>
        <v>26.7126611805148</v>
      </c>
      <c r="V43" s="29">
        <f>AVERAGEIFS(Data[Avg Annual Wage], Data[Year],$B$15, Data[Industry], $B$3, Data[State],$R43)</f>
        <v>92477</v>
      </c>
      <c r="W43" s="35">
        <f t="shared" si="2"/>
        <v>92477</v>
      </c>
    </row>
    <row r="44" spans="18:23" x14ac:dyDescent="0.3">
      <c r="R44" s="27" t="s">
        <v>48</v>
      </c>
      <c r="S44" s="18">
        <f>SUMIFS(Data[Employees], Data[Year],$B$15, Data[Industry], $B$3, Data[State], $R44)</f>
        <v>93379</v>
      </c>
      <c r="T44" s="22">
        <v>3271616</v>
      </c>
      <c r="U44" s="23">
        <f t="shared" si="1"/>
        <v>28.542163872532718</v>
      </c>
      <c r="V44" s="29">
        <f>AVERAGEIFS(Data[Avg Annual Wage], Data[Year],$B$15, Data[Industry], $B$3, Data[State],$R44)</f>
        <v>79806</v>
      </c>
      <c r="W44" s="35">
        <f t="shared" si="2"/>
        <v>79806</v>
      </c>
    </row>
    <row r="45" spans="18:23" x14ac:dyDescent="0.3">
      <c r="R45" s="27" t="s">
        <v>49</v>
      </c>
      <c r="S45" s="18">
        <f>SUMIFS(Data[Employees], Data[Year],$B$15, Data[Industry], $B$3, Data[State], $R45)</f>
        <v>11578</v>
      </c>
      <c r="T45" s="22">
        <v>643077</v>
      </c>
      <c r="U45" s="23">
        <f t="shared" si="1"/>
        <v>18.004064832049661</v>
      </c>
      <c r="V45" s="29">
        <f>AVERAGEIFS(Data[Avg Annual Wage], Data[Year],$B$15, Data[Industry], $B$3, Data[State],$R45)</f>
        <v>80135</v>
      </c>
      <c r="W45" s="35">
        <f t="shared" si="2"/>
        <v>80135</v>
      </c>
    </row>
    <row r="46" spans="18:23" x14ac:dyDescent="0.3">
      <c r="R46" s="27" t="s">
        <v>50</v>
      </c>
      <c r="S46" s="18">
        <f>SUMIFS(Data[Employees], Data[Year],$B$15, Data[Industry], $B$3, Data[State], $R46)</f>
        <v>195671</v>
      </c>
      <c r="T46" s="22">
        <v>8631393</v>
      </c>
      <c r="U46" s="23">
        <f t="shared" si="1"/>
        <v>22.669689585446982</v>
      </c>
      <c r="V46" s="29">
        <f>AVERAGEIFS(Data[Avg Annual Wage], Data[Year],$B$15, Data[Industry], $B$3, Data[State],$R46)</f>
        <v>97246</v>
      </c>
      <c r="W46" s="35">
        <f t="shared" si="2"/>
        <v>97246</v>
      </c>
    </row>
    <row r="47" spans="18:23" x14ac:dyDescent="0.3">
      <c r="R47" s="27" t="s">
        <v>51</v>
      </c>
      <c r="S47" s="18">
        <f>SUMIFS(Data[Employees], Data[Year],$B$15, Data[Industry], $B$3, Data[State], $R47)</f>
        <v>147772</v>
      </c>
      <c r="T47" s="22">
        <v>7705281</v>
      </c>
      <c r="U47" s="23">
        <f t="shared" si="1"/>
        <v>19.17801570117949</v>
      </c>
      <c r="V47" s="29">
        <f>AVERAGEIFS(Data[Avg Annual Wage], Data[Year],$B$15, Data[Industry], $B$3, Data[State],$R47)</f>
        <v>95674</v>
      </c>
      <c r="W47" s="35">
        <f t="shared" si="2"/>
        <v>95674</v>
      </c>
    </row>
    <row r="48" spans="18:23" x14ac:dyDescent="0.3">
      <c r="R48" s="27" t="s">
        <v>52</v>
      </c>
      <c r="S48" s="18">
        <f>SUMIFS(Data[Employees], Data[Year],$B$15, Data[Industry], $B$3, Data[State], $R48)</f>
        <v>24190</v>
      </c>
      <c r="T48" s="22">
        <v>1793716</v>
      </c>
      <c r="U48" s="23">
        <f t="shared" si="1"/>
        <v>13.485969908279793</v>
      </c>
      <c r="V48" s="29">
        <f>AVERAGEIFS(Data[Avg Annual Wage], Data[Year],$B$15, Data[Industry], $B$3, Data[State],$R48)</f>
        <v>56764</v>
      </c>
      <c r="W48" s="35">
        <f t="shared" si="2"/>
        <v>56764</v>
      </c>
    </row>
    <row r="49" spans="18:23" x14ac:dyDescent="0.3">
      <c r="R49" s="27" t="s">
        <v>53</v>
      </c>
      <c r="S49" s="18">
        <f>SUMIFS(Data[Employees], Data[Year],$B$15, Data[Industry], $B$3, Data[State], $R49)</f>
        <v>148829</v>
      </c>
      <c r="T49" s="22">
        <v>5893718</v>
      </c>
      <c r="U49" s="23">
        <f t="shared" si="1"/>
        <v>25.252141347787592</v>
      </c>
      <c r="V49" s="29">
        <f>AVERAGEIFS(Data[Avg Annual Wage], Data[Year],$B$15, Data[Industry], $B$3, Data[State],$R49)</f>
        <v>80470</v>
      </c>
      <c r="W49" s="35">
        <f t="shared" si="2"/>
        <v>80470</v>
      </c>
    </row>
    <row r="50" spans="18:23" ht="15" thickBot="1" x14ac:dyDescent="0.35">
      <c r="R50" s="30" t="s">
        <v>54</v>
      </c>
      <c r="S50" s="31">
        <f>SUMIFS(Data[Employees], Data[Year],$B$15, Data[Industry], $B$3, Data[State], $R50)</f>
        <v>10919</v>
      </c>
      <c r="T50" s="32">
        <v>576851</v>
      </c>
      <c r="U50" s="33">
        <f t="shared" si="1"/>
        <v>18.928631483693366</v>
      </c>
      <c r="V50" s="34">
        <f>AVERAGEIFS(Data[Avg Annual Wage], Data[Year],$B$15, Data[Industry], $B$3, Data[State],$R50)</f>
        <v>64480</v>
      </c>
      <c r="W50" s="35">
        <f t="shared" si="2"/>
        <v>64480</v>
      </c>
    </row>
  </sheetData>
  <sortState xmlns:xlrd2="http://schemas.microsoft.com/office/spreadsheetml/2017/richdata2" ref="H3:I12">
    <sortCondition descending="1" ref="I3:I12"/>
  </sortState>
  <hyperlinks>
    <hyperlink ref="W1" location="'Data Prep'!A17" display="Map Filter" xr:uid="{67E011A0-986C-4DDE-9886-4B2D04EA75A3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87C92-0691-4DD9-9949-50AAC38F2D9D}">
  <dimension ref="C4:G9"/>
  <sheetViews>
    <sheetView showGridLines="0" tabSelected="1" zoomScaleNormal="100" workbookViewId="0">
      <selection activeCell="M9" sqref="M9"/>
    </sheetView>
  </sheetViews>
  <sheetFormatPr defaultRowHeight="14.4" x14ac:dyDescent="0.3"/>
  <cols>
    <col min="1" max="1" width="8.88671875" style="41"/>
    <col min="2" max="2" width="8.88671875" style="41" customWidth="1"/>
    <col min="3" max="3" width="8.88671875" style="41"/>
    <col min="4" max="4" width="2.88671875" style="41" customWidth="1"/>
    <col min="5" max="5" width="25.77734375" style="41" customWidth="1"/>
    <col min="6" max="6" width="19.77734375" style="41" customWidth="1"/>
    <col min="7" max="7" width="25.77734375" style="41" customWidth="1"/>
    <col min="8" max="8" width="20" style="41" customWidth="1"/>
    <col min="9" max="9" width="27.44140625" style="41" customWidth="1"/>
    <col min="10" max="16384" width="8.88671875" style="41"/>
  </cols>
  <sheetData>
    <row r="4" spans="3:7" x14ac:dyDescent="0.3">
      <c r="C4" s="41">
        <v>9</v>
      </c>
    </row>
    <row r="5" spans="3:7" x14ac:dyDescent="0.3">
      <c r="C5" s="56">
        <v>2</v>
      </c>
    </row>
    <row r="8" spans="3:7" ht="10.199999999999999" customHeight="1" thickBot="1" x14ac:dyDescent="0.35"/>
    <row r="9" spans="3:7" ht="21.6" customHeight="1" thickBot="1" x14ac:dyDescent="0.35">
      <c r="E9" s="40" t="str" cm="1">
        <f t="array" ref="E9">INDEX('Data Prep'!D3:$D$12, 11-Dashboard!$C$4)</f>
        <v>Finance</v>
      </c>
      <c r="G9" s="40">
        <f>'Data Prep'!B15</f>
        <v>2020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Spinner 5">
              <controlPr defaultSize="0" autoPict="0">
                <anchor>
                  <from>
                    <xdr:col>5</xdr:col>
                    <xdr:colOff>30480</xdr:colOff>
                    <xdr:row>7</xdr:row>
                    <xdr:rowOff>129540</xdr:rowOff>
                  </from>
                  <to>
                    <xdr:col>5</xdr:col>
                    <xdr:colOff>518160</xdr:colOff>
                    <xdr:row>8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4" name="Option Button 12">
              <controlPr defaultSize="0" autoFill="0" autoLine="0" autoPict="0">
                <anchor>
                  <from>
                    <xdr:col>7</xdr:col>
                    <xdr:colOff>830580</xdr:colOff>
                    <xdr:row>7</xdr:row>
                    <xdr:rowOff>121920</xdr:rowOff>
                  </from>
                  <to>
                    <xdr:col>8</xdr:col>
                    <xdr:colOff>693420</xdr:colOff>
                    <xdr:row>8</xdr:row>
                    <xdr:rowOff>274320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5" name="Option Button 13">
              <controlPr defaultSize="0" autoFill="0" autoLine="0" autoPict="0">
                <anchor>
                  <from>
                    <xdr:col>8</xdr:col>
                    <xdr:colOff>1440180</xdr:colOff>
                    <xdr:row>7</xdr:row>
                    <xdr:rowOff>121920</xdr:rowOff>
                  </from>
                  <to>
                    <xdr:col>10</xdr:col>
                    <xdr:colOff>205740</xdr:colOff>
                    <xdr:row>8</xdr:row>
                    <xdr:rowOff>274320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1B6D9D-5C34-4F8A-8003-958272C79730}">
          <x14:formula1>
            <xm:f>'Data Prep'!$A$3:$A$12</xm:f>
          </x14:formula1>
          <xm:sqref>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Data</vt:lpstr>
      <vt:lpstr>Data Prep</vt:lpstr>
      <vt:lpstr>Dashboard</vt:lpstr>
      <vt:lpstr>Date_Time</vt:lpstr>
      <vt:lpstr>Industry_Filter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Maity</dc:creator>
  <cp:lastModifiedBy>Ranjan Maity</cp:lastModifiedBy>
  <dcterms:created xsi:type="dcterms:W3CDTF">2026-06-07T02:36:17Z</dcterms:created>
  <dcterms:modified xsi:type="dcterms:W3CDTF">2026-06-13T16:17:43Z</dcterms:modified>
</cp:coreProperties>
</file>